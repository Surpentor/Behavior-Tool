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" sheetId="1" r:id="rId4"/>
    <sheet state="visible" name="April" sheetId="2" r:id="rId5"/>
    <sheet state="visible" name="Mar" sheetId="3" r:id="rId6"/>
    <sheet state="visible" name="Feb" sheetId="4" r:id="rId7"/>
    <sheet state="visible" name="Jan" sheetId="5" r:id="rId8"/>
    <sheet state="visible" name="Dec" sheetId="6" r:id="rId9"/>
    <sheet state="visible" name="Oct" sheetId="7" r:id="rId10"/>
    <sheet state="visible" name="Nov" sheetId="8" r:id="rId11"/>
    <sheet state="visible" name="Master" sheetId="9" r:id="rId12"/>
    <sheet state="visible" name="Overall Summary" sheetId="10" r:id="rId13"/>
  </sheets>
  <definedNames/>
  <calcPr/>
</workbook>
</file>

<file path=xl/sharedStrings.xml><?xml version="1.0" encoding="utf-8"?>
<sst xmlns="http://schemas.openxmlformats.org/spreadsheetml/2006/main" count="5508" uniqueCount="98">
  <si>
    <t>Payton May</t>
  </si>
  <si>
    <t>Homeroom</t>
  </si>
  <si>
    <t>1st Hour</t>
  </si>
  <si>
    <t>2nd Hour</t>
  </si>
  <si>
    <t>3rd Hour</t>
  </si>
  <si>
    <t>4th Hour</t>
  </si>
  <si>
    <t>5th Hour</t>
  </si>
  <si>
    <t>6th Hour</t>
  </si>
  <si>
    <t>7th Hour</t>
  </si>
  <si>
    <t>8th Hour</t>
  </si>
  <si>
    <t>Arrivial</t>
  </si>
  <si>
    <t>8:00-
8:10</t>
  </si>
  <si>
    <t>8:10-
8:20</t>
  </si>
  <si>
    <t>8:20-
8:40</t>
  </si>
  <si>
    <t>8:40-
9:00</t>
  </si>
  <si>
    <t>9:00-
9:20</t>
  </si>
  <si>
    <t>9:20-
9:40</t>
  </si>
  <si>
    <t>9:40-
10:00</t>
  </si>
  <si>
    <t>10:00-
10:20</t>
  </si>
  <si>
    <t>10:20-
10:40</t>
  </si>
  <si>
    <t>10:40-
11:00</t>
  </si>
  <si>
    <t>11:00-
11:15</t>
  </si>
  <si>
    <t>11:15-
11:30</t>
  </si>
  <si>
    <t>11:30-
11:45</t>
  </si>
  <si>
    <t>11:45-
12:00</t>
  </si>
  <si>
    <t>12:00-
12:20</t>
  </si>
  <si>
    <t>12:20-
12:40</t>
  </si>
  <si>
    <t>12:40-
1:00</t>
  </si>
  <si>
    <t>1:00-
1:20</t>
  </si>
  <si>
    <t>1:20-
1:40</t>
  </si>
  <si>
    <t>1:40-
2:00</t>
  </si>
  <si>
    <t>2:00-
2:10</t>
  </si>
  <si>
    <t>2:10-
2:20</t>
  </si>
  <si>
    <t>2:20-
2:30</t>
  </si>
  <si>
    <t>Dismiss</t>
  </si>
  <si>
    <t>May</t>
  </si>
  <si>
    <t>NOTES</t>
  </si>
  <si>
    <t>Total</t>
  </si>
  <si>
    <t>Averages</t>
  </si>
  <si>
    <t>Complete Work</t>
  </si>
  <si>
    <t>Hands, Body, Objects to self</t>
  </si>
  <si>
    <t>Stay in Designated area</t>
  </si>
  <si>
    <t>App. language/conversations</t>
  </si>
  <si>
    <t>Total Points</t>
  </si>
  <si>
    <t>Sleeping in minutes</t>
  </si>
  <si>
    <t>Arguing about directives</t>
  </si>
  <si>
    <t>[insert tracking here] 
ex: number of rewards</t>
  </si>
  <si>
    <t>BIP Goal: Task Avoidance</t>
  </si>
  <si>
    <t>Frequency (how many times)</t>
  </si>
  <si>
    <t>Duration (in minutes)</t>
  </si>
  <si>
    <t>Intensity (1-5 scale</t>
  </si>
  <si>
    <t>BIP Behavior #2</t>
  </si>
  <si>
    <t>Septemb</t>
  </si>
  <si>
    <t>BIP Behavior #3</t>
  </si>
  <si>
    <t>Insert Date here</t>
  </si>
  <si>
    <t>Monthly Report</t>
  </si>
  <si>
    <t>Totals</t>
  </si>
  <si>
    <t>Average</t>
  </si>
  <si>
    <t>Monthly Averages</t>
  </si>
  <si>
    <t># of times this occured</t>
  </si>
  <si>
    <t># of time behavior 1 occured</t>
  </si>
  <si>
    <t># of minutes behavior 1 occured</t>
  </si>
  <si>
    <t>HIDE THIS LINE</t>
  </si>
  <si>
    <t>Average of intensity for the month</t>
  </si>
  <si>
    <t># of time behavior 2 occured</t>
  </si>
  <si>
    <t># of minutes behavior 2 occured</t>
  </si>
  <si>
    <t># of time behavior 3 occured</t>
  </si>
  <si>
    <t># of minutes behavior 3 occured</t>
  </si>
  <si>
    <t>January</t>
  </si>
  <si>
    <t>March</t>
  </si>
  <si>
    <t>February</t>
  </si>
  <si>
    <t>December</t>
  </si>
  <si>
    <t xml:space="preserve">Student name: </t>
  </si>
  <si>
    <t>August</t>
  </si>
  <si>
    <t>Sleeping</t>
  </si>
  <si>
    <t>Sleeping in Minutes</t>
  </si>
  <si>
    <t>Time in Minutes</t>
  </si>
  <si>
    <t>November</t>
  </si>
  <si>
    <t>Arguing about Directives</t>
  </si>
  <si>
    <t>OCT</t>
  </si>
  <si>
    <t>NOV</t>
  </si>
  <si>
    <t>DEC (through 12/19)</t>
  </si>
  <si>
    <t>JAN</t>
  </si>
  <si>
    <t>FEB</t>
  </si>
  <si>
    <t>MAR</t>
  </si>
  <si>
    <t>APR</t>
  </si>
  <si>
    <t>MAY</t>
  </si>
  <si>
    <t>TOTALS - averages</t>
  </si>
  <si>
    <t>Complete Work %</t>
  </si>
  <si>
    <t>Hands, Body, Objects to self %</t>
  </si>
  <si>
    <t>Stay in Designated area %</t>
  </si>
  <si>
    <t>App. language/conversations  %</t>
  </si>
  <si>
    <t>Monthly Averages %</t>
  </si>
  <si>
    <t>Behav. Monthly Total</t>
  </si>
  <si>
    <t>Behav. Monthly Avg.</t>
  </si>
  <si>
    <t>Sleeping (min.)</t>
  </si>
  <si>
    <t>Arguing</t>
  </si>
  <si>
    <t>Disrespect (intensity)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</si>
</sst>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0">
    <font>
      <sz val="11.0"/>
      <color rgb="FF000000"/>
      <name val="Calibri"/>
    </font>
    <font>
      <b/>
      <name val="Arial"/>
    </font>
    <font>
      <sz val="11.0"/>
      <name val="Calibri"/>
    </font>
    <font>
      <sz val="9.0"/>
      <name val="Arial"/>
    </font>
    <font/>
    <font>
      <b/>
      <sz val="9.0"/>
      <color rgb="FF000000"/>
      <name val="Arial"/>
    </font>
    <font>
      <b/>
      <u/>
      <sz val="11.0"/>
      <color rgb="FF000000"/>
      <name val="Calibri"/>
    </font>
    <font>
      <sz val="11.0"/>
      <name val="Arial"/>
    </font>
    <font>
      <name val="Arial"/>
    </font>
    <font>
      <b/>
      <u/>
      <sz val="11.0"/>
      <color rgb="FF000000"/>
      <name val="Calibri"/>
    </font>
    <font>
      <sz val="18.0"/>
      <color rgb="FF000000"/>
      <name val="Calibri"/>
    </font>
    <font>
      <sz val="15.0"/>
      <name val="Calibri"/>
    </font>
    <font>
      <b/>
      <sz val="11.0"/>
      <name val="Arial"/>
    </font>
    <font>
      <b/>
      <sz val="10.0"/>
      <name val="Arial"/>
    </font>
    <font>
      <sz val="9.0"/>
      <color rgb="FF000000"/>
      <name val="Arial"/>
    </font>
    <font>
      <b/>
      <u/>
      <sz val="11.0"/>
      <color rgb="FF000000"/>
      <name val="Calibri"/>
    </font>
    <font>
      <sz val="10.0"/>
      <name val="Arial"/>
    </font>
    <font>
      <b/>
      <u/>
      <sz val="11.0"/>
      <color rgb="FF000000"/>
      <name val="Calibri"/>
    </font>
    <font>
      <b/>
      <i/>
      <sz val="13.0"/>
      <name val="Calibri"/>
    </font>
    <font>
      <b/>
      <sz val="11.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5" fillId="0" fontId="3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6" fillId="2" fontId="6" numFmtId="14" xfId="0" applyAlignment="1" applyBorder="1" applyFill="1" applyFont="1" applyNumberFormat="1">
      <alignment horizontal="center" readingOrder="0" vertical="bottom"/>
    </xf>
    <xf borderId="7" fillId="2" fontId="2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right" vertical="bottom"/>
    </xf>
    <xf borderId="5" fillId="3" fontId="2" numFmtId="0" xfId="0" applyAlignment="1" applyBorder="1" applyFill="1" applyFont="1">
      <alignment horizontal="center" vertical="bottom"/>
    </xf>
    <xf borderId="5" fillId="3" fontId="2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vertical="bottom"/>
    </xf>
    <xf borderId="10" fillId="0" fontId="0" numFmtId="9" xfId="0" applyAlignment="1" applyBorder="1" applyFont="1" applyNumberFormat="1">
      <alignment horizontal="center" vertical="bottom"/>
    </xf>
    <xf borderId="5" fillId="0" fontId="8" numFmtId="0" xfId="0" applyAlignment="1" applyBorder="1" applyFont="1">
      <alignment horizontal="center" vertical="bottom"/>
    </xf>
    <xf borderId="10" fillId="0" fontId="2" numFmtId="10" xfId="0" applyAlignment="1" applyBorder="1" applyFont="1" applyNumberFormat="1">
      <alignment vertical="bottom"/>
    </xf>
    <xf borderId="5" fillId="0" fontId="0" numFmtId="9" xfId="0" applyAlignment="1" applyBorder="1" applyFont="1" applyNumberFormat="1">
      <alignment horizontal="center" vertical="bottom"/>
    </xf>
    <xf borderId="5" fillId="4" fontId="2" numFmtId="10" xfId="0" applyAlignment="1" applyBorder="1" applyFill="1" applyFont="1" applyNumberFormat="1">
      <alignment vertical="bottom"/>
    </xf>
    <xf borderId="10" fillId="5" fontId="0" numFmtId="9" xfId="0" applyAlignment="1" applyBorder="1" applyFill="1" applyFont="1" applyNumberFormat="1">
      <alignment horizontal="center" vertical="bottom"/>
    </xf>
    <xf borderId="11" fillId="5" fontId="3" numFmtId="0" xfId="0" applyAlignment="1" applyBorder="1" applyFont="1">
      <alignment horizontal="right" readingOrder="0" vertical="bottom"/>
    </xf>
    <xf borderId="12" fillId="5" fontId="2" numFmtId="0" xfId="0" applyAlignment="1" applyBorder="1" applyFont="1">
      <alignment vertical="bottom"/>
    </xf>
    <xf borderId="12" fillId="5" fontId="2" numFmtId="0" xfId="0" applyAlignment="1" applyBorder="1" applyFont="1">
      <alignment vertical="bottom"/>
    </xf>
    <xf borderId="12" fillId="0" fontId="7" numFmtId="0" xfId="0" applyAlignment="1" applyBorder="1" applyFont="1">
      <alignment horizontal="center" vertical="bottom"/>
    </xf>
    <xf borderId="13" fillId="4" fontId="2" numFmtId="0" xfId="0" applyAlignment="1" applyBorder="1" applyFont="1">
      <alignment vertical="bottom"/>
    </xf>
    <xf borderId="9" fillId="5" fontId="3" numFmtId="0" xfId="0" applyAlignment="1" applyBorder="1" applyFont="1">
      <alignment horizontal="right" readingOrder="0" vertical="bottom"/>
    </xf>
    <xf borderId="5" fillId="5" fontId="2" numFmtId="0" xfId="0" applyAlignment="1" applyBorder="1" applyFont="1">
      <alignment vertical="bottom"/>
    </xf>
    <xf borderId="9" fillId="5" fontId="3" numFmtId="0" xfId="0" applyAlignment="1" applyBorder="1" applyFont="1">
      <alignment horizontal="right" vertical="bottom"/>
    </xf>
    <xf borderId="14" fillId="6" fontId="3" numFmtId="0" xfId="0" applyAlignment="1" applyBorder="1" applyFill="1" applyFont="1">
      <alignment readingOrder="0" vertical="bottom"/>
    </xf>
    <xf borderId="15" fillId="0" fontId="4" numFmtId="0" xfId="0" applyBorder="1" applyFont="1"/>
    <xf borderId="16" fillId="0" fontId="4" numFmtId="0" xfId="0" applyBorder="1" applyFont="1"/>
    <xf borderId="12" fillId="6" fontId="2" numFmtId="0" xfId="0" applyAlignment="1" applyBorder="1" applyFont="1">
      <alignment vertical="bottom"/>
    </xf>
    <xf borderId="13" fillId="4" fontId="2" numFmtId="9" xfId="0" applyAlignment="1" applyBorder="1" applyFont="1" applyNumberFormat="1">
      <alignment vertical="bottom"/>
    </xf>
    <xf borderId="9" fillId="6" fontId="3" numFmtId="0" xfId="0" applyAlignment="1" applyBorder="1" applyFont="1">
      <alignment horizontal="right" vertical="bottom"/>
    </xf>
    <xf borderId="5" fillId="7" fontId="2" numFmtId="0" xfId="0" applyAlignment="1" applyBorder="1" applyFill="1" applyFont="1">
      <alignment vertical="bottom"/>
    </xf>
    <xf borderId="5" fillId="7" fontId="2" numFmtId="0" xfId="0" applyAlignment="1" applyBorder="1" applyFont="1">
      <alignment vertical="bottom"/>
    </xf>
    <xf borderId="12" fillId="7" fontId="2" numFmtId="0" xfId="0" applyAlignment="1" applyBorder="1" applyFont="1">
      <alignment vertical="bottom"/>
    </xf>
    <xf borderId="12" fillId="6" fontId="7" numFmtId="0" xfId="0" applyAlignment="1" applyBorder="1" applyFont="1">
      <alignment horizontal="center" vertical="bottom"/>
    </xf>
    <xf borderId="14" fillId="0" fontId="3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9" fillId="0" fontId="3" numFmtId="0" xfId="0" applyAlignment="1" applyBorder="1" applyFont="1">
      <alignment horizontal="right" vertical="bottom"/>
    </xf>
    <xf borderId="5" fillId="3" fontId="2" numFmtId="0" xfId="0" applyAlignment="1" applyBorder="1" applyFont="1">
      <alignment vertical="bottom"/>
    </xf>
    <xf borderId="5" fillId="3" fontId="2" numFmtId="0" xfId="0" applyAlignment="1" applyBorder="1" applyFont="1">
      <alignment vertical="bottom"/>
    </xf>
    <xf borderId="12" fillId="3" fontId="2" numFmtId="0" xfId="0" applyAlignment="1" applyBorder="1" applyFont="1">
      <alignment vertical="bottom"/>
    </xf>
    <xf borderId="12" fillId="0" fontId="7" numFmtId="0" xfId="0" applyAlignment="1" applyBorder="1" applyFont="1">
      <alignment horizontal="center" vertical="bottom"/>
    </xf>
    <xf borderId="14" fillId="6" fontId="3" numFmtId="0" xfId="0" applyAlignment="1" applyBorder="1" applyFont="1">
      <alignment vertical="bottom"/>
    </xf>
    <xf borderId="17" fillId="6" fontId="3" numFmtId="0" xfId="0" applyAlignment="1" applyBorder="1" applyFont="1">
      <alignment horizontal="right" vertical="bottom"/>
    </xf>
    <xf borderId="18" fillId="7" fontId="2" numFmtId="0" xfId="0" applyAlignment="1" applyBorder="1" applyFont="1">
      <alignment vertical="bottom"/>
    </xf>
    <xf borderId="18" fillId="7" fontId="2" numFmtId="0" xfId="0" applyAlignment="1" applyBorder="1" applyFont="1">
      <alignment vertical="bottom"/>
    </xf>
    <xf borderId="19" fillId="7" fontId="2" numFmtId="0" xfId="0" applyAlignment="1" applyBorder="1" applyFont="1">
      <alignment vertical="bottom"/>
    </xf>
    <xf borderId="19" fillId="6" fontId="7" numFmtId="0" xfId="0" applyAlignment="1" applyBorder="1" applyFont="1">
      <alignment horizontal="center" vertical="bottom"/>
    </xf>
    <xf borderId="20" fillId="4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2" fillId="5" fontId="2" numFmtId="0" xfId="0" applyAlignment="1" applyBorder="1" applyFont="1">
      <alignment horizontal="center" vertical="bottom"/>
    </xf>
    <xf borderId="12" fillId="5" fontId="2" numFmtId="0" xfId="0" applyAlignment="1" applyBorder="1" applyFont="1">
      <alignment horizontal="center" vertical="bottom"/>
    </xf>
    <xf borderId="5" fillId="5" fontId="2" numFmtId="0" xfId="0" applyAlignment="1" applyBorder="1" applyFont="1">
      <alignment horizontal="center" vertical="bottom"/>
    </xf>
    <xf borderId="5" fillId="7" fontId="2" numFmtId="0" xfId="0" applyAlignment="1" applyBorder="1" applyFont="1">
      <alignment horizontal="center" vertical="bottom"/>
    </xf>
    <xf borderId="5" fillId="7" fontId="2" numFmtId="0" xfId="0" applyAlignment="1" applyBorder="1" applyFont="1">
      <alignment horizontal="center" vertical="bottom"/>
    </xf>
    <xf borderId="5" fillId="7" fontId="2" numFmtId="0" xfId="0" applyAlignment="1" applyBorder="1" applyFont="1">
      <alignment horizontal="center" readingOrder="0" vertical="bottom"/>
    </xf>
    <xf borderId="12" fillId="7" fontId="2" numFmtId="0" xfId="0" applyAlignment="1" applyBorder="1" applyFont="1">
      <alignment horizontal="center" vertical="bottom"/>
    </xf>
    <xf borderId="5" fillId="3" fontId="2" numFmtId="0" xfId="0" applyAlignment="1" applyBorder="1" applyFont="1">
      <alignment readingOrder="0" vertical="bottom"/>
    </xf>
    <xf borderId="12" fillId="5" fontId="2" numFmtId="0" xfId="0" applyAlignment="1" applyBorder="1" applyFont="1">
      <alignment horizontal="center" readingOrder="0" vertical="bottom"/>
    </xf>
    <xf borderId="12" fillId="7" fontId="2" numFmtId="0" xfId="0" applyAlignment="1" applyBorder="1" applyFont="1">
      <alignment horizontal="center" readingOrder="0" vertical="bottom"/>
    </xf>
    <xf borderId="7" fillId="2" fontId="2" numFmtId="0" xfId="0" applyAlignment="1" applyBorder="1" applyFont="1">
      <alignment readingOrder="0" vertical="bottom"/>
    </xf>
    <xf borderId="6" fillId="2" fontId="9" numFmtId="14" xfId="0" applyAlignment="1" applyBorder="1" applyFont="1" applyNumberFormat="1">
      <alignment horizontal="center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6" fillId="0" fontId="3" numFmtId="0" xfId="0" applyAlignment="1" applyBorder="1" applyFont="1">
      <alignment horizontal="right" vertical="bottom"/>
    </xf>
    <xf borderId="7" fillId="0" fontId="7" numFmtId="0" xfId="0" applyAlignment="1" applyBorder="1" applyFont="1">
      <alignment horizontal="center" vertical="bottom"/>
    </xf>
    <xf borderId="7" fillId="4" fontId="7" numFmtId="0" xfId="0" applyAlignment="1" applyBorder="1" applyFont="1">
      <alignment horizontal="center" vertical="bottom"/>
    </xf>
    <xf borderId="21" fillId="8" fontId="0" numFmtId="9" xfId="0" applyAlignment="1" applyBorder="1" applyFill="1" applyFont="1" applyNumberFormat="1">
      <alignment horizontal="center" vertical="bottom"/>
    </xf>
    <xf borderId="6" fillId="0" fontId="3" numFmtId="0" xfId="0" applyAlignment="1" applyBorder="1" applyFont="1">
      <alignment vertical="bottom"/>
    </xf>
    <xf borderId="12" fillId="4" fontId="7" numFmtId="0" xfId="0" applyAlignment="1" applyBorder="1" applyFont="1">
      <alignment horizontal="center" vertical="bottom"/>
    </xf>
    <xf borderId="13" fillId="8" fontId="0" numFmtId="9" xfId="0" applyAlignment="1" applyBorder="1" applyFont="1" applyNumberFormat="1">
      <alignment horizontal="center" vertical="bottom"/>
    </xf>
    <xf borderId="9" fillId="0" fontId="3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3" fillId="8" fontId="2" numFmtId="9" xfId="0" applyAlignment="1" applyBorder="1" applyFont="1" applyNumberFormat="1">
      <alignment vertical="bottom"/>
    </xf>
    <xf borderId="11" fillId="8" fontId="3" numFmtId="0" xfId="0" applyAlignment="1" applyBorder="1" applyFont="1">
      <alignment horizontal="right" vertical="bottom"/>
    </xf>
    <xf borderId="5" fillId="8" fontId="7" numFmtId="10" xfId="0" applyAlignment="1" applyBorder="1" applyFont="1" applyNumberFormat="1">
      <alignment horizontal="center" vertical="bottom"/>
    </xf>
    <xf borderId="12" fillId="4" fontId="7" numFmtId="10" xfId="0" applyAlignment="1" applyBorder="1" applyFont="1" applyNumberFormat="1">
      <alignment horizontal="center" vertical="bottom"/>
    </xf>
    <xf borderId="11" fillId="8" fontId="3" numFmtId="0" xfId="0" applyAlignment="1" applyBorder="1" applyFont="1">
      <alignment vertical="bottom"/>
    </xf>
    <xf borderId="5" fillId="5" fontId="7" numFmtId="0" xfId="0" applyAlignment="1" applyBorder="1" applyFont="1">
      <alignment horizontal="center" vertical="bottom"/>
    </xf>
    <xf borderId="5" fillId="9" fontId="12" numFmtId="0" xfId="0" applyAlignment="1" applyBorder="1" applyFill="1" applyFont="1">
      <alignment horizontal="center" vertical="bottom"/>
    </xf>
    <xf borderId="13" fillId="9" fontId="0" numFmtId="0" xfId="0" applyAlignment="1" applyBorder="1" applyFont="1">
      <alignment vertical="bottom"/>
    </xf>
    <xf borderId="11" fillId="9" fontId="2" numFmtId="0" xfId="0" applyAlignment="1" applyBorder="1" applyFont="1">
      <alignment vertical="bottom"/>
    </xf>
    <xf borderId="9" fillId="9" fontId="2" numFmtId="0" xfId="0" applyAlignment="1" applyBorder="1" applyFont="1">
      <alignment vertical="bottom"/>
    </xf>
    <xf borderId="5" fillId="5" fontId="3" numFmtId="0" xfId="0" applyAlignment="1" applyBorder="1" applyFont="1">
      <alignment horizontal="right" vertical="bottom"/>
    </xf>
    <xf borderId="0" fillId="10" fontId="3" numFmtId="0" xfId="0" applyAlignment="1" applyFill="1" applyFont="1">
      <alignment readingOrder="0" vertical="bottom"/>
    </xf>
    <xf borderId="5" fillId="11" fontId="2" numFmtId="0" xfId="0" applyAlignment="1" applyBorder="1" applyFill="1" applyFont="1">
      <alignment vertical="bottom"/>
    </xf>
    <xf borderId="5" fillId="11" fontId="3" numFmtId="0" xfId="0" applyAlignment="1" applyBorder="1" applyFont="1">
      <alignment readingOrder="0" vertical="bottom"/>
    </xf>
    <xf borderId="5" fillId="10" fontId="3" numFmtId="0" xfId="0" applyAlignment="1" applyBorder="1" applyFont="1">
      <alignment horizontal="right" vertical="bottom"/>
    </xf>
    <xf borderId="5" fillId="10" fontId="7" numFmtId="0" xfId="0" applyAlignment="1" applyBorder="1" applyFont="1">
      <alignment horizontal="center" vertical="bottom"/>
    </xf>
    <xf borderId="5" fillId="11" fontId="12" numFmtId="0" xfId="0" applyAlignment="1" applyBorder="1" applyFont="1">
      <alignment horizontal="center" vertical="bottom"/>
    </xf>
    <xf borderId="5" fillId="11" fontId="3" numFmtId="0" xfId="0" applyAlignment="1" applyBorder="1" applyFont="1">
      <alignment vertical="bottom"/>
    </xf>
    <xf borderId="0" fillId="4" fontId="2" numFmtId="0" xfId="0" applyAlignment="1" applyFont="1">
      <alignment vertical="bottom"/>
    </xf>
    <xf borderId="5" fillId="4" fontId="7" numFmtId="0" xfId="0" applyAlignment="1" applyBorder="1" applyFont="1">
      <alignment horizontal="center" vertical="bottom"/>
    </xf>
    <xf borderId="0" fillId="4" fontId="2" numFmtId="164" xfId="0" applyAlignment="1" applyFont="1" applyNumberFormat="1">
      <alignment vertical="bottom"/>
    </xf>
    <xf borderId="5" fillId="4" fontId="2" numFmtId="0" xfId="0" applyAlignment="1" applyBorder="1" applyFont="1">
      <alignment vertical="bottom"/>
    </xf>
    <xf borderId="5" fillId="4" fontId="2" numFmtId="0" xfId="0" applyAlignment="1" applyBorder="1" applyFont="1">
      <alignment vertical="bottom"/>
    </xf>
    <xf borderId="5" fillId="10" fontId="3" numFmtId="1" xfId="0" applyAlignment="1" applyBorder="1" applyFont="1" applyNumberFormat="1">
      <alignment horizontal="right" vertical="bottom"/>
    </xf>
    <xf borderId="5" fillId="10" fontId="7" numFmtId="1" xfId="0" applyAlignment="1" applyBorder="1" applyFont="1" applyNumberFormat="1">
      <alignment horizontal="center" vertical="bottom"/>
    </xf>
    <xf borderId="5" fillId="11" fontId="12" numFmtId="1" xfId="0" applyAlignment="1" applyBorder="1" applyFont="1" applyNumberFormat="1">
      <alignment horizontal="center" vertical="bottom"/>
    </xf>
    <xf borderId="5" fillId="11" fontId="3" numFmtId="1" xfId="0" applyAlignment="1" applyBorder="1" applyFont="1" applyNumberFormat="1">
      <alignment vertical="bottom"/>
    </xf>
    <xf borderId="5" fillId="11" fontId="2" numFmtId="1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5" fillId="12" fontId="2" numFmtId="0" xfId="0" applyAlignment="1" applyBorder="1" applyFill="1" applyFont="1">
      <alignment vertical="bottom"/>
    </xf>
    <xf borderId="5" fillId="12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12" fontId="12" numFmtId="0" xfId="0" applyAlignment="1" applyBorder="1" applyFont="1">
      <alignment horizontal="center" vertical="bottom"/>
    </xf>
    <xf borderId="0" fillId="10" fontId="3" numFmtId="0" xfId="0" applyAlignment="1" applyFont="1">
      <alignment vertical="bottom"/>
    </xf>
    <xf borderId="5" fillId="10" fontId="2" numFmtId="0" xfId="0" applyAlignment="1" applyBorder="1" applyFont="1">
      <alignment vertical="bottom"/>
    </xf>
    <xf borderId="5" fillId="13" fontId="2" numFmtId="0" xfId="0" applyAlignment="1" applyBorder="1" applyFill="1" applyFont="1">
      <alignment vertical="bottom"/>
    </xf>
    <xf borderId="5" fillId="13" fontId="3" numFmtId="0" xfId="0" applyAlignment="1" applyBorder="1" applyFont="1">
      <alignment vertical="bottom"/>
    </xf>
    <xf borderId="5" fillId="13" fontId="12" numFmtId="0" xfId="0" applyAlignment="1" applyBorder="1" applyFont="1">
      <alignment horizontal="center" vertical="bottom"/>
    </xf>
    <xf borderId="0" fillId="4" fontId="2" numFmtId="1" xfId="0" applyAlignment="1" applyFont="1" applyNumberFormat="1">
      <alignment vertical="bottom"/>
    </xf>
    <xf borderId="5" fillId="4" fontId="7" numFmtId="1" xfId="0" applyAlignment="1" applyBorder="1" applyFont="1" applyNumberFormat="1">
      <alignment horizontal="center" vertical="bottom"/>
    </xf>
    <xf borderId="5" fillId="4" fontId="2" numFmtId="1" xfId="0" applyAlignment="1" applyBorder="1" applyFont="1" applyNumberFormat="1">
      <alignment vertical="bottom"/>
    </xf>
    <xf borderId="5" fillId="13" fontId="12" numFmtId="1" xfId="0" applyAlignment="1" applyBorder="1" applyFont="1" applyNumberFormat="1">
      <alignment horizontal="center" vertical="bottom"/>
    </xf>
    <xf borderId="5" fillId="13" fontId="3" numFmtId="1" xfId="0" applyAlignment="1" applyBorder="1" applyFont="1" applyNumberFormat="1">
      <alignment vertical="bottom"/>
    </xf>
    <xf borderId="5" fillId="13" fontId="2" numFmtId="1" xfId="0" applyAlignment="1" applyBorder="1" applyFont="1" applyNumberFormat="1">
      <alignment vertical="bottom"/>
    </xf>
    <xf borderId="5" fillId="5" fontId="2" numFmtId="0" xfId="0" applyAlignment="1" applyBorder="1" applyFont="1">
      <alignment horizontal="center" readingOrder="0" vertical="bottom"/>
    </xf>
    <xf borderId="5" fillId="5" fontId="2" numFmtId="0" xfId="0" applyAlignment="1" applyBorder="1" applyFont="1">
      <alignment readingOrder="0" vertical="bottom"/>
    </xf>
    <xf borderId="5" fillId="3" fontId="8" numFmtId="0" xfId="0" applyAlignment="1" applyBorder="1" applyFont="1">
      <alignment horizontal="center" readingOrder="0" vertical="bottom"/>
    </xf>
    <xf borderId="5" fillId="3" fontId="8" numFmtId="0" xfId="0" applyAlignment="1" applyBorder="1" applyFont="1">
      <alignment horizontal="center" vertical="bottom"/>
    </xf>
    <xf borderId="12" fillId="5" fontId="2" numFmtId="0" xfId="0" applyAlignment="1" applyBorder="1" applyFont="1">
      <alignment readingOrder="0" vertical="bottom"/>
    </xf>
    <xf borderId="5" fillId="7" fontId="2" numFmtId="0" xfId="0" applyAlignment="1" applyBorder="1" applyFont="1">
      <alignment readingOrder="0" vertical="bottom"/>
    </xf>
    <xf borderId="12" fillId="7" fontId="2" numFmtId="0" xfId="0" applyAlignment="1" applyBorder="1" applyFont="1">
      <alignment readingOrder="0" vertical="bottom"/>
    </xf>
    <xf borderId="14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vertical="bottom"/>
    </xf>
    <xf borderId="5" fillId="3" fontId="2" numFmtId="0" xfId="0" applyAlignment="1" applyBorder="1" applyFont="1">
      <alignment horizontal="center" vertical="bottom"/>
    </xf>
    <xf borderId="12" fillId="3" fontId="2" numFmtId="0" xfId="0" applyAlignment="1" applyBorder="1" applyFont="1">
      <alignment horizontal="center" vertical="bottom"/>
    </xf>
    <xf borderId="18" fillId="7" fontId="2" numFmtId="0" xfId="0" applyAlignment="1" applyBorder="1" applyFont="1">
      <alignment horizontal="center" vertical="bottom"/>
    </xf>
    <xf borderId="18" fillId="7" fontId="2" numFmtId="0" xfId="0" applyAlignment="1" applyBorder="1" applyFont="1">
      <alignment horizontal="center" vertical="bottom"/>
    </xf>
    <xf borderId="19" fillId="7" fontId="2" numFmtId="0" xfId="0" applyAlignment="1" applyBorder="1" applyFont="1">
      <alignment horizontal="center" vertical="bottom"/>
    </xf>
    <xf borderId="5" fillId="5" fontId="8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/>
    </xf>
    <xf borderId="0" fillId="0" fontId="14" numFmtId="0" xfId="0" applyFont="1"/>
    <xf borderId="1" fillId="0" fontId="13" numFmtId="0" xfId="0" applyAlignment="1" applyBorder="1" applyFont="1">
      <alignment horizontal="center" readingOrder="0"/>
    </xf>
    <xf borderId="2" fillId="0" fontId="3" numFmtId="0" xfId="0" applyBorder="1" applyFont="1"/>
    <xf borderId="2" fillId="0" fontId="3" numFmtId="0" xfId="0" applyAlignment="1" applyBorder="1" applyFont="1">
      <alignment horizontal="center" readingOrder="0"/>
    </xf>
    <xf borderId="5" fillId="0" fontId="3" numFmtId="0" xfId="0" applyBorder="1" applyFont="1"/>
    <xf borderId="0" fillId="0" fontId="5" numFmtId="0" xfId="0" applyAlignment="1" applyFont="1">
      <alignment readingOrder="0"/>
    </xf>
    <xf borderId="5" fillId="0" fontId="3" numFmtId="0" xfId="0" applyAlignment="1" applyBorder="1" applyFont="1">
      <alignment horizontal="center" shrinkToFit="0" wrapText="1"/>
    </xf>
    <xf borderId="6" fillId="2" fontId="15" numFmtId="14" xfId="0" applyAlignment="1" applyBorder="1" applyFont="1" applyNumberFormat="1">
      <alignment horizontal="center" readingOrder="0"/>
    </xf>
    <xf borderId="7" fillId="2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right"/>
    </xf>
    <xf borderId="5" fillId="3" fontId="16" numFmtId="0" xfId="0" applyAlignment="1" applyBorder="1" applyFont="1">
      <alignment horizontal="center" readingOrder="0"/>
    </xf>
    <xf borderId="5" fillId="0" fontId="16" numFmtId="0" xfId="0" applyAlignment="1" applyBorder="1" applyFont="1">
      <alignment horizontal="center"/>
    </xf>
    <xf borderId="5" fillId="0" fontId="0" numFmtId="9" xfId="0" applyAlignment="1" applyBorder="1" applyFont="1" applyNumberFormat="1">
      <alignment horizontal="center"/>
    </xf>
    <xf borderId="11" fillId="5" fontId="3" numFmtId="0" xfId="0" applyAlignment="1" applyBorder="1" applyFont="1">
      <alignment horizontal="right" readingOrder="0"/>
    </xf>
    <xf borderId="12" fillId="5" fontId="16" numFmtId="0" xfId="0" applyAlignment="1" applyBorder="1" applyFont="1">
      <alignment horizontal="center"/>
    </xf>
    <xf borderId="12" fillId="5" fontId="16" numFmtId="0" xfId="0" applyAlignment="1" applyBorder="1" applyFont="1">
      <alignment horizontal="center" readingOrder="0"/>
    </xf>
    <xf borderId="9" fillId="5" fontId="3" numFmtId="0" xfId="0" applyAlignment="1" applyBorder="1" applyFont="1">
      <alignment horizontal="right" readingOrder="0"/>
    </xf>
    <xf borderId="5" fillId="5" fontId="16" numFmtId="0" xfId="0" applyAlignment="1" applyBorder="1" applyFont="1">
      <alignment horizontal="center"/>
    </xf>
    <xf borderId="5" fillId="5" fontId="16" numFmtId="0" xfId="0" applyAlignment="1" applyBorder="1" applyFont="1">
      <alignment horizontal="center" readingOrder="0"/>
    </xf>
    <xf borderId="14" fillId="6" fontId="3" numFmtId="0" xfId="0" applyAlignment="1" applyBorder="1" applyFont="1">
      <alignment readingOrder="0"/>
    </xf>
    <xf borderId="9" fillId="6" fontId="3" numFmtId="0" xfId="0" applyAlignment="1" applyBorder="1" applyFont="1">
      <alignment horizontal="right" readingOrder="0"/>
    </xf>
    <xf borderId="5" fillId="7" fontId="16" numFmtId="0" xfId="0" applyAlignment="1" applyBorder="1" applyFont="1">
      <alignment horizontal="center"/>
    </xf>
    <xf borderId="5" fillId="7" fontId="16" numFmtId="0" xfId="0" applyAlignment="1" applyBorder="1" applyFont="1">
      <alignment horizontal="center" readingOrder="0"/>
    </xf>
    <xf borderId="12" fillId="7" fontId="16" numFmtId="0" xfId="0" applyAlignment="1" applyBorder="1" applyFont="1">
      <alignment horizontal="center"/>
    </xf>
    <xf borderId="14" fillId="0" fontId="3" numFmtId="0" xfId="0" applyAlignment="1" applyBorder="1" applyFont="1">
      <alignment readingOrder="0"/>
    </xf>
    <xf borderId="9" fillId="0" fontId="3" numFmtId="0" xfId="0" applyAlignment="1" applyBorder="1" applyFont="1">
      <alignment horizontal="right" readingOrder="0"/>
    </xf>
    <xf borderId="5" fillId="3" fontId="16" numFmtId="0" xfId="0" applyAlignment="1" applyBorder="1" applyFont="1">
      <alignment horizontal="center"/>
    </xf>
    <xf borderId="12" fillId="3" fontId="16" numFmtId="0" xfId="0" applyAlignment="1" applyBorder="1" applyFont="1">
      <alignment horizontal="center"/>
    </xf>
    <xf borderId="17" fillId="6" fontId="3" numFmtId="0" xfId="0" applyAlignment="1" applyBorder="1" applyFont="1">
      <alignment horizontal="right" readingOrder="0"/>
    </xf>
    <xf borderId="18" fillId="7" fontId="16" numFmtId="0" xfId="0" applyAlignment="1" applyBorder="1" applyFont="1">
      <alignment horizontal="center" readingOrder="0"/>
    </xf>
    <xf borderId="18" fillId="7" fontId="16" numFmtId="0" xfId="0" applyAlignment="1" applyBorder="1" applyFont="1">
      <alignment horizontal="center"/>
    </xf>
    <xf borderId="19" fillId="7" fontId="16" numFmtId="0" xfId="0" applyAlignment="1" applyBorder="1" applyFont="1">
      <alignment horizontal="center"/>
    </xf>
    <xf borderId="0" fillId="0" fontId="0" numFmtId="0" xfId="0" applyFont="1"/>
    <xf borderId="0" fillId="0" fontId="0" numFmtId="0" xfId="0" applyAlignment="1" applyFont="1">
      <alignment horizontal="center"/>
    </xf>
    <xf borderId="12" fillId="7" fontId="16" numFmtId="0" xfId="0" applyAlignment="1" applyBorder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horizontal="center"/>
    </xf>
    <xf borderId="5" fillId="3" fontId="7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readingOrder="0" vertical="bottom"/>
    </xf>
    <xf borderId="6" fillId="2" fontId="17" numFmtId="14" xfId="0" applyAlignment="1" applyBorder="1" applyFont="1" applyNumberFormat="1">
      <alignment horizontal="center"/>
    </xf>
    <xf borderId="0" fillId="0" fontId="0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7" fillId="0" fontId="8" numFmtId="0" xfId="0" applyAlignment="1" applyBorder="1" applyFont="1">
      <alignment horizontal="center" vertical="bottom"/>
    </xf>
    <xf borderId="5" fillId="8" fontId="8" numFmtId="10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right" readingOrder="0" vertical="center"/>
    </xf>
    <xf borderId="13" fillId="9" fontId="0" numFmtId="0" xfId="0" applyAlignment="1" applyBorder="1" applyFont="1">
      <alignment readingOrder="0" vertical="bottom"/>
    </xf>
    <xf borderId="11" fillId="5" fontId="3" numFmtId="0" xfId="0" applyAlignment="1" applyBorder="1" applyFont="1">
      <alignment horizontal="center" readingOrder="0" vertical="bottom"/>
    </xf>
    <xf borderId="9" fillId="5" fontId="3" numFmtId="0" xfId="0" applyAlignment="1" applyBorder="1" applyFont="1">
      <alignment horizontal="center" readingOrder="0" vertical="bottom"/>
    </xf>
    <xf borderId="9" fillId="5" fontId="3" numFmtId="0" xfId="0" applyAlignment="1" applyBorder="1" applyFont="1">
      <alignment horizontal="center" vertical="bottom"/>
    </xf>
    <xf borderId="14" fillId="6" fontId="3" numFmtId="0" xfId="0" applyAlignment="1" applyBorder="1" applyFont="1">
      <alignment horizontal="center" readingOrder="0" vertical="bottom"/>
    </xf>
    <xf borderId="9" fillId="6" fontId="3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horizontal="center" readingOrder="0" vertical="bottom"/>
    </xf>
    <xf borderId="0" fillId="0" fontId="2" numFmtId="1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5" fillId="14" fontId="3" numFmtId="0" xfId="0" applyAlignment="1" applyBorder="1" applyFill="1" applyFont="1">
      <alignment horizontal="right" vertical="bottom"/>
    </xf>
    <xf borderId="2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22" fillId="0" fontId="2" numFmtId="0" xfId="0" applyAlignment="1" applyBorder="1" applyFont="1">
      <alignment vertical="bottom"/>
    </xf>
    <xf borderId="5" fillId="0" fontId="2" numFmtId="1" xfId="0" applyAlignment="1" applyBorder="1" applyFont="1" applyNumberFormat="1">
      <alignment horizontal="center" vertical="bottom"/>
    </xf>
    <xf borderId="5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5" fillId="8" fontId="3" numFmtId="0" xfId="0" applyAlignment="1" applyBorder="1" applyFont="1">
      <alignment horizontal="right" vertical="bottom"/>
    </xf>
    <xf borderId="0" fillId="0" fontId="19" numFmtId="0" xfId="0" applyAlignment="1" applyFont="1">
      <alignment readingOrder="0" vertical="bottom"/>
    </xf>
    <xf borderId="5" fillId="0" fontId="19" numFmtId="0" xfId="0" applyAlignment="1" applyBorder="1" applyFont="1">
      <alignment readingOrder="0" vertical="bottom"/>
    </xf>
    <xf borderId="23" fillId="0" fontId="2" numFmtId="0" xfId="0" applyAlignment="1" applyBorder="1" applyFont="1">
      <alignment vertical="bottom"/>
    </xf>
    <xf borderId="23" fillId="0" fontId="19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5" fillId="15" fontId="2" numFmtId="0" xfId="0" applyAlignment="1" applyBorder="1" applyFill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5" fillId="15" fontId="2" numFmtId="0" xfId="0" applyAlignment="1" applyBorder="1" applyFont="1">
      <alignment horizontal="right" readingOrder="0" vertical="bottom"/>
    </xf>
    <xf borderId="5" fillId="10" fontId="3" numFmtId="0" xfId="0" applyAlignment="1" applyBorder="1" applyFont="1">
      <alignment horizontal="right" vertical="bottom"/>
    </xf>
    <xf borderId="0" fillId="16" fontId="2" numFmtId="0" xfId="0" applyAlignment="1" applyFill="1" applyFont="1">
      <alignment vertical="bottom"/>
    </xf>
    <xf borderId="3" fillId="10" fontId="3" numFmtId="0" xfId="0" applyAlignment="1" applyBorder="1" applyFont="1">
      <alignment horizontal="right" vertical="bottom"/>
    </xf>
    <xf borderId="0" fillId="4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5.71"/>
    <col customWidth="1" min="2" max="2" width="8.86"/>
    <col customWidth="1" min="3" max="4" width="5.86"/>
    <col customWidth="1" min="5" max="5" width="9.43"/>
    <col customWidth="1" min="6" max="14" width="5.86"/>
    <col customWidth="1" min="15" max="16" width="8.71"/>
    <col customWidth="1" min="17" max="17" width="6.43"/>
    <col customWidth="1" min="18" max="23" width="5.86"/>
    <col customWidth="1" min="24" max="24" width="12.71"/>
    <col customWidth="1" min="25" max="25" width="5.86"/>
    <col customWidth="1" min="26" max="26" width="9.57"/>
    <col customWidth="1" min="27" max="27" width="8.14"/>
    <col customWidth="1" min="28" max="28" width="9.14"/>
    <col customWidth="1" min="29" max="29" width="28.0"/>
  </cols>
  <sheetData>
    <row r="1">
      <c r="A1" s="1" t="s">
        <v>0</v>
      </c>
      <c r="AC1" s="2"/>
    </row>
    <row r="2">
      <c r="A2" s="3"/>
      <c r="B2" s="4"/>
      <c r="C2" s="5" t="s">
        <v>1</v>
      </c>
      <c r="D2" s="6"/>
      <c r="E2" s="5" t="s">
        <v>2</v>
      </c>
      <c r="F2" s="6"/>
      <c r="G2" s="5" t="s">
        <v>3</v>
      </c>
      <c r="H2" s="6"/>
      <c r="I2" s="5" t="s">
        <v>4</v>
      </c>
      <c r="J2" s="6"/>
      <c r="K2" s="5" t="s">
        <v>5</v>
      </c>
      <c r="L2" s="6"/>
      <c r="M2" s="5" t="s">
        <v>6</v>
      </c>
      <c r="N2" s="7"/>
      <c r="O2" s="7"/>
      <c r="P2" s="6"/>
      <c r="Q2" s="5" t="s">
        <v>7</v>
      </c>
      <c r="R2" s="6"/>
      <c r="S2" s="5" t="s">
        <v>8</v>
      </c>
      <c r="T2" s="6"/>
      <c r="U2" s="5" t="s">
        <v>9</v>
      </c>
      <c r="V2" s="6"/>
      <c r="W2" s="5" t="s">
        <v>1</v>
      </c>
      <c r="X2" s="7"/>
      <c r="Y2" s="6"/>
      <c r="Z2" s="8"/>
      <c r="AA2" s="3"/>
      <c r="AB2" s="3"/>
      <c r="AC2" s="9"/>
    </row>
    <row r="3">
      <c r="A3" s="3"/>
      <c r="B3" s="10" t="s">
        <v>10</v>
      </c>
      <c r="C3" s="10" t="s">
        <v>11</v>
      </c>
      <c r="D3" s="11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3"/>
      <c r="AB3" s="3"/>
      <c r="AC3" s="9"/>
    </row>
    <row r="4">
      <c r="A4" s="1" t="s">
        <v>35</v>
      </c>
      <c r="AC4" s="12" t="s">
        <v>36</v>
      </c>
    </row>
    <row r="5">
      <c r="A5" s="13">
        <v>46143.0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 t="s">
        <v>37</v>
      </c>
      <c r="AB5" s="16" t="s">
        <v>38</v>
      </c>
      <c r="AC5" s="2"/>
    </row>
    <row r="6">
      <c r="A6" s="17" t="s">
        <v>39</v>
      </c>
      <c r="B6" s="18"/>
      <c r="C6" s="19">
        <v>1.0</v>
      </c>
      <c r="D6" s="19">
        <v>1.0</v>
      </c>
      <c r="E6" s="19">
        <v>0.0</v>
      </c>
      <c r="F6" s="19">
        <v>1.0</v>
      </c>
      <c r="G6" s="19">
        <v>1.0</v>
      </c>
      <c r="H6" s="19">
        <v>1.0</v>
      </c>
      <c r="I6" s="19">
        <v>1.0</v>
      </c>
      <c r="J6" s="19">
        <v>1.0</v>
      </c>
      <c r="K6" s="19">
        <v>1.0</v>
      </c>
      <c r="L6" s="19">
        <v>1.0</v>
      </c>
      <c r="M6" s="19">
        <v>0.0</v>
      </c>
      <c r="N6" s="19">
        <v>1.0</v>
      </c>
      <c r="O6" s="19">
        <v>1.0</v>
      </c>
      <c r="P6" s="19">
        <v>1.0</v>
      </c>
      <c r="Q6" s="19">
        <v>0.0</v>
      </c>
      <c r="R6" s="19">
        <v>1.0</v>
      </c>
      <c r="S6" s="19">
        <v>1.0</v>
      </c>
      <c r="T6" s="19">
        <v>1.0</v>
      </c>
      <c r="U6" s="19">
        <v>1.0</v>
      </c>
      <c r="V6" s="19">
        <v>1.0</v>
      </c>
      <c r="W6" s="19">
        <v>1.0</v>
      </c>
      <c r="X6" s="19">
        <v>1.0</v>
      </c>
      <c r="Y6" s="18"/>
      <c r="Z6" s="18"/>
      <c r="AA6" s="20">
        <f t="shared" ref="AA6:AA10" si="1">SUM(B6:Z6)</f>
        <v>19</v>
      </c>
      <c r="AB6" s="21">
        <f t="shared" ref="AB6:AB9" si="2">AA6/(COUNT(B6:Z6)*1)</f>
        <v>0.8636363636</v>
      </c>
      <c r="AC6" s="2"/>
    </row>
    <row r="7">
      <c r="A7" s="17" t="s">
        <v>40</v>
      </c>
      <c r="B7" s="18"/>
      <c r="C7" s="19">
        <v>0.0</v>
      </c>
      <c r="D7" s="19">
        <v>1.0</v>
      </c>
      <c r="E7" s="19">
        <v>1.0</v>
      </c>
      <c r="F7" s="19">
        <v>1.0</v>
      </c>
      <c r="G7" s="19">
        <v>1.0</v>
      </c>
      <c r="H7" s="19">
        <v>1.0</v>
      </c>
      <c r="I7" s="19">
        <v>0.0</v>
      </c>
      <c r="J7" s="19">
        <v>1.0</v>
      </c>
      <c r="K7" s="19">
        <v>1.0</v>
      </c>
      <c r="L7" s="19">
        <v>1.0</v>
      </c>
      <c r="M7" s="19">
        <v>0.0</v>
      </c>
      <c r="N7" s="19">
        <v>1.0</v>
      </c>
      <c r="O7" s="19">
        <v>1.0</v>
      </c>
      <c r="P7" s="19">
        <v>1.0</v>
      </c>
      <c r="Q7" s="19">
        <v>0.0</v>
      </c>
      <c r="R7" s="19">
        <v>1.0</v>
      </c>
      <c r="S7" s="19">
        <v>1.0</v>
      </c>
      <c r="T7" s="19">
        <v>1.0</v>
      </c>
      <c r="U7" s="19">
        <v>1.0</v>
      </c>
      <c r="V7" s="19">
        <v>1.0</v>
      </c>
      <c r="W7" s="19">
        <v>1.0</v>
      </c>
      <c r="X7" s="19">
        <v>1.0</v>
      </c>
      <c r="Y7" s="18"/>
      <c r="Z7" s="18"/>
      <c r="AA7" s="20">
        <f t="shared" si="1"/>
        <v>18</v>
      </c>
      <c r="AB7" s="21">
        <f t="shared" si="2"/>
        <v>0.8181818182</v>
      </c>
      <c r="AC7" s="2"/>
    </row>
    <row r="8">
      <c r="A8" s="17" t="s">
        <v>41</v>
      </c>
      <c r="B8" s="18"/>
      <c r="C8" s="19">
        <v>0.0</v>
      </c>
      <c r="D8" s="19">
        <v>0.0</v>
      </c>
      <c r="E8" s="19">
        <v>1.0</v>
      </c>
      <c r="F8" s="19">
        <v>1.0</v>
      </c>
      <c r="G8" s="19">
        <v>1.0</v>
      </c>
      <c r="H8" s="19">
        <v>1.0</v>
      </c>
      <c r="I8" s="19">
        <v>0.0</v>
      </c>
      <c r="J8" s="19">
        <v>1.0</v>
      </c>
      <c r="K8" s="19">
        <v>1.0</v>
      </c>
      <c r="L8" s="19">
        <v>1.0</v>
      </c>
      <c r="M8" s="19">
        <v>0.0</v>
      </c>
      <c r="N8" s="19">
        <v>1.0</v>
      </c>
      <c r="O8" s="19">
        <v>1.0</v>
      </c>
      <c r="P8" s="19">
        <v>1.0</v>
      </c>
      <c r="Q8" s="19">
        <v>0.0</v>
      </c>
      <c r="R8" s="19">
        <v>1.0</v>
      </c>
      <c r="S8" s="19">
        <v>1.0</v>
      </c>
      <c r="T8" s="19">
        <v>1.0</v>
      </c>
      <c r="U8" s="19">
        <v>1.0</v>
      </c>
      <c r="V8" s="19">
        <v>1.0</v>
      </c>
      <c r="W8" s="19">
        <v>1.0</v>
      </c>
      <c r="X8" s="19">
        <v>1.0</v>
      </c>
      <c r="Y8" s="18"/>
      <c r="Z8" s="18"/>
      <c r="AA8" s="20">
        <f t="shared" si="1"/>
        <v>17</v>
      </c>
      <c r="AB8" s="21">
        <f t="shared" si="2"/>
        <v>0.7727272727</v>
      </c>
      <c r="AC8" s="2"/>
    </row>
    <row r="9">
      <c r="A9" s="17" t="s">
        <v>42</v>
      </c>
      <c r="B9" s="18"/>
      <c r="C9" s="19">
        <v>1.0</v>
      </c>
      <c r="D9" s="19">
        <v>1.0</v>
      </c>
      <c r="E9" s="19">
        <v>1.0</v>
      </c>
      <c r="F9" s="19">
        <v>1.0</v>
      </c>
      <c r="G9" s="19">
        <v>1.0</v>
      </c>
      <c r="H9" s="19">
        <v>1.0</v>
      </c>
      <c r="I9" s="19">
        <v>0.0</v>
      </c>
      <c r="J9" s="19">
        <v>1.0</v>
      </c>
      <c r="K9" s="19">
        <v>1.0</v>
      </c>
      <c r="L9" s="19">
        <v>1.0</v>
      </c>
      <c r="M9" s="19">
        <v>1.0</v>
      </c>
      <c r="N9" s="19">
        <v>1.0</v>
      </c>
      <c r="O9" s="19">
        <v>1.0</v>
      </c>
      <c r="P9" s="19">
        <v>1.0</v>
      </c>
      <c r="Q9" s="19">
        <v>0.0</v>
      </c>
      <c r="R9" s="19">
        <v>1.0</v>
      </c>
      <c r="S9" s="19">
        <v>1.0</v>
      </c>
      <c r="T9" s="19">
        <v>1.0</v>
      </c>
      <c r="U9" s="19">
        <v>1.0</v>
      </c>
      <c r="V9" s="19">
        <v>1.0</v>
      </c>
      <c r="W9" s="19">
        <v>1.0</v>
      </c>
      <c r="X9" s="19">
        <v>1.0</v>
      </c>
      <c r="Y9" s="18"/>
      <c r="Z9" s="18"/>
      <c r="AA9" s="20">
        <f t="shared" si="1"/>
        <v>20</v>
      </c>
      <c r="AB9" s="21">
        <f t="shared" si="2"/>
        <v>0.9090909091</v>
      </c>
      <c r="AC9" s="2"/>
    </row>
    <row r="10">
      <c r="A10" s="17" t="s">
        <v>43</v>
      </c>
      <c r="B10" s="22">
        <f t="shared" ref="B10:Z10" si="3">SUM(B6:B9)</f>
        <v>0</v>
      </c>
      <c r="C10" s="22">
        <f t="shared" si="3"/>
        <v>2</v>
      </c>
      <c r="D10" s="22">
        <f t="shared" si="3"/>
        <v>3</v>
      </c>
      <c r="E10" s="22">
        <f t="shared" si="3"/>
        <v>3</v>
      </c>
      <c r="F10" s="22">
        <f t="shared" si="3"/>
        <v>4</v>
      </c>
      <c r="G10" s="22">
        <f t="shared" si="3"/>
        <v>4</v>
      </c>
      <c r="H10" s="22">
        <f t="shared" si="3"/>
        <v>4</v>
      </c>
      <c r="I10" s="22">
        <f t="shared" si="3"/>
        <v>1</v>
      </c>
      <c r="J10" s="22">
        <f t="shared" si="3"/>
        <v>4</v>
      </c>
      <c r="K10" s="22">
        <f t="shared" si="3"/>
        <v>4</v>
      </c>
      <c r="L10" s="22">
        <f t="shared" si="3"/>
        <v>4</v>
      </c>
      <c r="M10" s="22">
        <f t="shared" si="3"/>
        <v>1</v>
      </c>
      <c r="N10" s="22">
        <f t="shared" si="3"/>
        <v>4</v>
      </c>
      <c r="O10" s="22">
        <f t="shared" si="3"/>
        <v>4</v>
      </c>
      <c r="P10" s="22">
        <f t="shared" si="3"/>
        <v>4</v>
      </c>
      <c r="Q10" s="22">
        <f t="shared" si="3"/>
        <v>0</v>
      </c>
      <c r="R10" s="22">
        <f t="shared" si="3"/>
        <v>4</v>
      </c>
      <c r="S10" s="22">
        <f t="shared" si="3"/>
        <v>4</v>
      </c>
      <c r="T10" s="22">
        <f t="shared" si="3"/>
        <v>4</v>
      </c>
      <c r="U10" s="22">
        <f t="shared" si="3"/>
        <v>4</v>
      </c>
      <c r="V10" s="22">
        <f t="shared" si="3"/>
        <v>4</v>
      </c>
      <c r="W10" s="22">
        <f t="shared" si="3"/>
        <v>4</v>
      </c>
      <c r="X10" s="22">
        <f t="shared" si="3"/>
        <v>4</v>
      </c>
      <c r="Y10" s="22">
        <f t="shared" si="3"/>
        <v>0</v>
      </c>
      <c r="Z10" s="22">
        <f t="shared" si="3"/>
        <v>0</v>
      </c>
      <c r="AA10" s="20">
        <f t="shared" si="1"/>
        <v>74</v>
      </c>
      <c r="AB10" s="23"/>
      <c r="AC10" s="2"/>
    </row>
    <row r="11">
      <c r="A11" s="17" t="s">
        <v>38</v>
      </c>
      <c r="B11" s="24" t="str">
        <f t="shared" ref="B11:Z11" si="4">B10/(COUNT(B6:B9)*1)</f>
        <v>#DIV/0!</v>
      </c>
      <c r="C11" s="24">
        <f t="shared" si="4"/>
        <v>0.5</v>
      </c>
      <c r="D11" s="24">
        <f t="shared" si="4"/>
        <v>0.75</v>
      </c>
      <c r="E11" s="24">
        <f t="shared" si="4"/>
        <v>0.75</v>
      </c>
      <c r="F11" s="24">
        <f t="shared" si="4"/>
        <v>1</v>
      </c>
      <c r="G11" s="24">
        <f t="shared" si="4"/>
        <v>1</v>
      </c>
      <c r="H11" s="24">
        <f t="shared" si="4"/>
        <v>1</v>
      </c>
      <c r="I11" s="24">
        <f t="shared" si="4"/>
        <v>0.25</v>
      </c>
      <c r="J11" s="24">
        <f t="shared" si="4"/>
        <v>1</v>
      </c>
      <c r="K11" s="24">
        <f t="shared" si="4"/>
        <v>1</v>
      </c>
      <c r="L11" s="24">
        <f t="shared" si="4"/>
        <v>1</v>
      </c>
      <c r="M11" s="24">
        <f t="shared" si="4"/>
        <v>0.25</v>
      </c>
      <c r="N11" s="24">
        <f t="shared" si="4"/>
        <v>1</v>
      </c>
      <c r="O11" s="24">
        <f t="shared" si="4"/>
        <v>1</v>
      </c>
      <c r="P11" s="24">
        <f t="shared" si="4"/>
        <v>1</v>
      </c>
      <c r="Q11" s="24">
        <f t="shared" si="4"/>
        <v>0</v>
      </c>
      <c r="R11" s="24">
        <f t="shared" si="4"/>
        <v>1</v>
      </c>
      <c r="S11" s="24">
        <f t="shared" si="4"/>
        <v>1</v>
      </c>
      <c r="T11" s="24">
        <f t="shared" si="4"/>
        <v>1</v>
      </c>
      <c r="U11" s="24">
        <f t="shared" si="4"/>
        <v>1</v>
      </c>
      <c r="V11" s="24">
        <f t="shared" si="4"/>
        <v>1</v>
      </c>
      <c r="W11" s="24">
        <f t="shared" si="4"/>
        <v>1</v>
      </c>
      <c r="X11" s="24">
        <f t="shared" si="4"/>
        <v>1</v>
      </c>
      <c r="Y11" s="24" t="str">
        <f t="shared" si="4"/>
        <v>#DIV/0!</v>
      </c>
      <c r="Z11" s="24" t="str">
        <f t="shared" si="4"/>
        <v>#DIV/0!</v>
      </c>
      <c r="AA11" s="25"/>
      <c r="AB11" s="26">
        <f>SUM(AB6:AB9)/4</f>
        <v>0.8409090909</v>
      </c>
      <c r="AC11" s="2"/>
    </row>
    <row r="12">
      <c r="A12" s="27" t="s">
        <v>44</v>
      </c>
      <c r="B12" s="28"/>
      <c r="C12" s="29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30">
        <f t="shared" ref="AA12:AA14" si="5">SUM(B12:Z12)</f>
        <v>0</v>
      </c>
      <c r="AB12" s="31"/>
      <c r="AC12" s="2"/>
    </row>
    <row r="13">
      <c r="A13" s="32" t="s">
        <v>45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28"/>
      <c r="W13" s="28"/>
      <c r="X13" s="28"/>
      <c r="Y13" s="28"/>
      <c r="Z13" s="28"/>
      <c r="AA13" s="30">
        <f t="shared" si="5"/>
        <v>0</v>
      </c>
      <c r="AB13" s="31"/>
      <c r="AC13" s="9"/>
    </row>
    <row r="14">
      <c r="A14" s="34" t="s">
        <v>46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28"/>
      <c r="W14" s="28"/>
      <c r="X14" s="28"/>
      <c r="Y14" s="28"/>
      <c r="Z14" s="28"/>
      <c r="AA14" s="30">
        <f t="shared" si="5"/>
        <v>0</v>
      </c>
      <c r="AB14" s="31"/>
      <c r="AC14" s="9"/>
    </row>
    <row r="15">
      <c r="A15" s="35" t="s">
        <v>47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8"/>
      <c r="AB15" s="39"/>
      <c r="AC15" s="2"/>
    </row>
    <row r="16">
      <c r="A16" s="40" t="s">
        <v>48</v>
      </c>
      <c r="B16" s="41"/>
      <c r="C16" s="42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3"/>
      <c r="W16" s="43"/>
      <c r="X16" s="43"/>
      <c r="Y16" s="43"/>
      <c r="Z16" s="43"/>
      <c r="AA16" s="44">
        <f t="shared" ref="AA16:AA17" si="6">SUM(B16:Z16)</f>
        <v>0</v>
      </c>
      <c r="AB16" s="31"/>
      <c r="AC16" s="2"/>
    </row>
    <row r="17">
      <c r="A17" s="40" t="s">
        <v>49</v>
      </c>
      <c r="B17" s="41"/>
      <c r="C17" s="42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3"/>
      <c r="W17" s="43"/>
      <c r="X17" s="43"/>
      <c r="Y17" s="43"/>
      <c r="Z17" s="43"/>
      <c r="AA17" s="44">
        <f t="shared" si="6"/>
        <v>0</v>
      </c>
      <c r="AB17" s="31"/>
      <c r="AC17" s="2"/>
    </row>
    <row r="18">
      <c r="A18" s="40" t="s">
        <v>50</v>
      </c>
      <c r="B18" s="42"/>
      <c r="C18" s="42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3"/>
      <c r="W18" s="43"/>
      <c r="X18" s="43"/>
      <c r="Y18" s="43"/>
      <c r="Z18" s="43"/>
      <c r="AA18" s="44" t="str">
        <f>AVERAGE(B18:Z18)</f>
        <v>#DIV/0!</v>
      </c>
      <c r="AB18" s="31"/>
      <c r="AC18" s="2"/>
    </row>
    <row r="19">
      <c r="A19" s="45" t="s">
        <v>51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7"/>
      <c r="AA19" s="46"/>
      <c r="AB19" s="39"/>
      <c r="AC19" s="2"/>
    </row>
    <row r="20">
      <c r="A20" s="47" t="s">
        <v>48</v>
      </c>
      <c r="B20" s="48"/>
      <c r="C20" s="49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50"/>
      <c r="W20" s="50"/>
      <c r="X20" s="50"/>
      <c r="Y20" s="50"/>
      <c r="Z20" s="50"/>
      <c r="AA20" s="51">
        <f t="shared" ref="AA20:AA21" si="7">SUM(B20:Z20)</f>
        <v>0</v>
      </c>
      <c r="AB20" s="31"/>
      <c r="AC20" s="2"/>
    </row>
    <row r="21">
      <c r="A21" s="47" t="s">
        <v>49</v>
      </c>
      <c r="B21" s="48"/>
      <c r="C21" s="49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50"/>
      <c r="W21" s="50"/>
      <c r="X21" s="50"/>
      <c r="Y21" s="50"/>
      <c r="Z21" s="50"/>
      <c r="AA21" s="51">
        <f t="shared" si="7"/>
        <v>0</v>
      </c>
      <c r="AB21" s="31"/>
      <c r="AC21" s="2"/>
    </row>
    <row r="22">
      <c r="A22" s="47" t="s">
        <v>52</v>
      </c>
      <c r="B22" s="49"/>
      <c r="C22" s="49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50"/>
      <c r="W22" s="50"/>
      <c r="X22" s="50"/>
      <c r="Y22" s="50"/>
      <c r="Z22" s="50"/>
      <c r="AA22" s="51" t="str">
        <f>AVERAGE(B22:Z22)</f>
        <v>#DIV/0!</v>
      </c>
      <c r="AB22" s="31"/>
      <c r="AC22" s="2"/>
    </row>
    <row r="23">
      <c r="A23" s="52" t="s">
        <v>53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7"/>
      <c r="AA23" s="38"/>
      <c r="AB23" s="39"/>
      <c r="AC23" s="2"/>
    </row>
    <row r="24">
      <c r="A24" s="40" t="s">
        <v>48</v>
      </c>
      <c r="B24" s="41"/>
      <c r="C24" s="42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3"/>
      <c r="W24" s="43"/>
      <c r="X24" s="43"/>
      <c r="Y24" s="43"/>
      <c r="Z24" s="43"/>
      <c r="AA24" s="44">
        <f t="shared" ref="AA24:AA25" si="8">SUM(B24:Z24)</f>
        <v>0</v>
      </c>
      <c r="AB24" s="31"/>
      <c r="AC24" s="2"/>
    </row>
    <row r="25">
      <c r="A25" s="40" t="s">
        <v>49</v>
      </c>
      <c r="B25" s="41"/>
      <c r="C25" s="42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3"/>
      <c r="W25" s="43"/>
      <c r="X25" s="43"/>
      <c r="Y25" s="43"/>
      <c r="Z25" s="43"/>
      <c r="AA25" s="44">
        <f t="shared" si="8"/>
        <v>0</v>
      </c>
      <c r="AB25" s="31"/>
      <c r="AC25" s="2"/>
    </row>
    <row r="26">
      <c r="A26" s="53" t="s">
        <v>50</v>
      </c>
      <c r="B26" s="54"/>
      <c r="C26" s="54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6"/>
      <c r="W26" s="56"/>
      <c r="X26" s="56"/>
      <c r="Y26" s="56"/>
      <c r="Z26" s="56"/>
      <c r="AA26" s="57" t="str">
        <f>AVERAGE(B26:Z26)</f>
        <v>#DIV/0!</v>
      </c>
      <c r="AB26" s="58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59"/>
      <c r="AB27" s="59"/>
      <c r="AC27" s="2"/>
    </row>
    <row r="28">
      <c r="A28" s="13">
        <v>46146.0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 t="s">
        <v>37</v>
      </c>
      <c r="AB28" s="16" t="s">
        <v>38</v>
      </c>
      <c r="AC28" s="2"/>
    </row>
    <row r="29">
      <c r="A29" s="17" t="s">
        <v>39</v>
      </c>
      <c r="B29" s="19">
        <v>1.0</v>
      </c>
      <c r="C29" s="19">
        <v>1.0</v>
      </c>
      <c r="D29" s="19">
        <v>1.0</v>
      </c>
      <c r="E29" s="19">
        <v>1.0</v>
      </c>
      <c r="F29" s="19">
        <v>1.0</v>
      </c>
      <c r="G29" s="19">
        <v>1.0</v>
      </c>
      <c r="H29" s="19">
        <v>1.0</v>
      </c>
      <c r="I29" s="19">
        <v>1.0</v>
      </c>
      <c r="J29" s="19">
        <v>1.0</v>
      </c>
      <c r="K29" s="19">
        <v>1.0</v>
      </c>
      <c r="L29" s="19">
        <v>1.0</v>
      </c>
      <c r="M29" s="19">
        <v>1.0</v>
      </c>
      <c r="N29" s="19">
        <v>0.0</v>
      </c>
      <c r="O29" s="19">
        <v>1.0</v>
      </c>
      <c r="P29" s="19">
        <v>1.0</v>
      </c>
      <c r="Q29" s="19">
        <v>1.0</v>
      </c>
      <c r="R29" s="19">
        <v>0.0</v>
      </c>
      <c r="S29" s="19">
        <v>1.0</v>
      </c>
      <c r="T29" s="19">
        <v>1.0</v>
      </c>
      <c r="U29" s="19">
        <v>1.0</v>
      </c>
      <c r="V29" s="19">
        <v>1.0</v>
      </c>
      <c r="W29" s="19">
        <v>1.0</v>
      </c>
      <c r="X29" s="19">
        <v>1.0</v>
      </c>
      <c r="Y29" s="19">
        <v>1.0</v>
      </c>
      <c r="Z29" s="18"/>
      <c r="AA29" s="20">
        <f t="shared" ref="AA29:AA33" si="9">SUM(B29:Z29)</f>
        <v>22</v>
      </c>
      <c r="AB29" s="21">
        <f t="shared" ref="AB29:AB32" si="10">AA29/(COUNT(B29:Z29)*1)</f>
        <v>0.9166666667</v>
      </c>
      <c r="AC29" s="2"/>
    </row>
    <row r="30">
      <c r="A30" s="17" t="s">
        <v>40</v>
      </c>
      <c r="B30" s="19">
        <v>1.0</v>
      </c>
      <c r="C30" s="19">
        <v>0.0</v>
      </c>
      <c r="D30" s="19">
        <v>0.0</v>
      </c>
      <c r="E30" s="19">
        <v>1.0</v>
      </c>
      <c r="F30" s="19">
        <v>0.0</v>
      </c>
      <c r="G30" s="19">
        <v>0.0</v>
      </c>
      <c r="H30" s="19">
        <v>0.0</v>
      </c>
      <c r="I30" s="19">
        <v>1.0</v>
      </c>
      <c r="J30" s="19">
        <v>1.0</v>
      </c>
      <c r="K30" s="19">
        <v>1.0</v>
      </c>
      <c r="L30" s="19">
        <v>1.0</v>
      </c>
      <c r="M30" s="19">
        <v>1.0</v>
      </c>
      <c r="N30" s="19">
        <v>0.0</v>
      </c>
      <c r="O30" s="19">
        <v>1.0</v>
      </c>
      <c r="P30" s="19">
        <v>1.0</v>
      </c>
      <c r="Q30" s="19">
        <v>1.0</v>
      </c>
      <c r="R30" s="19">
        <v>1.0</v>
      </c>
      <c r="S30" s="19">
        <v>0.0</v>
      </c>
      <c r="T30" s="19">
        <v>1.0</v>
      </c>
      <c r="U30" s="19">
        <v>1.0</v>
      </c>
      <c r="V30" s="19">
        <v>1.0</v>
      </c>
      <c r="W30" s="19">
        <v>1.0</v>
      </c>
      <c r="X30" s="19">
        <v>1.0</v>
      </c>
      <c r="Y30" s="19">
        <v>1.0</v>
      </c>
      <c r="Z30" s="18"/>
      <c r="AA30" s="20">
        <f t="shared" si="9"/>
        <v>17</v>
      </c>
      <c r="AB30" s="21">
        <f t="shared" si="10"/>
        <v>0.7083333333</v>
      </c>
      <c r="AC30" s="2"/>
    </row>
    <row r="31">
      <c r="A31" s="17" t="s">
        <v>41</v>
      </c>
      <c r="B31" s="19">
        <v>1.0</v>
      </c>
      <c r="C31" s="19">
        <v>0.0</v>
      </c>
      <c r="D31" s="19">
        <v>0.0</v>
      </c>
      <c r="E31" s="19">
        <v>0.0</v>
      </c>
      <c r="F31" s="19">
        <v>0.0</v>
      </c>
      <c r="G31" s="19">
        <v>0.0</v>
      </c>
      <c r="H31" s="19">
        <v>0.0</v>
      </c>
      <c r="I31" s="19">
        <v>0.0</v>
      </c>
      <c r="J31" s="19">
        <v>0.0</v>
      </c>
      <c r="K31" s="19">
        <v>0.0</v>
      </c>
      <c r="L31" s="19">
        <v>0.0</v>
      </c>
      <c r="M31" s="19">
        <v>0.0</v>
      </c>
      <c r="N31" s="19">
        <v>0.0</v>
      </c>
      <c r="O31" s="19">
        <v>1.0</v>
      </c>
      <c r="P31" s="19">
        <v>1.0</v>
      </c>
      <c r="Q31" s="19">
        <v>1.0</v>
      </c>
      <c r="R31" s="19">
        <v>1.0</v>
      </c>
      <c r="S31" s="19">
        <v>0.0</v>
      </c>
      <c r="T31" s="19">
        <v>0.0</v>
      </c>
      <c r="U31" s="19">
        <v>0.0</v>
      </c>
      <c r="V31" s="19">
        <v>1.0</v>
      </c>
      <c r="W31" s="19">
        <v>0.0</v>
      </c>
      <c r="X31" s="19">
        <v>0.0</v>
      </c>
      <c r="Y31" s="19">
        <v>0.0</v>
      </c>
      <c r="Z31" s="18"/>
      <c r="AA31" s="20">
        <f t="shared" si="9"/>
        <v>6</v>
      </c>
      <c r="AB31" s="21">
        <f t="shared" si="10"/>
        <v>0.25</v>
      </c>
      <c r="AC31" s="2"/>
    </row>
    <row r="32">
      <c r="A32" s="17" t="s">
        <v>42</v>
      </c>
      <c r="B32" s="19">
        <v>1.0</v>
      </c>
      <c r="C32" s="19">
        <v>0.0</v>
      </c>
      <c r="D32" s="19">
        <v>0.0</v>
      </c>
      <c r="E32" s="19">
        <v>1.0</v>
      </c>
      <c r="F32" s="19">
        <v>1.0</v>
      </c>
      <c r="G32" s="19">
        <v>0.0</v>
      </c>
      <c r="H32" s="19">
        <v>1.0</v>
      </c>
      <c r="I32" s="19">
        <v>0.0</v>
      </c>
      <c r="J32" s="19">
        <v>0.0</v>
      </c>
      <c r="K32" s="19">
        <v>1.0</v>
      </c>
      <c r="L32" s="19">
        <v>0.0</v>
      </c>
      <c r="M32" s="19">
        <v>0.0</v>
      </c>
      <c r="N32" s="19">
        <v>0.0</v>
      </c>
      <c r="O32" s="19">
        <v>1.0</v>
      </c>
      <c r="P32" s="19">
        <v>1.0</v>
      </c>
      <c r="Q32" s="19">
        <v>1.0</v>
      </c>
      <c r="R32" s="19">
        <v>1.0</v>
      </c>
      <c r="S32" s="19">
        <v>0.0</v>
      </c>
      <c r="T32" s="19">
        <v>1.0</v>
      </c>
      <c r="U32" s="19">
        <v>1.0</v>
      </c>
      <c r="V32" s="19">
        <v>1.0</v>
      </c>
      <c r="W32" s="19">
        <v>0.0</v>
      </c>
      <c r="X32" s="19">
        <v>0.0</v>
      </c>
      <c r="Y32" s="19">
        <v>1.0</v>
      </c>
      <c r="Z32" s="18"/>
      <c r="AA32" s="20">
        <f t="shared" si="9"/>
        <v>13</v>
      </c>
      <c r="AB32" s="21">
        <f t="shared" si="10"/>
        <v>0.5416666667</v>
      </c>
      <c r="AC32" s="2"/>
    </row>
    <row r="33">
      <c r="A33" s="17" t="s">
        <v>43</v>
      </c>
      <c r="B33" s="22">
        <f t="shared" ref="B33:Z33" si="11">SUM(B29:B32)</f>
        <v>4</v>
      </c>
      <c r="C33" s="22">
        <f t="shared" si="11"/>
        <v>1</v>
      </c>
      <c r="D33" s="22">
        <f t="shared" si="11"/>
        <v>1</v>
      </c>
      <c r="E33" s="22">
        <f t="shared" si="11"/>
        <v>3</v>
      </c>
      <c r="F33" s="22">
        <f t="shared" si="11"/>
        <v>2</v>
      </c>
      <c r="G33" s="22">
        <f t="shared" si="11"/>
        <v>1</v>
      </c>
      <c r="H33" s="22">
        <f t="shared" si="11"/>
        <v>2</v>
      </c>
      <c r="I33" s="22">
        <f t="shared" si="11"/>
        <v>2</v>
      </c>
      <c r="J33" s="22">
        <f t="shared" si="11"/>
        <v>2</v>
      </c>
      <c r="K33" s="22">
        <f t="shared" si="11"/>
        <v>3</v>
      </c>
      <c r="L33" s="22">
        <f t="shared" si="11"/>
        <v>2</v>
      </c>
      <c r="M33" s="22">
        <f t="shared" si="11"/>
        <v>2</v>
      </c>
      <c r="N33" s="22">
        <f t="shared" si="11"/>
        <v>0</v>
      </c>
      <c r="O33" s="22">
        <f t="shared" si="11"/>
        <v>4</v>
      </c>
      <c r="P33" s="22">
        <f t="shared" si="11"/>
        <v>4</v>
      </c>
      <c r="Q33" s="22">
        <f t="shared" si="11"/>
        <v>4</v>
      </c>
      <c r="R33" s="22">
        <f t="shared" si="11"/>
        <v>3</v>
      </c>
      <c r="S33" s="22">
        <f t="shared" si="11"/>
        <v>1</v>
      </c>
      <c r="T33" s="22">
        <f t="shared" si="11"/>
        <v>3</v>
      </c>
      <c r="U33" s="22">
        <f t="shared" si="11"/>
        <v>3</v>
      </c>
      <c r="V33" s="22">
        <f t="shared" si="11"/>
        <v>4</v>
      </c>
      <c r="W33" s="22">
        <f t="shared" si="11"/>
        <v>2</v>
      </c>
      <c r="X33" s="22">
        <f t="shared" si="11"/>
        <v>2</v>
      </c>
      <c r="Y33" s="22">
        <f t="shared" si="11"/>
        <v>3</v>
      </c>
      <c r="Z33" s="22">
        <f t="shared" si="11"/>
        <v>0</v>
      </c>
      <c r="AA33" s="20">
        <f t="shared" si="9"/>
        <v>58</v>
      </c>
      <c r="AB33" s="23"/>
      <c r="AC33" s="2"/>
    </row>
    <row r="34">
      <c r="A34" s="17" t="s">
        <v>38</v>
      </c>
      <c r="B34" s="24">
        <f t="shared" ref="B34:Z34" si="12">B33/(COUNT(B29:B32)*1)</f>
        <v>1</v>
      </c>
      <c r="C34" s="24">
        <f t="shared" si="12"/>
        <v>0.25</v>
      </c>
      <c r="D34" s="24">
        <f t="shared" si="12"/>
        <v>0.25</v>
      </c>
      <c r="E34" s="24">
        <f t="shared" si="12"/>
        <v>0.75</v>
      </c>
      <c r="F34" s="24">
        <f t="shared" si="12"/>
        <v>0.5</v>
      </c>
      <c r="G34" s="24">
        <f t="shared" si="12"/>
        <v>0.25</v>
      </c>
      <c r="H34" s="24">
        <f t="shared" si="12"/>
        <v>0.5</v>
      </c>
      <c r="I34" s="24">
        <f t="shared" si="12"/>
        <v>0.5</v>
      </c>
      <c r="J34" s="24">
        <f t="shared" si="12"/>
        <v>0.5</v>
      </c>
      <c r="K34" s="24">
        <f t="shared" si="12"/>
        <v>0.75</v>
      </c>
      <c r="L34" s="24">
        <f t="shared" si="12"/>
        <v>0.5</v>
      </c>
      <c r="M34" s="24">
        <f t="shared" si="12"/>
        <v>0.5</v>
      </c>
      <c r="N34" s="24">
        <f t="shared" si="12"/>
        <v>0</v>
      </c>
      <c r="O34" s="24">
        <f t="shared" si="12"/>
        <v>1</v>
      </c>
      <c r="P34" s="24">
        <f t="shared" si="12"/>
        <v>1</v>
      </c>
      <c r="Q34" s="24">
        <f t="shared" si="12"/>
        <v>1</v>
      </c>
      <c r="R34" s="24">
        <f t="shared" si="12"/>
        <v>0.75</v>
      </c>
      <c r="S34" s="24">
        <f t="shared" si="12"/>
        <v>0.25</v>
      </c>
      <c r="T34" s="24">
        <f t="shared" si="12"/>
        <v>0.75</v>
      </c>
      <c r="U34" s="24">
        <f t="shared" si="12"/>
        <v>0.75</v>
      </c>
      <c r="V34" s="24">
        <f t="shared" si="12"/>
        <v>1</v>
      </c>
      <c r="W34" s="24">
        <f t="shared" si="12"/>
        <v>0.5</v>
      </c>
      <c r="X34" s="24">
        <f t="shared" si="12"/>
        <v>0.5</v>
      </c>
      <c r="Y34" s="24">
        <f t="shared" si="12"/>
        <v>0.75</v>
      </c>
      <c r="Z34" s="24" t="str">
        <f t="shared" si="12"/>
        <v>#DIV/0!</v>
      </c>
      <c r="AA34" s="25"/>
      <c r="AB34" s="26">
        <f>SUM(AB29:AB32)/4</f>
        <v>0.6041666667</v>
      </c>
      <c r="AC34" s="2"/>
    </row>
    <row r="35">
      <c r="A35" s="27" t="s">
        <v>44</v>
      </c>
      <c r="B35" s="60"/>
      <c r="C35" s="61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30">
        <f t="shared" ref="AA35:AA37" si="13">SUM(B35:Z35)</f>
        <v>0</v>
      </c>
      <c r="AB35" s="31"/>
      <c r="AC35" s="2"/>
    </row>
    <row r="36">
      <c r="A36" s="32" t="s">
        <v>45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0"/>
      <c r="W36" s="60"/>
      <c r="X36" s="60"/>
      <c r="Y36" s="60"/>
      <c r="Z36" s="60"/>
      <c r="AA36" s="30">
        <f t="shared" si="13"/>
        <v>0</v>
      </c>
      <c r="AB36" s="31"/>
      <c r="AC36" s="9"/>
    </row>
    <row r="37">
      <c r="A37" s="34" t="s">
        <v>46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0"/>
      <c r="W37" s="60"/>
      <c r="X37" s="60"/>
      <c r="Y37" s="60"/>
      <c r="Z37" s="60"/>
      <c r="AA37" s="30">
        <f t="shared" si="13"/>
        <v>0</v>
      </c>
      <c r="AB37" s="31"/>
      <c r="AC37" s="9"/>
    </row>
    <row r="38">
      <c r="A38" s="35" t="s">
        <v>47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7"/>
      <c r="AA38" s="38"/>
      <c r="AB38" s="39"/>
      <c r="AC38" s="2"/>
    </row>
    <row r="39">
      <c r="A39" s="40" t="s">
        <v>48</v>
      </c>
      <c r="B39" s="63"/>
      <c r="C39" s="64"/>
      <c r="D39" s="63"/>
      <c r="E39" s="65">
        <v>1.0</v>
      </c>
      <c r="F39" s="65">
        <v>1.0</v>
      </c>
      <c r="G39" s="65">
        <v>1.0</v>
      </c>
      <c r="H39" s="65">
        <v>1.0</v>
      </c>
      <c r="I39" s="65">
        <v>1.0</v>
      </c>
      <c r="J39" s="63"/>
      <c r="K39" s="63"/>
      <c r="L39" s="63"/>
      <c r="M39" s="63"/>
      <c r="N39" s="65">
        <v>1.0</v>
      </c>
      <c r="O39" s="63"/>
      <c r="P39" s="63"/>
      <c r="Q39" s="63"/>
      <c r="R39" s="63"/>
      <c r="S39" s="63"/>
      <c r="T39" s="63"/>
      <c r="U39" s="63"/>
      <c r="V39" s="66"/>
      <c r="W39" s="66"/>
      <c r="X39" s="66"/>
      <c r="Y39" s="66"/>
      <c r="Z39" s="66"/>
      <c r="AA39" s="44">
        <f t="shared" ref="AA39:AA40" si="14">SUM(B39:Z39)</f>
        <v>6</v>
      </c>
      <c r="AB39" s="31"/>
      <c r="AC39" s="2"/>
    </row>
    <row r="40">
      <c r="A40" s="40" t="s">
        <v>49</v>
      </c>
      <c r="B40" s="63"/>
      <c r="C40" s="64"/>
      <c r="D40" s="63"/>
      <c r="E40" s="65">
        <v>3.0</v>
      </c>
      <c r="F40" s="65">
        <v>5.0</v>
      </c>
      <c r="G40" s="65">
        <v>10.0</v>
      </c>
      <c r="H40" s="65">
        <v>5.0</v>
      </c>
      <c r="I40" s="65">
        <v>5.0</v>
      </c>
      <c r="J40" s="63"/>
      <c r="K40" s="63"/>
      <c r="L40" s="63"/>
      <c r="M40" s="63"/>
      <c r="N40" s="65">
        <v>15.0</v>
      </c>
      <c r="O40" s="63"/>
      <c r="P40" s="63"/>
      <c r="Q40" s="63"/>
      <c r="R40" s="63"/>
      <c r="S40" s="63"/>
      <c r="T40" s="63"/>
      <c r="U40" s="63"/>
      <c r="V40" s="66"/>
      <c r="W40" s="66"/>
      <c r="X40" s="66"/>
      <c r="Y40" s="66"/>
      <c r="Z40" s="66"/>
      <c r="AA40" s="44">
        <f t="shared" si="14"/>
        <v>43</v>
      </c>
      <c r="AB40" s="31"/>
      <c r="AC40" s="2"/>
    </row>
    <row r="41">
      <c r="A41" s="40" t="s">
        <v>50</v>
      </c>
      <c r="B41" s="64"/>
      <c r="C41" s="64"/>
      <c r="D41" s="63"/>
      <c r="E41" s="65">
        <v>2.0</v>
      </c>
      <c r="F41" s="65">
        <v>2.0</v>
      </c>
      <c r="G41" s="65">
        <v>2.0</v>
      </c>
      <c r="H41" s="65">
        <v>2.0</v>
      </c>
      <c r="I41" s="65">
        <v>2.0</v>
      </c>
      <c r="J41" s="63"/>
      <c r="K41" s="63"/>
      <c r="L41" s="63"/>
      <c r="M41" s="63"/>
      <c r="N41" s="65">
        <v>3.0</v>
      </c>
      <c r="O41" s="63"/>
      <c r="P41" s="63"/>
      <c r="Q41" s="63"/>
      <c r="R41" s="63"/>
      <c r="S41" s="63"/>
      <c r="T41" s="63"/>
      <c r="U41" s="63"/>
      <c r="V41" s="66"/>
      <c r="W41" s="66"/>
      <c r="X41" s="66"/>
      <c r="Y41" s="66"/>
      <c r="Z41" s="66"/>
      <c r="AA41" s="44">
        <f>AVERAGE(B41:Z41)</f>
        <v>2.166666667</v>
      </c>
      <c r="AB41" s="31"/>
      <c r="AC41" s="2"/>
    </row>
    <row r="42">
      <c r="A42" s="45" t="s">
        <v>51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7"/>
      <c r="AA42" s="46"/>
      <c r="AB42" s="39"/>
      <c r="AC42" s="2"/>
    </row>
    <row r="43">
      <c r="A43" s="47" t="s">
        <v>48</v>
      </c>
      <c r="B43" s="48"/>
      <c r="C43" s="49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50"/>
      <c r="W43" s="50"/>
      <c r="X43" s="50"/>
      <c r="Y43" s="50"/>
      <c r="Z43" s="50"/>
      <c r="AA43" s="51">
        <f t="shared" ref="AA43:AA44" si="15">SUM(B43:Z43)</f>
        <v>0</v>
      </c>
      <c r="AB43" s="31"/>
      <c r="AC43" s="2"/>
    </row>
    <row r="44">
      <c r="A44" s="47" t="s">
        <v>49</v>
      </c>
      <c r="B44" s="48"/>
      <c r="C44" s="49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50"/>
      <c r="W44" s="50"/>
      <c r="X44" s="50"/>
      <c r="Y44" s="50"/>
      <c r="Z44" s="50"/>
      <c r="AA44" s="51">
        <f t="shared" si="15"/>
        <v>0</v>
      </c>
      <c r="AB44" s="31"/>
      <c r="AC44" s="2"/>
    </row>
    <row r="45">
      <c r="A45" s="47" t="s">
        <v>50</v>
      </c>
      <c r="B45" s="49"/>
      <c r="C45" s="49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50"/>
      <c r="W45" s="50"/>
      <c r="X45" s="50"/>
      <c r="Y45" s="50"/>
      <c r="Z45" s="50"/>
      <c r="AA45" s="51" t="str">
        <f>AVERAGE(B45:Z45)</f>
        <v>#DIV/0!</v>
      </c>
      <c r="AB45" s="31"/>
      <c r="AC45" s="2"/>
    </row>
    <row r="46">
      <c r="A46" s="52" t="s">
        <v>53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7"/>
      <c r="AA46" s="38"/>
      <c r="AB46" s="39"/>
      <c r="AC46" s="2"/>
    </row>
    <row r="47">
      <c r="A47" s="40" t="s">
        <v>48</v>
      </c>
      <c r="B47" s="41"/>
      <c r="C47" s="42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3"/>
      <c r="W47" s="43"/>
      <c r="X47" s="43"/>
      <c r="Y47" s="43"/>
      <c r="Z47" s="43"/>
      <c r="AA47" s="44">
        <f t="shared" ref="AA47:AA48" si="16">SUM(B47:Z47)</f>
        <v>0</v>
      </c>
      <c r="AB47" s="31"/>
      <c r="AC47" s="2"/>
    </row>
    <row r="48">
      <c r="A48" s="40" t="s">
        <v>49</v>
      </c>
      <c r="B48" s="41"/>
      <c r="C48" s="42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3"/>
      <c r="W48" s="43"/>
      <c r="X48" s="43"/>
      <c r="Y48" s="43"/>
      <c r="Z48" s="43"/>
      <c r="AA48" s="44">
        <f t="shared" si="16"/>
        <v>0</v>
      </c>
      <c r="AB48" s="31"/>
      <c r="AC48" s="2"/>
    </row>
    <row r="49">
      <c r="A49" s="53" t="s">
        <v>50</v>
      </c>
      <c r="B49" s="54"/>
      <c r="C49" s="54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6"/>
      <c r="W49" s="56"/>
      <c r="X49" s="56"/>
      <c r="Y49" s="56"/>
      <c r="Z49" s="56"/>
      <c r="AA49" s="57" t="str">
        <f>AVERAGE(B49:Z49)</f>
        <v>#DIV/0!</v>
      </c>
      <c r="AB49" s="58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59"/>
      <c r="AB50" s="59"/>
      <c r="AC50" s="2"/>
    </row>
    <row r="51">
      <c r="A51" s="13">
        <v>46147.0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5" t="s">
        <v>37</v>
      </c>
      <c r="AB51" s="16" t="s">
        <v>38</v>
      </c>
      <c r="AC51" s="2"/>
    </row>
    <row r="52">
      <c r="A52" s="17" t="s">
        <v>39</v>
      </c>
      <c r="B52" s="19">
        <v>1.0</v>
      </c>
      <c r="C52" s="19">
        <v>1.0</v>
      </c>
      <c r="D52" s="19">
        <v>1.0</v>
      </c>
      <c r="E52" s="19">
        <v>1.0</v>
      </c>
      <c r="F52" s="19">
        <v>1.0</v>
      </c>
      <c r="G52" s="19">
        <v>1.0</v>
      </c>
      <c r="H52" s="19">
        <v>1.0</v>
      </c>
      <c r="I52" s="19">
        <v>0.0</v>
      </c>
      <c r="J52" s="19">
        <v>1.0</v>
      </c>
      <c r="K52" s="19">
        <v>1.0</v>
      </c>
      <c r="L52" s="19">
        <v>1.0</v>
      </c>
      <c r="M52" s="19">
        <v>1.0</v>
      </c>
      <c r="N52" s="19">
        <v>1.0</v>
      </c>
      <c r="O52" s="19">
        <v>1.0</v>
      </c>
      <c r="P52" s="19">
        <v>1.0</v>
      </c>
      <c r="Q52" s="19">
        <v>1.0</v>
      </c>
      <c r="R52" s="19">
        <v>1.0</v>
      </c>
      <c r="S52" s="19">
        <v>1.0</v>
      </c>
      <c r="T52" s="19">
        <v>1.0</v>
      </c>
      <c r="U52" s="19">
        <v>1.0</v>
      </c>
      <c r="V52" s="19">
        <v>1.0</v>
      </c>
      <c r="W52" s="19">
        <v>1.0</v>
      </c>
      <c r="X52" s="19">
        <v>1.0</v>
      </c>
      <c r="Y52" s="18"/>
      <c r="Z52" s="18"/>
      <c r="AA52" s="20">
        <f t="shared" ref="AA52:AA56" si="17">SUM(B52:Z52)</f>
        <v>22</v>
      </c>
      <c r="AB52" s="21">
        <f t="shared" ref="AB52:AB55" si="18">AA52/(COUNT(B52:Z52)*1)</f>
        <v>0.9565217391</v>
      </c>
      <c r="AC52" s="2"/>
    </row>
    <row r="53">
      <c r="A53" s="17" t="s">
        <v>40</v>
      </c>
      <c r="B53" s="19">
        <v>1.0</v>
      </c>
      <c r="C53" s="19">
        <v>1.0</v>
      </c>
      <c r="D53" s="19">
        <v>1.0</v>
      </c>
      <c r="E53" s="19">
        <v>1.0</v>
      </c>
      <c r="F53" s="19">
        <v>1.0</v>
      </c>
      <c r="G53" s="19">
        <v>1.0</v>
      </c>
      <c r="H53" s="19">
        <v>1.0</v>
      </c>
      <c r="I53" s="19">
        <v>1.0</v>
      </c>
      <c r="J53" s="19">
        <v>1.0</v>
      </c>
      <c r="K53" s="19">
        <v>1.0</v>
      </c>
      <c r="L53" s="19">
        <v>0.0</v>
      </c>
      <c r="M53" s="19">
        <v>1.0</v>
      </c>
      <c r="N53" s="19">
        <v>1.0</v>
      </c>
      <c r="O53" s="19">
        <v>1.0</v>
      </c>
      <c r="P53" s="19">
        <v>1.0</v>
      </c>
      <c r="Q53" s="19">
        <v>1.0</v>
      </c>
      <c r="R53" s="19">
        <v>1.0</v>
      </c>
      <c r="S53" s="19">
        <v>0.0</v>
      </c>
      <c r="T53" s="19">
        <v>0.0</v>
      </c>
      <c r="U53" s="19">
        <v>0.0</v>
      </c>
      <c r="V53" s="19">
        <v>0.0</v>
      </c>
      <c r="W53" s="19">
        <v>1.0</v>
      </c>
      <c r="X53" s="19">
        <v>1.0</v>
      </c>
      <c r="Y53" s="18"/>
      <c r="Z53" s="18"/>
      <c r="AA53" s="20">
        <f t="shared" si="17"/>
        <v>18</v>
      </c>
      <c r="AB53" s="21">
        <f t="shared" si="18"/>
        <v>0.7826086957</v>
      </c>
      <c r="AC53" s="2"/>
    </row>
    <row r="54">
      <c r="A54" s="17" t="s">
        <v>41</v>
      </c>
      <c r="B54" s="19">
        <v>0.0</v>
      </c>
      <c r="C54" s="19">
        <v>0.0</v>
      </c>
      <c r="D54" s="19">
        <v>0.0</v>
      </c>
      <c r="E54" s="19">
        <v>1.0</v>
      </c>
      <c r="F54" s="19">
        <v>0.0</v>
      </c>
      <c r="G54" s="19">
        <v>1.0</v>
      </c>
      <c r="H54" s="19">
        <v>0.0</v>
      </c>
      <c r="I54" s="19">
        <v>0.0</v>
      </c>
      <c r="J54" s="19">
        <v>1.0</v>
      </c>
      <c r="K54" s="19">
        <v>1.0</v>
      </c>
      <c r="L54" s="19">
        <v>0.0</v>
      </c>
      <c r="M54" s="19">
        <v>1.0</v>
      </c>
      <c r="N54" s="19">
        <v>1.0</v>
      </c>
      <c r="O54" s="19">
        <v>1.0</v>
      </c>
      <c r="P54" s="19">
        <v>1.0</v>
      </c>
      <c r="Q54" s="19">
        <v>1.0</v>
      </c>
      <c r="R54" s="19">
        <v>1.0</v>
      </c>
      <c r="S54" s="19">
        <v>0.0</v>
      </c>
      <c r="T54" s="19">
        <v>0.0</v>
      </c>
      <c r="U54" s="19">
        <v>0.0</v>
      </c>
      <c r="V54" s="19">
        <v>0.0</v>
      </c>
      <c r="W54" s="19">
        <v>0.0</v>
      </c>
      <c r="X54" s="19">
        <v>0.0</v>
      </c>
      <c r="Y54" s="18"/>
      <c r="Z54" s="18"/>
      <c r="AA54" s="20">
        <f t="shared" si="17"/>
        <v>10</v>
      </c>
      <c r="AB54" s="21">
        <f t="shared" si="18"/>
        <v>0.4347826087</v>
      </c>
      <c r="AC54" s="2"/>
    </row>
    <row r="55">
      <c r="A55" s="17" t="s">
        <v>42</v>
      </c>
      <c r="B55" s="19">
        <v>1.0</v>
      </c>
      <c r="C55" s="19">
        <v>1.0</v>
      </c>
      <c r="D55" s="19">
        <v>1.0</v>
      </c>
      <c r="E55" s="19">
        <v>1.0</v>
      </c>
      <c r="F55" s="19">
        <v>0.0</v>
      </c>
      <c r="G55" s="19">
        <v>1.0</v>
      </c>
      <c r="H55" s="19">
        <v>1.0</v>
      </c>
      <c r="I55" s="19">
        <v>0.0</v>
      </c>
      <c r="J55" s="19">
        <v>0.0</v>
      </c>
      <c r="K55" s="19">
        <v>1.0</v>
      </c>
      <c r="L55" s="19">
        <v>1.0</v>
      </c>
      <c r="M55" s="19">
        <v>1.0</v>
      </c>
      <c r="N55" s="19">
        <v>1.0</v>
      </c>
      <c r="O55" s="19">
        <v>1.0</v>
      </c>
      <c r="P55" s="19">
        <v>1.0</v>
      </c>
      <c r="Q55" s="19">
        <v>1.0</v>
      </c>
      <c r="R55" s="19">
        <v>1.0</v>
      </c>
      <c r="S55" s="19">
        <v>1.0</v>
      </c>
      <c r="T55" s="19">
        <v>1.0</v>
      </c>
      <c r="U55" s="19">
        <v>1.0</v>
      </c>
      <c r="V55" s="19">
        <v>0.0</v>
      </c>
      <c r="W55" s="19">
        <v>0.0</v>
      </c>
      <c r="X55" s="19">
        <v>0.0</v>
      </c>
      <c r="Y55" s="18"/>
      <c r="Z55" s="18"/>
      <c r="AA55" s="20">
        <f t="shared" si="17"/>
        <v>17</v>
      </c>
      <c r="AB55" s="21">
        <f t="shared" si="18"/>
        <v>0.7391304348</v>
      </c>
      <c r="AC55" s="2"/>
    </row>
    <row r="56">
      <c r="A56" s="17" t="s">
        <v>43</v>
      </c>
      <c r="B56" s="22">
        <f t="shared" ref="B56:Z56" si="19">SUM(B52:B55)</f>
        <v>3</v>
      </c>
      <c r="C56" s="22">
        <f t="shared" si="19"/>
        <v>3</v>
      </c>
      <c r="D56" s="22">
        <f t="shared" si="19"/>
        <v>3</v>
      </c>
      <c r="E56" s="22">
        <f t="shared" si="19"/>
        <v>4</v>
      </c>
      <c r="F56" s="22">
        <f t="shared" si="19"/>
        <v>2</v>
      </c>
      <c r="G56" s="22">
        <f t="shared" si="19"/>
        <v>4</v>
      </c>
      <c r="H56" s="22">
        <f t="shared" si="19"/>
        <v>3</v>
      </c>
      <c r="I56" s="22">
        <f t="shared" si="19"/>
        <v>1</v>
      </c>
      <c r="J56" s="22">
        <f t="shared" si="19"/>
        <v>3</v>
      </c>
      <c r="K56" s="22">
        <f t="shared" si="19"/>
        <v>4</v>
      </c>
      <c r="L56" s="22">
        <f t="shared" si="19"/>
        <v>2</v>
      </c>
      <c r="M56" s="22">
        <f t="shared" si="19"/>
        <v>4</v>
      </c>
      <c r="N56" s="22">
        <f t="shared" si="19"/>
        <v>4</v>
      </c>
      <c r="O56" s="22">
        <f t="shared" si="19"/>
        <v>4</v>
      </c>
      <c r="P56" s="22">
        <f t="shared" si="19"/>
        <v>4</v>
      </c>
      <c r="Q56" s="22">
        <f t="shared" si="19"/>
        <v>4</v>
      </c>
      <c r="R56" s="22">
        <f t="shared" si="19"/>
        <v>4</v>
      </c>
      <c r="S56" s="22">
        <f t="shared" si="19"/>
        <v>2</v>
      </c>
      <c r="T56" s="22">
        <f t="shared" si="19"/>
        <v>2</v>
      </c>
      <c r="U56" s="22">
        <f t="shared" si="19"/>
        <v>2</v>
      </c>
      <c r="V56" s="22">
        <f t="shared" si="19"/>
        <v>1</v>
      </c>
      <c r="W56" s="22">
        <f t="shared" si="19"/>
        <v>2</v>
      </c>
      <c r="X56" s="22">
        <f t="shared" si="19"/>
        <v>2</v>
      </c>
      <c r="Y56" s="22">
        <f t="shared" si="19"/>
        <v>0</v>
      </c>
      <c r="Z56" s="22">
        <f t="shared" si="19"/>
        <v>0</v>
      </c>
      <c r="AA56" s="20">
        <f t="shared" si="17"/>
        <v>67</v>
      </c>
      <c r="AB56" s="23"/>
      <c r="AC56" s="2"/>
    </row>
    <row r="57">
      <c r="A57" s="17" t="s">
        <v>38</v>
      </c>
      <c r="B57" s="24">
        <f t="shared" ref="B57:Z57" si="20">B56/(COUNT(B52:B55)*1)</f>
        <v>0.75</v>
      </c>
      <c r="C57" s="24">
        <f t="shared" si="20"/>
        <v>0.75</v>
      </c>
      <c r="D57" s="24">
        <f t="shared" si="20"/>
        <v>0.75</v>
      </c>
      <c r="E57" s="24">
        <f t="shared" si="20"/>
        <v>1</v>
      </c>
      <c r="F57" s="24">
        <f t="shared" si="20"/>
        <v>0.5</v>
      </c>
      <c r="G57" s="24">
        <f t="shared" si="20"/>
        <v>1</v>
      </c>
      <c r="H57" s="24">
        <f t="shared" si="20"/>
        <v>0.75</v>
      </c>
      <c r="I57" s="24">
        <f t="shared" si="20"/>
        <v>0.25</v>
      </c>
      <c r="J57" s="24">
        <f t="shared" si="20"/>
        <v>0.75</v>
      </c>
      <c r="K57" s="24">
        <f t="shared" si="20"/>
        <v>1</v>
      </c>
      <c r="L57" s="24">
        <f t="shared" si="20"/>
        <v>0.5</v>
      </c>
      <c r="M57" s="24">
        <f t="shared" si="20"/>
        <v>1</v>
      </c>
      <c r="N57" s="24">
        <f t="shared" si="20"/>
        <v>1</v>
      </c>
      <c r="O57" s="24">
        <f t="shared" si="20"/>
        <v>1</v>
      </c>
      <c r="P57" s="24">
        <f t="shared" si="20"/>
        <v>1</v>
      </c>
      <c r="Q57" s="24">
        <f t="shared" si="20"/>
        <v>1</v>
      </c>
      <c r="R57" s="24">
        <f t="shared" si="20"/>
        <v>1</v>
      </c>
      <c r="S57" s="24">
        <f t="shared" si="20"/>
        <v>0.5</v>
      </c>
      <c r="T57" s="24">
        <f t="shared" si="20"/>
        <v>0.5</v>
      </c>
      <c r="U57" s="24">
        <f t="shared" si="20"/>
        <v>0.5</v>
      </c>
      <c r="V57" s="24">
        <f t="shared" si="20"/>
        <v>0.25</v>
      </c>
      <c r="W57" s="24">
        <f t="shared" si="20"/>
        <v>0.5</v>
      </c>
      <c r="X57" s="24">
        <f t="shared" si="20"/>
        <v>0.5</v>
      </c>
      <c r="Y57" s="24" t="str">
        <f t="shared" si="20"/>
        <v>#DIV/0!</v>
      </c>
      <c r="Z57" s="24" t="str">
        <f t="shared" si="20"/>
        <v>#DIV/0!</v>
      </c>
      <c r="AA57" s="25"/>
      <c r="AB57" s="26">
        <f>SUM(AB52:AB55)/4</f>
        <v>0.7282608696</v>
      </c>
      <c r="AC57" s="2"/>
    </row>
    <row r="58">
      <c r="A58" s="27" t="s">
        <v>44</v>
      </c>
      <c r="B58" s="60"/>
      <c r="C58" s="61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30">
        <f t="shared" ref="AA58:AA60" si="21">SUM(B58:Z58)</f>
        <v>0</v>
      </c>
      <c r="AB58" s="31"/>
      <c r="AC58" s="2"/>
    </row>
    <row r="59">
      <c r="A59" s="32" t="s">
        <v>45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0"/>
      <c r="W59" s="60"/>
      <c r="X59" s="60"/>
      <c r="Y59" s="60"/>
      <c r="Z59" s="60"/>
      <c r="AA59" s="30">
        <f t="shared" si="21"/>
        <v>0</v>
      </c>
      <c r="AB59" s="31"/>
      <c r="AC59" s="9"/>
    </row>
    <row r="60">
      <c r="A60" s="34" t="s">
        <v>46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0"/>
      <c r="W60" s="60"/>
      <c r="X60" s="60"/>
      <c r="Y60" s="60"/>
      <c r="Z60" s="60"/>
      <c r="AA60" s="30">
        <f t="shared" si="21"/>
        <v>0</v>
      </c>
      <c r="AB60" s="31"/>
      <c r="AC60" s="9"/>
    </row>
    <row r="61">
      <c r="A61" s="35" t="s">
        <v>47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7"/>
      <c r="AA61" s="38"/>
      <c r="AB61" s="39"/>
      <c r="AC61" s="2"/>
    </row>
    <row r="62">
      <c r="A62" s="40" t="s">
        <v>48</v>
      </c>
      <c r="B62" s="63"/>
      <c r="C62" s="64"/>
      <c r="D62" s="63"/>
      <c r="E62" s="63"/>
      <c r="F62" s="63"/>
      <c r="G62" s="63"/>
      <c r="H62" s="63"/>
      <c r="I62" s="65">
        <v>1.0</v>
      </c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6"/>
      <c r="W62" s="66"/>
      <c r="X62" s="66"/>
      <c r="Y62" s="66"/>
      <c r="Z62" s="66"/>
      <c r="AA62" s="44">
        <f t="shared" ref="AA62:AA63" si="22">SUM(B62:Z62)</f>
        <v>1</v>
      </c>
      <c r="AB62" s="31"/>
      <c r="AC62" s="2"/>
    </row>
    <row r="63">
      <c r="A63" s="40" t="s">
        <v>49</v>
      </c>
      <c r="B63" s="63"/>
      <c r="C63" s="64"/>
      <c r="D63" s="63"/>
      <c r="E63" s="63"/>
      <c r="F63" s="63"/>
      <c r="G63" s="63"/>
      <c r="H63" s="63"/>
      <c r="I63" s="65">
        <v>15.0</v>
      </c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6"/>
      <c r="W63" s="66"/>
      <c r="X63" s="66"/>
      <c r="Y63" s="66"/>
      <c r="Z63" s="66"/>
      <c r="AA63" s="44">
        <f t="shared" si="22"/>
        <v>15</v>
      </c>
      <c r="AB63" s="31"/>
      <c r="AC63" s="2"/>
    </row>
    <row r="64">
      <c r="A64" s="40" t="s">
        <v>50</v>
      </c>
      <c r="B64" s="64"/>
      <c r="C64" s="64"/>
      <c r="D64" s="63"/>
      <c r="E64" s="63"/>
      <c r="F64" s="63"/>
      <c r="G64" s="63"/>
      <c r="H64" s="63"/>
      <c r="I64" s="65">
        <v>2.0</v>
      </c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6"/>
      <c r="W64" s="66"/>
      <c r="X64" s="66"/>
      <c r="Y64" s="66"/>
      <c r="Z64" s="66"/>
      <c r="AA64" s="44">
        <f>AVERAGE(B64:Z64)</f>
        <v>2</v>
      </c>
      <c r="AB64" s="31"/>
      <c r="AC64" s="2"/>
    </row>
    <row r="65">
      <c r="A65" s="45" t="s">
        <v>51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7"/>
      <c r="AA65" s="46"/>
      <c r="AB65" s="39"/>
      <c r="AC65" s="2"/>
    </row>
    <row r="66">
      <c r="A66" s="47" t="s">
        <v>48</v>
      </c>
      <c r="B66" s="48"/>
      <c r="C66" s="49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50"/>
      <c r="W66" s="50"/>
      <c r="X66" s="50"/>
      <c r="Y66" s="50"/>
      <c r="Z66" s="50"/>
      <c r="AA66" s="51">
        <f t="shared" ref="AA66:AA67" si="23">SUM(B66:Z66)</f>
        <v>0</v>
      </c>
      <c r="AB66" s="31"/>
      <c r="AC66" s="2"/>
    </row>
    <row r="67">
      <c r="A67" s="47" t="s">
        <v>49</v>
      </c>
      <c r="B67" s="48"/>
      <c r="C67" s="49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50"/>
      <c r="W67" s="50"/>
      <c r="X67" s="50"/>
      <c r="Y67" s="50"/>
      <c r="Z67" s="50"/>
      <c r="AA67" s="51">
        <f t="shared" si="23"/>
        <v>0</v>
      </c>
      <c r="AB67" s="31"/>
      <c r="AC67" s="2"/>
    </row>
    <row r="68">
      <c r="A68" s="47" t="s">
        <v>50</v>
      </c>
      <c r="B68" s="49"/>
      <c r="C68" s="49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50"/>
      <c r="W68" s="50"/>
      <c r="X68" s="50"/>
      <c r="Y68" s="50"/>
      <c r="Z68" s="50"/>
      <c r="AA68" s="51" t="str">
        <f>AVERAGE(B68:Z68)</f>
        <v>#DIV/0!</v>
      </c>
      <c r="AB68" s="31"/>
      <c r="AC68" s="2"/>
    </row>
    <row r="69">
      <c r="A69" s="52" t="s">
        <v>53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7"/>
      <c r="AA69" s="38"/>
      <c r="AB69" s="39"/>
      <c r="AC69" s="2"/>
    </row>
    <row r="70">
      <c r="A70" s="40" t="s">
        <v>48</v>
      </c>
      <c r="B70" s="41"/>
      <c r="C70" s="42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3"/>
      <c r="W70" s="43"/>
      <c r="X70" s="43"/>
      <c r="Y70" s="43"/>
      <c r="Z70" s="43"/>
      <c r="AA70" s="44">
        <f t="shared" ref="AA70:AA71" si="24">SUM(B70:Z70)</f>
        <v>0</v>
      </c>
      <c r="AB70" s="31"/>
      <c r="AC70" s="2"/>
    </row>
    <row r="71">
      <c r="A71" s="40" t="s">
        <v>49</v>
      </c>
      <c r="B71" s="41"/>
      <c r="C71" s="42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3"/>
      <c r="W71" s="43"/>
      <c r="X71" s="43"/>
      <c r="Y71" s="43"/>
      <c r="Z71" s="43"/>
      <c r="AA71" s="44">
        <f t="shared" si="24"/>
        <v>0</v>
      </c>
      <c r="AB71" s="31"/>
      <c r="AC71" s="2"/>
    </row>
    <row r="72">
      <c r="A72" s="53" t="s">
        <v>50</v>
      </c>
      <c r="B72" s="54"/>
      <c r="C72" s="54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6"/>
      <c r="W72" s="56"/>
      <c r="X72" s="56"/>
      <c r="Y72" s="56"/>
      <c r="Z72" s="56"/>
      <c r="AA72" s="57" t="str">
        <f>AVERAGE(B72:Z72)</f>
        <v>#DIV/0!</v>
      </c>
      <c r="AB72" s="58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59"/>
      <c r="AB73" s="59"/>
      <c r="AC73" s="2"/>
    </row>
    <row r="74">
      <c r="A74" s="13">
        <v>46148.0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5" t="s">
        <v>37</v>
      </c>
      <c r="AB74" s="16" t="s">
        <v>38</v>
      </c>
      <c r="AC74" s="2"/>
    </row>
    <row r="75">
      <c r="A75" s="17" t="s">
        <v>39</v>
      </c>
      <c r="B75" s="18"/>
      <c r="C75" s="19">
        <v>1.0</v>
      </c>
      <c r="D75" s="19">
        <v>1.0</v>
      </c>
      <c r="E75" s="19">
        <v>1.0</v>
      </c>
      <c r="F75" s="19">
        <v>1.0</v>
      </c>
      <c r="G75" s="19">
        <v>1.0</v>
      </c>
      <c r="H75" s="19">
        <v>1.0</v>
      </c>
      <c r="I75" s="19">
        <v>1.0</v>
      </c>
      <c r="J75" s="19">
        <v>1.0</v>
      </c>
      <c r="K75" s="19">
        <v>1.0</v>
      </c>
      <c r="L75" s="19">
        <v>1.0</v>
      </c>
      <c r="M75" s="19">
        <v>1.0</v>
      </c>
      <c r="N75" s="19">
        <v>1.0</v>
      </c>
      <c r="O75" s="19">
        <v>1.0</v>
      </c>
      <c r="P75" s="19">
        <v>1.0</v>
      </c>
      <c r="Q75" s="19">
        <v>1.0</v>
      </c>
      <c r="R75" s="19">
        <v>1.0</v>
      </c>
      <c r="S75" s="19">
        <v>1.0</v>
      </c>
      <c r="T75" s="19">
        <v>1.0</v>
      </c>
      <c r="U75" s="19">
        <v>1.0</v>
      </c>
      <c r="V75" s="19">
        <v>1.0</v>
      </c>
      <c r="W75" s="19">
        <v>1.0</v>
      </c>
      <c r="X75" s="19">
        <v>1.0</v>
      </c>
      <c r="Y75" s="19">
        <v>1.0</v>
      </c>
      <c r="Z75" s="19">
        <v>1.0</v>
      </c>
      <c r="AA75" s="20">
        <f t="shared" ref="AA75:AA79" si="25">SUM(B75:Z75)</f>
        <v>24</v>
      </c>
      <c r="AB75" s="21">
        <f t="shared" ref="AB75:AB78" si="26">AA75/(COUNT(B75:Z75)*1)</f>
        <v>1</v>
      </c>
      <c r="AC75" s="2"/>
    </row>
    <row r="76">
      <c r="A76" s="17" t="s">
        <v>40</v>
      </c>
      <c r="B76" s="18"/>
      <c r="C76" s="19">
        <v>1.0</v>
      </c>
      <c r="D76" s="19">
        <v>1.0</v>
      </c>
      <c r="E76" s="19">
        <v>1.0</v>
      </c>
      <c r="F76" s="19">
        <v>1.0</v>
      </c>
      <c r="G76" s="19">
        <v>1.0</v>
      </c>
      <c r="H76" s="19">
        <v>1.0</v>
      </c>
      <c r="I76" s="19">
        <v>1.0</v>
      </c>
      <c r="J76" s="19">
        <v>0.0</v>
      </c>
      <c r="K76" s="19">
        <v>0.0</v>
      </c>
      <c r="L76" s="19">
        <v>1.0</v>
      </c>
      <c r="M76" s="19">
        <v>0.0</v>
      </c>
      <c r="N76" s="19">
        <v>0.0</v>
      </c>
      <c r="O76" s="19">
        <v>1.0</v>
      </c>
      <c r="P76" s="19">
        <v>1.0</v>
      </c>
      <c r="Q76" s="19">
        <v>1.0</v>
      </c>
      <c r="R76" s="19">
        <v>1.0</v>
      </c>
      <c r="S76" s="19">
        <v>1.0</v>
      </c>
      <c r="T76" s="19">
        <v>0.0</v>
      </c>
      <c r="U76" s="19">
        <v>1.0</v>
      </c>
      <c r="V76" s="19">
        <v>1.0</v>
      </c>
      <c r="W76" s="19">
        <v>1.0</v>
      </c>
      <c r="X76" s="19">
        <v>1.0</v>
      </c>
      <c r="Y76" s="19">
        <v>1.0</v>
      </c>
      <c r="Z76" s="19">
        <v>1.0</v>
      </c>
      <c r="AA76" s="20">
        <f t="shared" si="25"/>
        <v>19</v>
      </c>
      <c r="AB76" s="21">
        <f t="shared" si="26"/>
        <v>0.7916666667</v>
      </c>
      <c r="AC76" s="2"/>
    </row>
    <row r="77">
      <c r="A77" s="17" t="s">
        <v>41</v>
      </c>
      <c r="B77" s="18"/>
      <c r="C77" s="19">
        <v>0.0</v>
      </c>
      <c r="D77" s="19">
        <v>0.0</v>
      </c>
      <c r="E77" s="19">
        <v>0.0</v>
      </c>
      <c r="F77" s="19">
        <v>1.0</v>
      </c>
      <c r="G77" s="19">
        <v>0.0</v>
      </c>
      <c r="H77" s="19">
        <v>1.0</v>
      </c>
      <c r="I77" s="19">
        <v>1.0</v>
      </c>
      <c r="J77" s="19">
        <v>1.0</v>
      </c>
      <c r="K77" s="19">
        <v>1.0</v>
      </c>
      <c r="L77" s="19">
        <v>0.0</v>
      </c>
      <c r="M77" s="19">
        <v>0.0</v>
      </c>
      <c r="N77" s="19">
        <v>0.0</v>
      </c>
      <c r="O77" s="19">
        <v>1.0</v>
      </c>
      <c r="P77" s="19">
        <v>1.0</v>
      </c>
      <c r="Q77" s="19">
        <v>1.0</v>
      </c>
      <c r="R77" s="19">
        <v>1.0</v>
      </c>
      <c r="S77" s="19">
        <v>0.0</v>
      </c>
      <c r="T77" s="19">
        <v>0.0</v>
      </c>
      <c r="U77" s="19">
        <v>1.0</v>
      </c>
      <c r="V77" s="19">
        <v>1.0</v>
      </c>
      <c r="W77" s="19">
        <v>1.0</v>
      </c>
      <c r="X77" s="19">
        <v>1.0</v>
      </c>
      <c r="Y77" s="19">
        <v>1.0</v>
      </c>
      <c r="Z77" s="19">
        <v>1.0</v>
      </c>
      <c r="AA77" s="20">
        <f t="shared" si="25"/>
        <v>15</v>
      </c>
      <c r="AB77" s="21">
        <f t="shared" si="26"/>
        <v>0.625</v>
      </c>
      <c r="AC77" s="2"/>
    </row>
    <row r="78">
      <c r="A78" s="17" t="s">
        <v>42</v>
      </c>
      <c r="B78" s="18"/>
      <c r="C78" s="19">
        <v>0.0</v>
      </c>
      <c r="D78" s="19">
        <v>0.0</v>
      </c>
      <c r="E78" s="19">
        <v>0.0</v>
      </c>
      <c r="F78" s="19">
        <v>0.0</v>
      </c>
      <c r="G78" s="19">
        <v>1.0</v>
      </c>
      <c r="H78" s="19">
        <v>1.0</v>
      </c>
      <c r="I78" s="19">
        <v>1.0</v>
      </c>
      <c r="J78" s="19">
        <v>1.0</v>
      </c>
      <c r="K78" s="19">
        <v>0.0</v>
      </c>
      <c r="L78" s="19">
        <v>1.0</v>
      </c>
      <c r="M78" s="19">
        <v>0.0</v>
      </c>
      <c r="N78" s="19">
        <v>0.0</v>
      </c>
      <c r="O78" s="19">
        <v>0.0</v>
      </c>
      <c r="P78" s="19">
        <v>1.0</v>
      </c>
      <c r="Q78" s="19">
        <v>1.0</v>
      </c>
      <c r="R78" s="19">
        <v>0.0</v>
      </c>
      <c r="S78" s="19">
        <v>0.0</v>
      </c>
      <c r="T78" s="19">
        <v>1.0</v>
      </c>
      <c r="U78" s="19">
        <v>1.0</v>
      </c>
      <c r="V78" s="19">
        <v>1.0</v>
      </c>
      <c r="W78" s="19">
        <v>1.0</v>
      </c>
      <c r="X78" s="19">
        <v>1.0</v>
      </c>
      <c r="Y78" s="19">
        <v>1.0</v>
      </c>
      <c r="Z78" s="19">
        <v>1.0</v>
      </c>
      <c r="AA78" s="20">
        <f t="shared" si="25"/>
        <v>14</v>
      </c>
      <c r="AB78" s="21">
        <f t="shared" si="26"/>
        <v>0.5833333333</v>
      </c>
      <c r="AC78" s="2"/>
    </row>
    <row r="79">
      <c r="A79" s="17" t="s">
        <v>43</v>
      </c>
      <c r="B79" s="22">
        <f t="shared" ref="B79:Z79" si="27">SUM(B75:B78)</f>
        <v>0</v>
      </c>
      <c r="C79" s="22">
        <f t="shared" si="27"/>
        <v>2</v>
      </c>
      <c r="D79" s="22">
        <f t="shared" si="27"/>
        <v>2</v>
      </c>
      <c r="E79" s="22">
        <f t="shared" si="27"/>
        <v>2</v>
      </c>
      <c r="F79" s="22">
        <f t="shared" si="27"/>
        <v>3</v>
      </c>
      <c r="G79" s="22">
        <f t="shared" si="27"/>
        <v>3</v>
      </c>
      <c r="H79" s="22">
        <f t="shared" si="27"/>
        <v>4</v>
      </c>
      <c r="I79" s="22">
        <f t="shared" si="27"/>
        <v>4</v>
      </c>
      <c r="J79" s="22">
        <f t="shared" si="27"/>
        <v>3</v>
      </c>
      <c r="K79" s="22">
        <f t="shared" si="27"/>
        <v>2</v>
      </c>
      <c r="L79" s="22">
        <f t="shared" si="27"/>
        <v>3</v>
      </c>
      <c r="M79" s="22">
        <f t="shared" si="27"/>
        <v>1</v>
      </c>
      <c r="N79" s="22">
        <f t="shared" si="27"/>
        <v>1</v>
      </c>
      <c r="O79" s="22">
        <f t="shared" si="27"/>
        <v>3</v>
      </c>
      <c r="P79" s="22">
        <f t="shared" si="27"/>
        <v>4</v>
      </c>
      <c r="Q79" s="22">
        <f t="shared" si="27"/>
        <v>4</v>
      </c>
      <c r="R79" s="22">
        <f t="shared" si="27"/>
        <v>3</v>
      </c>
      <c r="S79" s="22">
        <f t="shared" si="27"/>
        <v>2</v>
      </c>
      <c r="T79" s="22">
        <f t="shared" si="27"/>
        <v>2</v>
      </c>
      <c r="U79" s="22">
        <f t="shared" si="27"/>
        <v>4</v>
      </c>
      <c r="V79" s="22">
        <f t="shared" si="27"/>
        <v>4</v>
      </c>
      <c r="W79" s="22">
        <f t="shared" si="27"/>
        <v>4</v>
      </c>
      <c r="X79" s="22">
        <f t="shared" si="27"/>
        <v>4</v>
      </c>
      <c r="Y79" s="22">
        <f t="shared" si="27"/>
        <v>4</v>
      </c>
      <c r="Z79" s="22">
        <f t="shared" si="27"/>
        <v>4</v>
      </c>
      <c r="AA79" s="20">
        <f t="shared" si="25"/>
        <v>72</v>
      </c>
      <c r="AB79" s="23"/>
      <c r="AC79" s="2"/>
    </row>
    <row r="80">
      <c r="A80" s="17" t="s">
        <v>38</v>
      </c>
      <c r="B80" s="24" t="str">
        <f t="shared" ref="B80:Z80" si="28">B79/(COUNT(B75:B78)*1)</f>
        <v>#DIV/0!</v>
      </c>
      <c r="C80" s="24">
        <f t="shared" si="28"/>
        <v>0.5</v>
      </c>
      <c r="D80" s="24">
        <f t="shared" si="28"/>
        <v>0.5</v>
      </c>
      <c r="E80" s="24">
        <f t="shared" si="28"/>
        <v>0.5</v>
      </c>
      <c r="F80" s="24">
        <f t="shared" si="28"/>
        <v>0.75</v>
      </c>
      <c r="G80" s="24">
        <f t="shared" si="28"/>
        <v>0.75</v>
      </c>
      <c r="H80" s="24">
        <f t="shared" si="28"/>
        <v>1</v>
      </c>
      <c r="I80" s="24">
        <f t="shared" si="28"/>
        <v>1</v>
      </c>
      <c r="J80" s="24">
        <f t="shared" si="28"/>
        <v>0.75</v>
      </c>
      <c r="K80" s="24">
        <f t="shared" si="28"/>
        <v>0.5</v>
      </c>
      <c r="L80" s="24">
        <f t="shared" si="28"/>
        <v>0.75</v>
      </c>
      <c r="M80" s="24">
        <f t="shared" si="28"/>
        <v>0.25</v>
      </c>
      <c r="N80" s="24">
        <f t="shared" si="28"/>
        <v>0.25</v>
      </c>
      <c r="O80" s="24">
        <f t="shared" si="28"/>
        <v>0.75</v>
      </c>
      <c r="P80" s="24">
        <f t="shared" si="28"/>
        <v>1</v>
      </c>
      <c r="Q80" s="24">
        <f t="shared" si="28"/>
        <v>1</v>
      </c>
      <c r="R80" s="24">
        <f t="shared" si="28"/>
        <v>0.75</v>
      </c>
      <c r="S80" s="24">
        <f t="shared" si="28"/>
        <v>0.5</v>
      </c>
      <c r="T80" s="24">
        <f t="shared" si="28"/>
        <v>0.5</v>
      </c>
      <c r="U80" s="24">
        <f t="shared" si="28"/>
        <v>1</v>
      </c>
      <c r="V80" s="24">
        <f t="shared" si="28"/>
        <v>1</v>
      </c>
      <c r="W80" s="24">
        <f t="shared" si="28"/>
        <v>1</v>
      </c>
      <c r="X80" s="24">
        <f t="shared" si="28"/>
        <v>1</v>
      </c>
      <c r="Y80" s="24">
        <f t="shared" si="28"/>
        <v>1</v>
      </c>
      <c r="Z80" s="24">
        <f t="shared" si="28"/>
        <v>1</v>
      </c>
      <c r="AA80" s="25"/>
      <c r="AB80" s="26">
        <f>SUM(AB75:AB78)/4</f>
        <v>0.75</v>
      </c>
      <c r="AC80" s="2"/>
    </row>
    <row r="81">
      <c r="A81" s="27" t="s">
        <v>44</v>
      </c>
      <c r="B81" s="28"/>
      <c r="C81" s="29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30">
        <f t="shared" ref="AA81:AA83" si="29">SUM(B81:Z81)</f>
        <v>0</v>
      </c>
      <c r="AB81" s="31"/>
      <c r="AC81" s="2"/>
    </row>
    <row r="82">
      <c r="A82" s="32" t="s">
        <v>45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28"/>
      <c r="W82" s="28"/>
      <c r="X82" s="28"/>
      <c r="Y82" s="28"/>
      <c r="Z82" s="28"/>
      <c r="AA82" s="30">
        <f t="shared" si="29"/>
        <v>0</v>
      </c>
      <c r="AB82" s="31"/>
      <c r="AC82" s="9"/>
    </row>
    <row r="83">
      <c r="A83" s="34" t="s">
        <v>46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28"/>
      <c r="W83" s="28"/>
      <c r="X83" s="28"/>
      <c r="Y83" s="28"/>
      <c r="Z83" s="28"/>
      <c r="AA83" s="30">
        <f t="shared" si="29"/>
        <v>0</v>
      </c>
      <c r="AB83" s="31"/>
      <c r="AC83" s="9"/>
    </row>
    <row r="84">
      <c r="A84" s="35" t="s">
        <v>47</v>
      </c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7"/>
      <c r="AA84" s="38"/>
      <c r="AB84" s="39"/>
      <c r="AC84" s="2"/>
    </row>
    <row r="85">
      <c r="A85" s="40" t="s">
        <v>48</v>
      </c>
      <c r="B85" s="41"/>
      <c r="C85" s="42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3"/>
      <c r="W85" s="43"/>
      <c r="X85" s="43"/>
      <c r="Y85" s="43"/>
      <c r="Z85" s="43"/>
      <c r="AA85" s="44">
        <f t="shared" ref="AA85:AA86" si="30">SUM(B85:Z85)</f>
        <v>0</v>
      </c>
      <c r="AB85" s="31"/>
      <c r="AC85" s="2"/>
    </row>
    <row r="86">
      <c r="A86" s="40" t="s">
        <v>49</v>
      </c>
      <c r="B86" s="41"/>
      <c r="C86" s="42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3"/>
      <c r="W86" s="43"/>
      <c r="X86" s="43"/>
      <c r="Y86" s="43"/>
      <c r="Z86" s="43"/>
      <c r="AA86" s="44">
        <f t="shared" si="30"/>
        <v>0</v>
      </c>
      <c r="AB86" s="31"/>
      <c r="AC86" s="2"/>
    </row>
    <row r="87">
      <c r="A87" s="40" t="s">
        <v>50</v>
      </c>
      <c r="B87" s="42"/>
      <c r="C87" s="42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3"/>
      <c r="W87" s="43"/>
      <c r="X87" s="43"/>
      <c r="Y87" s="43"/>
      <c r="Z87" s="43"/>
      <c r="AA87" s="44" t="str">
        <f>AVERAGE(B87:Z87)</f>
        <v>#DIV/0!</v>
      </c>
      <c r="AB87" s="31"/>
      <c r="AC87" s="2"/>
    </row>
    <row r="88">
      <c r="A88" s="45" t="s">
        <v>51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7"/>
      <c r="AA88" s="46"/>
      <c r="AB88" s="39"/>
      <c r="AC88" s="2"/>
    </row>
    <row r="89">
      <c r="A89" s="47" t="s">
        <v>48</v>
      </c>
      <c r="B89" s="48"/>
      <c r="C89" s="49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50"/>
      <c r="W89" s="50"/>
      <c r="X89" s="50"/>
      <c r="Y89" s="50"/>
      <c r="Z89" s="50"/>
      <c r="AA89" s="51">
        <f t="shared" ref="AA89:AA90" si="31">SUM(B89:Z89)</f>
        <v>0</v>
      </c>
      <c r="AB89" s="31"/>
      <c r="AC89" s="2"/>
    </row>
    <row r="90">
      <c r="A90" s="47" t="s">
        <v>49</v>
      </c>
      <c r="B90" s="48"/>
      <c r="C90" s="49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50"/>
      <c r="W90" s="50"/>
      <c r="X90" s="50"/>
      <c r="Y90" s="50"/>
      <c r="Z90" s="50"/>
      <c r="AA90" s="51">
        <f t="shared" si="31"/>
        <v>0</v>
      </c>
      <c r="AB90" s="31"/>
      <c r="AC90" s="2"/>
    </row>
    <row r="91">
      <c r="A91" s="47" t="s">
        <v>50</v>
      </c>
      <c r="B91" s="49"/>
      <c r="C91" s="49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50"/>
      <c r="W91" s="50"/>
      <c r="X91" s="50"/>
      <c r="Y91" s="50"/>
      <c r="Z91" s="50"/>
      <c r="AA91" s="51" t="str">
        <f>AVERAGE(B91:Z91)</f>
        <v>#DIV/0!</v>
      </c>
      <c r="AB91" s="31"/>
      <c r="AC91" s="2"/>
    </row>
    <row r="92">
      <c r="A92" s="52" t="s">
        <v>53</v>
      </c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7"/>
      <c r="AA92" s="38"/>
      <c r="AB92" s="39"/>
      <c r="AC92" s="2"/>
    </row>
    <row r="93">
      <c r="A93" s="40" t="s">
        <v>48</v>
      </c>
      <c r="B93" s="41"/>
      <c r="C93" s="42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3"/>
      <c r="W93" s="43"/>
      <c r="X93" s="43"/>
      <c r="Y93" s="43"/>
      <c r="Z93" s="43"/>
      <c r="AA93" s="44">
        <f t="shared" ref="AA93:AA94" si="32">SUM(B93:Z93)</f>
        <v>0</v>
      </c>
      <c r="AB93" s="31"/>
      <c r="AC93" s="2"/>
    </row>
    <row r="94">
      <c r="A94" s="40" t="s">
        <v>49</v>
      </c>
      <c r="B94" s="41"/>
      <c r="C94" s="42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3"/>
      <c r="W94" s="43"/>
      <c r="X94" s="43"/>
      <c r="Y94" s="43"/>
      <c r="Z94" s="43"/>
      <c r="AA94" s="44">
        <f t="shared" si="32"/>
        <v>0</v>
      </c>
      <c r="AB94" s="31"/>
      <c r="AC94" s="2"/>
    </row>
    <row r="95">
      <c r="A95" s="53" t="s">
        <v>50</v>
      </c>
      <c r="B95" s="54"/>
      <c r="C95" s="54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6"/>
      <c r="W95" s="56"/>
      <c r="X95" s="56"/>
      <c r="Y95" s="56"/>
      <c r="Z95" s="56"/>
      <c r="AA95" s="57" t="str">
        <f>AVERAGE(B95:Z95)</f>
        <v>#DIV/0!</v>
      </c>
      <c r="AB95" s="58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59"/>
      <c r="AB96" s="59"/>
      <c r="AC96" s="2"/>
    </row>
    <row r="97">
      <c r="A97" s="13">
        <v>46149.0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5" t="s">
        <v>37</v>
      </c>
      <c r="AB97" s="16" t="s">
        <v>38</v>
      </c>
      <c r="AC97" s="2"/>
    </row>
    <row r="98">
      <c r="A98" s="17" t="s">
        <v>39</v>
      </c>
      <c r="B98" s="49"/>
      <c r="C98" s="67">
        <v>0.0</v>
      </c>
      <c r="D98" s="67">
        <v>0.0</v>
      </c>
      <c r="E98" s="67">
        <v>0.0</v>
      </c>
      <c r="F98" s="67">
        <v>0.0</v>
      </c>
      <c r="G98" s="67">
        <v>0.0</v>
      </c>
      <c r="H98" s="67">
        <v>0.0</v>
      </c>
      <c r="I98" s="67">
        <v>1.0</v>
      </c>
      <c r="J98" s="67">
        <v>1.0</v>
      </c>
      <c r="K98" s="67">
        <v>1.0</v>
      </c>
      <c r="L98" s="67">
        <v>1.0</v>
      </c>
      <c r="M98" s="49"/>
      <c r="N98" s="49"/>
      <c r="O98" s="67">
        <v>1.0</v>
      </c>
      <c r="P98" s="67">
        <v>1.0</v>
      </c>
      <c r="Q98" s="67">
        <v>1.0</v>
      </c>
      <c r="R98" s="67">
        <v>0.0</v>
      </c>
      <c r="S98" s="67">
        <v>0.0</v>
      </c>
      <c r="T98" s="67">
        <v>0.0</v>
      </c>
      <c r="U98" s="67">
        <v>1.0</v>
      </c>
      <c r="V98" s="67">
        <v>1.0</v>
      </c>
      <c r="W98" s="49"/>
      <c r="X98" s="49"/>
      <c r="Y98" s="49"/>
      <c r="Z98" s="49"/>
      <c r="AA98" s="20">
        <f t="shared" ref="AA98:AA102" si="33">SUM(B98:Z98)</f>
        <v>9</v>
      </c>
      <c r="AB98" s="21">
        <f t="shared" ref="AB98:AB101" si="34">AA98/(COUNT(B98:Z98)*1)</f>
        <v>0.5</v>
      </c>
      <c r="AC98" s="2"/>
    </row>
    <row r="99">
      <c r="A99" s="17" t="s">
        <v>40</v>
      </c>
      <c r="B99" s="49"/>
      <c r="C99" s="67">
        <v>0.0</v>
      </c>
      <c r="D99" s="67">
        <v>0.0</v>
      </c>
      <c r="E99" s="67">
        <v>0.0</v>
      </c>
      <c r="F99" s="67">
        <v>0.0</v>
      </c>
      <c r="G99" s="67">
        <v>1.0</v>
      </c>
      <c r="H99" s="67">
        <v>0.0</v>
      </c>
      <c r="I99" s="67">
        <v>1.0</v>
      </c>
      <c r="J99" s="67">
        <v>0.0</v>
      </c>
      <c r="K99" s="67">
        <v>1.0</v>
      </c>
      <c r="L99" s="67">
        <v>1.0</v>
      </c>
      <c r="M99" s="49"/>
      <c r="N99" s="49"/>
      <c r="O99" s="67">
        <v>1.0</v>
      </c>
      <c r="P99" s="67">
        <v>1.0</v>
      </c>
      <c r="Q99" s="67">
        <v>0.0</v>
      </c>
      <c r="R99" s="67">
        <v>0.0</v>
      </c>
      <c r="S99" s="67">
        <v>0.0</v>
      </c>
      <c r="T99" s="67">
        <v>0.0</v>
      </c>
      <c r="U99" s="67">
        <v>1.0</v>
      </c>
      <c r="V99" s="67">
        <v>1.0</v>
      </c>
      <c r="W99" s="49"/>
      <c r="X99" s="49"/>
      <c r="Y99" s="49"/>
      <c r="Z99" s="49"/>
      <c r="AA99" s="20">
        <f t="shared" si="33"/>
        <v>8</v>
      </c>
      <c r="AB99" s="21">
        <f t="shared" si="34"/>
        <v>0.4444444444</v>
      </c>
      <c r="AC99" s="2"/>
    </row>
    <row r="100">
      <c r="A100" s="17" t="s">
        <v>41</v>
      </c>
      <c r="B100" s="49"/>
      <c r="C100" s="67">
        <v>0.0</v>
      </c>
      <c r="D100" s="67">
        <v>0.0</v>
      </c>
      <c r="E100" s="67">
        <v>0.0</v>
      </c>
      <c r="F100" s="67">
        <v>0.0</v>
      </c>
      <c r="G100" s="67">
        <v>0.0</v>
      </c>
      <c r="H100" s="67">
        <v>0.0</v>
      </c>
      <c r="I100" s="67">
        <v>1.0</v>
      </c>
      <c r="J100" s="67">
        <v>1.0</v>
      </c>
      <c r="K100" s="67">
        <v>1.0</v>
      </c>
      <c r="L100" s="67">
        <v>1.0</v>
      </c>
      <c r="M100" s="49"/>
      <c r="N100" s="49"/>
      <c r="O100" s="67">
        <v>1.0</v>
      </c>
      <c r="P100" s="67">
        <v>1.0</v>
      </c>
      <c r="Q100" s="67">
        <v>1.0</v>
      </c>
      <c r="R100" s="67">
        <v>1.0</v>
      </c>
      <c r="S100" s="67">
        <v>0.0</v>
      </c>
      <c r="T100" s="67">
        <v>1.0</v>
      </c>
      <c r="U100" s="67">
        <v>1.0</v>
      </c>
      <c r="V100" s="67">
        <v>0.0</v>
      </c>
      <c r="W100" s="49"/>
      <c r="X100" s="49"/>
      <c r="Y100" s="49"/>
      <c r="Z100" s="49"/>
      <c r="AA100" s="20">
        <f t="shared" si="33"/>
        <v>10</v>
      </c>
      <c r="AB100" s="21">
        <f t="shared" si="34"/>
        <v>0.5555555556</v>
      </c>
      <c r="AC100" s="2"/>
    </row>
    <row r="101">
      <c r="A101" s="17" t="s">
        <v>42</v>
      </c>
      <c r="B101" s="49"/>
      <c r="C101" s="67">
        <v>0.0</v>
      </c>
      <c r="D101" s="67">
        <v>0.0</v>
      </c>
      <c r="E101" s="67">
        <v>0.0</v>
      </c>
      <c r="F101" s="67">
        <v>0.0</v>
      </c>
      <c r="G101" s="67">
        <v>0.0</v>
      </c>
      <c r="H101" s="67">
        <v>0.0</v>
      </c>
      <c r="I101" s="67">
        <v>0.0</v>
      </c>
      <c r="J101" s="67">
        <v>0.0</v>
      </c>
      <c r="K101" s="67">
        <v>1.0</v>
      </c>
      <c r="L101" s="67">
        <v>0.0</v>
      </c>
      <c r="M101" s="49"/>
      <c r="N101" s="49"/>
      <c r="O101" s="67">
        <v>1.0</v>
      </c>
      <c r="P101" s="67">
        <v>1.0</v>
      </c>
      <c r="Q101" s="67">
        <v>0.0</v>
      </c>
      <c r="R101" s="67">
        <v>0.0</v>
      </c>
      <c r="S101" s="67">
        <v>0.0</v>
      </c>
      <c r="T101" s="67">
        <v>0.0</v>
      </c>
      <c r="U101" s="67">
        <v>0.0</v>
      </c>
      <c r="V101" s="67">
        <v>0.0</v>
      </c>
      <c r="W101" s="49"/>
      <c r="X101" s="49"/>
      <c r="Y101" s="49"/>
      <c r="Z101" s="49"/>
      <c r="AA101" s="20">
        <f t="shared" si="33"/>
        <v>3</v>
      </c>
      <c r="AB101" s="21">
        <f t="shared" si="34"/>
        <v>0.1666666667</v>
      </c>
      <c r="AC101" s="2"/>
    </row>
    <row r="102">
      <c r="A102" s="17" t="s">
        <v>43</v>
      </c>
      <c r="B102" s="22">
        <f t="shared" ref="B102:Z102" si="35">SUM(B98:B101)</f>
        <v>0</v>
      </c>
      <c r="C102" s="22">
        <f t="shared" si="35"/>
        <v>0</v>
      </c>
      <c r="D102" s="22">
        <f t="shared" si="35"/>
        <v>0</v>
      </c>
      <c r="E102" s="22">
        <f t="shared" si="35"/>
        <v>0</v>
      </c>
      <c r="F102" s="22">
        <f t="shared" si="35"/>
        <v>0</v>
      </c>
      <c r="G102" s="22">
        <f t="shared" si="35"/>
        <v>1</v>
      </c>
      <c r="H102" s="22">
        <f t="shared" si="35"/>
        <v>0</v>
      </c>
      <c r="I102" s="22">
        <f t="shared" si="35"/>
        <v>3</v>
      </c>
      <c r="J102" s="22">
        <f t="shared" si="35"/>
        <v>2</v>
      </c>
      <c r="K102" s="22">
        <f t="shared" si="35"/>
        <v>4</v>
      </c>
      <c r="L102" s="22">
        <f t="shared" si="35"/>
        <v>3</v>
      </c>
      <c r="M102" s="22">
        <f t="shared" si="35"/>
        <v>0</v>
      </c>
      <c r="N102" s="22">
        <f t="shared" si="35"/>
        <v>0</v>
      </c>
      <c r="O102" s="22">
        <f t="shared" si="35"/>
        <v>4</v>
      </c>
      <c r="P102" s="22">
        <f t="shared" si="35"/>
        <v>4</v>
      </c>
      <c r="Q102" s="22">
        <f t="shared" si="35"/>
        <v>2</v>
      </c>
      <c r="R102" s="22">
        <f t="shared" si="35"/>
        <v>1</v>
      </c>
      <c r="S102" s="22">
        <f t="shared" si="35"/>
        <v>0</v>
      </c>
      <c r="T102" s="22">
        <f t="shared" si="35"/>
        <v>1</v>
      </c>
      <c r="U102" s="22">
        <f t="shared" si="35"/>
        <v>3</v>
      </c>
      <c r="V102" s="22">
        <f t="shared" si="35"/>
        <v>2</v>
      </c>
      <c r="W102" s="22">
        <f t="shared" si="35"/>
        <v>0</v>
      </c>
      <c r="X102" s="22">
        <f t="shared" si="35"/>
        <v>0</v>
      </c>
      <c r="Y102" s="22">
        <f t="shared" si="35"/>
        <v>0</v>
      </c>
      <c r="Z102" s="22">
        <f t="shared" si="35"/>
        <v>0</v>
      </c>
      <c r="AA102" s="20">
        <f t="shared" si="33"/>
        <v>30</v>
      </c>
      <c r="AB102" s="23"/>
      <c r="AC102" s="2"/>
    </row>
    <row r="103">
      <c r="A103" s="17" t="s">
        <v>38</v>
      </c>
      <c r="B103" s="24" t="str">
        <f t="shared" ref="B103:Z103" si="36">B102/(COUNT(B98:B101)*1)</f>
        <v>#DIV/0!</v>
      </c>
      <c r="C103" s="24">
        <f t="shared" si="36"/>
        <v>0</v>
      </c>
      <c r="D103" s="24">
        <f t="shared" si="36"/>
        <v>0</v>
      </c>
      <c r="E103" s="24">
        <f t="shared" si="36"/>
        <v>0</v>
      </c>
      <c r="F103" s="24">
        <f t="shared" si="36"/>
        <v>0</v>
      </c>
      <c r="G103" s="24">
        <f t="shared" si="36"/>
        <v>0.25</v>
      </c>
      <c r="H103" s="24">
        <f t="shared" si="36"/>
        <v>0</v>
      </c>
      <c r="I103" s="24">
        <f t="shared" si="36"/>
        <v>0.75</v>
      </c>
      <c r="J103" s="24">
        <f t="shared" si="36"/>
        <v>0.5</v>
      </c>
      <c r="K103" s="24">
        <f t="shared" si="36"/>
        <v>1</v>
      </c>
      <c r="L103" s="24">
        <f t="shared" si="36"/>
        <v>0.75</v>
      </c>
      <c r="M103" s="24" t="str">
        <f t="shared" si="36"/>
        <v>#DIV/0!</v>
      </c>
      <c r="N103" s="24" t="str">
        <f t="shared" si="36"/>
        <v>#DIV/0!</v>
      </c>
      <c r="O103" s="24">
        <f t="shared" si="36"/>
        <v>1</v>
      </c>
      <c r="P103" s="24">
        <f t="shared" si="36"/>
        <v>1</v>
      </c>
      <c r="Q103" s="24">
        <f t="shared" si="36"/>
        <v>0.5</v>
      </c>
      <c r="R103" s="24">
        <f t="shared" si="36"/>
        <v>0.25</v>
      </c>
      <c r="S103" s="24">
        <f t="shared" si="36"/>
        <v>0</v>
      </c>
      <c r="T103" s="24">
        <f t="shared" si="36"/>
        <v>0.25</v>
      </c>
      <c r="U103" s="24">
        <f t="shared" si="36"/>
        <v>0.75</v>
      </c>
      <c r="V103" s="24">
        <f t="shared" si="36"/>
        <v>0.5</v>
      </c>
      <c r="W103" s="24" t="str">
        <f t="shared" si="36"/>
        <v>#DIV/0!</v>
      </c>
      <c r="X103" s="24" t="str">
        <f t="shared" si="36"/>
        <v>#DIV/0!</v>
      </c>
      <c r="Y103" s="24" t="str">
        <f t="shared" si="36"/>
        <v>#DIV/0!</v>
      </c>
      <c r="Z103" s="24" t="str">
        <f t="shared" si="36"/>
        <v>#DIV/0!</v>
      </c>
      <c r="AA103" s="25"/>
      <c r="AB103" s="26">
        <f>SUM(AB98:AB101)/4</f>
        <v>0.4166666667</v>
      </c>
      <c r="AC103" s="2"/>
    </row>
    <row r="104">
      <c r="A104" s="27" t="s">
        <v>44</v>
      </c>
      <c r="B104" s="28"/>
      <c r="C104" s="2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30">
        <f t="shared" ref="AA104:AA106" si="37">SUM(B104:Z104)</f>
        <v>0</v>
      </c>
      <c r="AB104" s="31"/>
      <c r="AC104" s="2"/>
    </row>
    <row r="105">
      <c r="A105" s="32" t="s">
        <v>45</v>
      </c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28"/>
      <c r="W105" s="28"/>
      <c r="X105" s="28"/>
      <c r="Y105" s="28"/>
      <c r="Z105" s="28"/>
      <c r="AA105" s="30">
        <f t="shared" si="37"/>
        <v>0</v>
      </c>
      <c r="AB105" s="31"/>
      <c r="AC105" s="9"/>
    </row>
    <row r="106">
      <c r="A106" s="34" t="s">
        <v>46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28"/>
      <c r="W106" s="28"/>
      <c r="X106" s="28"/>
      <c r="Y106" s="28"/>
      <c r="Z106" s="28"/>
      <c r="AA106" s="30">
        <f t="shared" si="37"/>
        <v>0</v>
      </c>
      <c r="AB106" s="31"/>
      <c r="AC106" s="9"/>
    </row>
    <row r="107">
      <c r="A107" s="35" t="s">
        <v>47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7"/>
      <c r="AA107" s="38"/>
      <c r="AB107" s="39"/>
      <c r="AC107" s="2"/>
    </row>
    <row r="108">
      <c r="A108" s="40" t="s">
        <v>48</v>
      </c>
      <c r="B108" s="41"/>
      <c r="C108" s="42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3"/>
      <c r="W108" s="43"/>
      <c r="X108" s="43"/>
      <c r="Y108" s="43"/>
      <c r="Z108" s="43"/>
      <c r="AA108" s="44">
        <f t="shared" ref="AA108:AA109" si="38">SUM(B108:Z108)</f>
        <v>0</v>
      </c>
      <c r="AB108" s="31"/>
      <c r="AC108" s="2"/>
    </row>
    <row r="109">
      <c r="A109" s="40" t="s">
        <v>49</v>
      </c>
      <c r="B109" s="41"/>
      <c r="C109" s="42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3"/>
      <c r="W109" s="43"/>
      <c r="X109" s="43"/>
      <c r="Y109" s="43"/>
      <c r="Z109" s="43"/>
      <c r="AA109" s="44">
        <f t="shared" si="38"/>
        <v>0</v>
      </c>
      <c r="AB109" s="31"/>
      <c r="AC109" s="2"/>
    </row>
    <row r="110">
      <c r="A110" s="40" t="s">
        <v>50</v>
      </c>
      <c r="B110" s="42"/>
      <c r="C110" s="42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3"/>
      <c r="W110" s="43"/>
      <c r="X110" s="43"/>
      <c r="Y110" s="43"/>
      <c r="Z110" s="43"/>
      <c r="AA110" s="44" t="str">
        <f>AVERAGE(B110:Z110)</f>
        <v>#DIV/0!</v>
      </c>
      <c r="AB110" s="31"/>
      <c r="AC110" s="2"/>
    </row>
    <row r="111">
      <c r="A111" s="45" t="s">
        <v>51</v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7"/>
      <c r="AA111" s="46"/>
      <c r="AB111" s="39"/>
      <c r="AC111" s="2"/>
    </row>
    <row r="112">
      <c r="A112" s="47" t="s">
        <v>48</v>
      </c>
      <c r="B112" s="48"/>
      <c r="C112" s="49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50"/>
      <c r="W112" s="50"/>
      <c r="X112" s="50"/>
      <c r="Y112" s="50"/>
      <c r="Z112" s="50"/>
      <c r="AA112" s="51">
        <f t="shared" ref="AA112:AA113" si="39">SUM(B112:Z112)</f>
        <v>0</v>
      </c>
      <c r="AB112" s="31"/>
      <c r="AC112" s="2"/>
    </row>
    <row r="113">
      <c r="A113" s="47" t="s">
        <v>49</v>
      </c>
      <c r="B113" s="48"/>
      <c r="C113" s="49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50"/>
      <c r="W113" s="50"/>
      <c r="X113" s="50"/>
      <c r="Y113" s="50"/>
      <c r="Z113" s="50"/>
      <c r="AA113" s="51">
        <f t="shared" si="39"/>
        <v>0</v>
      </c>
      <c r="AB113" s="31"/>
      <c r="AC113" s="2"/>
    </row>
    <row r="114">
      <c r="A114" s="47" t="s">
        <v>50</v>
      </c>
      <c r="B114" s="49"/>
      <c r="C114" s="49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50"/>
      <c r="W114" s="50"/>
      <c r="X114" s="50"/>
      <c r="Y114" s="50"/>
      <c r="Z114" s="50"/>
      <c r="AA114" s="51" t="str">
        <f>AVERAGE(B114:Z114)</f>
        <v>#DIV/0!</v>
      </c>
      <c r="AB114" s="31"/>
      <c r="AC114" s="2"/>
    </row>
    <row r="115">
      <c r="A115" s="52" t="s">
        <v>53</v>
      </c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7"/>
      <c r="AA115" s="38"/>
      <c r="AB115" s="39"/>
      <c r="AC115" s="2"/>
    </row>
    <row r="116">
      <c r="A116" s="40" t="s">
        <v>48</v>
      </c>
      <c r="B116" s="41"/>
      <c r="C116" s="42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3"/>
      <c r="W116" s="43"/>
      <c r="X116" s="43"/>
      <c r="Y116" s="43"/>
      <c r="Z116" s="43"/>
      <c r="AA116" s="44">
        <f t="shared" ref="AA116:AA117" si="40">SUM(B116:Z116)</f>
        <v>0</v>
      </c>
      <c r="AB116" s="31"/>
      <c r="AC116" s="2"/>
    </row>
    <row r="117">
      <c r="A117" s="40" t="s">
        <v>49</v>
      </c>
      <c r="B117" s="41"/>
      <c r="C117" s="42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3"/>
      <c r="W117" s="43"/>
      <c r="X117" s="43"/>
      <c r="Y117" s="43"/>
      <c r="Z117" s="43"/>
      <c r="AA117" s="44">
        <f t="shared" si="40"/>
        <v>0</v>
      </c>
      <c r="AB117" s="31"/>
      <c r="AC117" s="2"/>
    </row>
    <row r="118">
      <c r="A118" s="53" t="s">
        <v>50</v>
      </c>
      <c r="B118" s="54"/>
      <c r="C118" s="54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6"/>
      <c r="W118" s="56"/>
      <c r="X118" s="56"/>
      <c r="Y118" s="56"/>
      <c r="Z118" s="56"/>
      <c r="AA118" s="57" t="str">
        <f>AVERAGE(B118:Z118)</f>
        <v>#DIV/0!</v>
      </c>
      <c r="AB118" s="58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59"/>
      <c r="AB119" s="59"/>
      <c r="AC119" s="2"/>
    </row>
    <row r="120">
      <c r="A120" s="13">
        <v>46150.0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 t="s">
        <v>37</v>
      </c>
      <c r="AB120" s="16" t="s">
        <v>38</v>
      </c>
      <c r="AC120" s="2"/>
    </row>
    <row r="121">
      <c r="A121" s="17" t="s">
        <v>39</v>
      </c>
      <c r="B121" s="19">
        <v>1.0</v>
      </c>
      <c r="C121" s="19">
        <v>1.0</v>
      </c>
      <c r="D121" s="19">
        <v>1.0</v>
      </c>
      <c r="E121" s="19">
        <v>1.0</v>
      </c>
      <c r="F121" s="19">
        <v>1.0</v>
      </c>
      <c r="G121" s="19">
        <v>1.0</v>
      </c>
      <c r="H121" s="19">
        <v>1.0</v>
      </c>
      <c r="I121" s="19">
        <v>1.0</v>
      </c>
      <c r="J121" s="19">
        <v>1.0</v>
      </c>
      <c r="K121" s="19">
        <v>1.0</v>
      </c>
      <c r="L121" s="19">
        <v>1.0</v>
      </c>
      <c r="M121" s="19">
        <v>1.0</v>
      </c>
      <c r="N121" s="19">
        <v>1.0</v>
      </c>
      <c r="O121" s="19">
        <v>1.0</v>
      </c>
      <c r="P121" s="19">
        <v>1.0</v>
      </c>
      <c r="Q121" s="19">
        <v>1.0</v>
      </c>
      <c r="R121" s="19">
        <v>1.0</v>
      </c>
      <c r="S121" s="19">
        <v>1.0</v>
      </c>
      <c r="T121" s="18"/>
      <c r="U121" s="18"/>
      <c r="V121" s="18"/>
      <c r="W121" s="18"/>
      <c r="X121" s="18"/>
      <c r="Y121" s="18"/>
      <c r="Z121" s="18"/>
      <c r="AA121" s="20">
        <f t="shared" ref="AA121:AA125" si="41">SUM(B121:Z121)</f>
        <v>18</v>
      </c>
      <c r="AB121" s="21">
        <f t="shared" ref="AB121:AB124" si="42">AA121/(COUNT(B121:Z121)*1)</f>
        <v>1</v>
      </c>
      <c r="AC121" s="2"/>
    </row>
    <row r="122">
      <c r="A122" s="17" t="s">
        <v>40</v>
      </c>
      <c r="B122" s="19">
        <v>1.0</v>
      </c>
      <c r="C122" s="19">
        <v>1.0</v>
      </c>
      <c r="D122" s="19">
        <v>0.0</v>
      </c>
      <c r="E122" s="19">
        <v>0.0</v>
      </c>
      <c r="F122" s="19">
        <v>0.0</v>
      </c>
      <c r="G122" s="19">
        <v>1.0</v>
      </c>
      <c r="H122" s="19">
        <v>1.0</v>
      </c>
      <c r="I122" s="19">
        <v>1.0</v>
      </c>
      <c r="J122" s="19">
        <v>1.0</v>
      </c>
      <c r="K122" s="19">
        <v>1.0</v>
      </c>
      <c r="L122" s="19">
        <v>1.0</v>
      </c>
      <c r="M122" s="19">
        <v>1.0</v>
      </c>
      <c r="N122" s="19">
        <v>1.0</v>
      </c>
      <c r="O122" s="19">
        <v>1.0</v>
      </c>
      <c r="P122" s="19">
        <v>1.0</v>
      </c>
      <c r="Q122" s="19">
        <v>1.0</v>
      </c>
      <c r="R122" s="19">
        <v>1.0</v>
      </c>
      <c r="S122" s="19">
        <v>1.0</v>
      </c>
      <c r="T122" s="18"/>
      <c r="U122" s="18"/>
      <c r="V122" s="18"/>
      <c r="W122" s="18"/>
      <c r="X122" s="18"/>
      <c r="Y122" s="18"/>
      <c r="Z122" s="18"/>
      <c r="AA122" s="20">
        <f t="shared" si="41"/>
        <v>15</v>
      </c>
      <c r="AB122" s="21">
        <f t="shared" si="42"/>
        <v>0.8333333333</v>
      </c>
      <c r="AC122" s="2"/>
    </row>
    <row r="123">
      <c r="A123" s="17" t="s">
        <v>41</v>
      </c>
      <c r="B123" s="19">
        <v>1.0</v>
      </c>
      <c r="C123" s="19">
        <v>1.0</v>
      </c>
      <c r="D123" s="19">
        <v>1.0</v>
      </c>
      <c r="E123" s="19">
        <v>1.0</v>
      </c>
      <c r="F123" s="19">
        <v>1.0</v>
      </c>
      <c r="G123" s="19">
        <v>1.0</v>
      </c>
      <c r="H123" s="19">
        <v>1.0</v>
      </c>
      <c r="I123" s="19">
        <v>1.0</v>
      </c>
      <c r="J123" s="19">
        <v>1.0</v>
      </c>
      <c r="K123" s="19">
        <v>1.0</v>
      </c>
      <c r="L123" s="19">
        <v>1.0</v>
      </c>
      <c r="M123" s="19">
        <v>1.0</v>
      </c>
      <c r="N123" s="19">
        <v>1.0</v>
      </c>
      <c r="O123" s="19">
        <v>1.0</v>
      </c>
      <c r="P123" s="19">
        <v>1.0</v>
      </c>
      <c r="Q123" s="19">
        <v>1.0</v>
      </c>
      <c r="R123" s="19">
        <v>0.0</v>
      </c>
      <c r="S123" s="19">
        <v>1.0</v>
      </c>
      <c r="T123" s="18"/>
      <c r="U123" s="18"/>
      <c r="V123" s="18"/>
      <c r="W123" s="18"/>
      <c r="X123" s="18"/>
      <c r="Y123" s="18"/>
      <c r="Z123" s="18"/>
      <c r="AA123" s="20">
        <f t="shared" si="41"/>
        <v>17</v>
      </c>
      <c r="AB123" s="21">
        <f t="shared" si="42"/>
        <v>0.9444444444</v>
      </c>
      <c r="AC123" s="2"/>
    </row>
    <row r="124">
      <c r="A124" s="17" t="s">
        <v>42</v>
      </c>
      <c r="B124" s="19">
        <v>1.0</v>
      </c>
      <c r="C124" s="19">
        <v>1.0</v>
      </c>
      <c r="D124" s="19">
        <v>1.0</v>
      </c>
      <c r="E124" s="19">
        <v>1.0</v>
      </c>
      <c r="F124" s="19">
        <v>1.0</v>
      </c>
      <c r="G124" s="19">
        <v>1.0</v>
      </c>
      <c r="H124" s="19">
        <v>1.0</v>
      </c>
      <c r="I124" s="19">
        <v>1.0</v>
      </c>
      <c r="J124" s="19">
        <v>1.0</v>
      </c>
      <c r="K124" s="19">
        <v>1.0</v>
      </c>
      <c r="L124" s="19">
        <v>1.0</v>
      </c>
      <c r="M124" s="19">
        <v>1.0</v>
      </c>
      <c r="N124" s="19">
        <v>1.0</v>
      </c>
      <c r="O124" s="19">
        <v>1.0</v>
      </c>
      <c r="P124" s="19">
        <v>1.0</v>
      </c>
      <c r="Q124" s="19">
        <v>1.0</v>
      </c>
      <c r="R124" s="19">
        <v>1.0</v>
      </c>
      <c r="S124" s="19">
        <v>1.0</v>
      </c>
      <c r="T124" s="18"/>
      <c r="U124" s="18"/>
      <c r="V124" s="18"/>
      <c r="W124" s="18"/>
      <c r="X124" s="18"/>
      <c r="Y124" s="18"/>
      <c r="Z124" s="18"/>
      <c r="AA124" s="20">
        <f t="shared" si="41"/>
        <v>18</v>
      </c>
      <c r="AB124" s="21">
        <f t="shared" si="42"/>
        <v>1</v>
      </c>
      <c r="AC124" s="2"/>
    </row>
    <row r="125">
      <c r="A125" s="17" t="s">
        <v>43</v>
      </c>
      <c r="B125" s="22">
        <f t="shared" ref="B125:Z125" si="43">SUM(B121:B124)</f>
        <v>4</v>
      </c>
      <c r="C125" s="22">
        <f t="shared" si="43"/>
        <v>4</v>
      </c>
      <c r="D125" s="22">
        <f t="shared" si="43"/>
        <v>3</v>
      </c>
      <c r="E125" s="22">
        <f t="shared" si="43"/>
        <v>3</v>
      </c>
      <c r="F125" s="22">
        <f t="shared" si="43"/>
        <v>3</v>
      </c>
      <c r="G125" s="22">
        <f t="shared" si="43"/>
        <v>4</v>
      </c>
      <c r="H125" s="22">
        <f t="shared" si="43"/>
        <v>4</v>
      </c>
      <c r="I125" s="22">
        <f t="shared" si="43"/>
        <v>4</v>
      </c>
      <c r="J125" s="22">
        <f t="shared" si="43"/>
        <v>4</v>
      </c>
      <c r="K125" s="22">
        <f t="shared" si="43"/>
        <v>4</v>
      </c>
      <c r="L125" s="22">
        <f t="shared" si="43"/>
        <v>4</v>
      </c>
      <c r="M125" s="22">
        <f t="shared" si="43"/>
        <v>4</v>
      </c>
      <c r="N125" s="22">
        <f t="shared" si="43"/>
        <v>4</v>
      </c>
      <c r="O125" s="22">
        <f t="shared" si="43"/>
        <v>4</v>
      </c>
      <c r="P125" s="22">
        <f t="shared" si="43"/>
        <v>4</v>
      </c>
      <c r="Q125" s="22">
        <f t="shared" si="43"/>
        <v>4</v>
      </c>
      <c r="R125" s="22">
        <f t="shared" si="43"/>
        <v>3</v>
      </c>
      <c r="S125" s="22">
        <f t="shared" si="43"/>
        <v>4</v>
      </c>
      <c r="T125" s="22">
        <f t="shared" si="43"/>
        <v>0</v>
      </c>
      <c r="U125" s="22">
        <f t="shared" si="43"/>
        <v>0</v>
      </c>
      <c r="V125" s="22">
        <f t="shared" si="43"/>
        <v>0</v>
      </c>
      <c r="W125" s="22">
        <f t="shared" si="43"/>
        <v>0</v>
      </c>
      <c r="X125" s="22">
        <f t="shared" si="43"/>
        <v>0</v>
      </c>
      <c r="Y125" s="22">
        <f t="shared" si="43"/>
        <v>0</v>
      </c>
      <c r="Z125" s="22">
        <f t="shared" si="43"/>
        <v>0</v>
      </c>
      <c r="AA125" s="20">
        <f t="shared" si="41"/>
        <v>68</v>
      </c>
      <c r="AB125" s="23"/>
      <c r="AC125" s="2"/>
    </row>
    <row r="126">
      <c r="A126" s="17" t="s">
        <v>38</v>
      </c>
      <c r="B126" s="24">
        <f t="shared" ref="B126:Z126" si="44">B125/(COUNT(B121:B124)*1)</f>
        <v>1</v>
      </c>
      <c r="C126" s="24">
        <f t="shared" si="44"/>
        <v>1</v>
      </c>
      <c r="D126" s="24">
        <f t="shared" si="44"/>
        <v>0.75</v>
      </c>
      <c r="E126" s="24">
        <f t="shared" si="44"/>
        <v>0.75</v>
      </c>
      <c r="F126" s="24">
        <f t="shared" si="44"/>
        <v>0.75</v>
      </c>
      <c r="G126" s="24">
        <f t="shared" si="44"/>
        <v>1</v>
      </c>
      <c r="H126" s="24">
        <f t="shared" si="44"/>
        <v>1</v>
      </c>
      <c r="I126" s="24">
        <f t="shared" si="44"/>
        <v>1</v>
      </c>
      <c r="J126" s="24">
        <f t="shared" si="44"/>
        <v>1</v>
      </c>
      <c r="K126" s="24">
        <f t="shared" si="44"/>
        <v>1</v>
      </c>
      <c r="L126" s="24">
        <f t="shared" si="44"/>
        <v>1</v>
      </c>
      <c r="M126" s="24">
        <f t="shared" si="44"/>
        <v>1</v>
      </c>
      <c r="N126" s="24">
        <f t="shared" si="44"/>
        <v>1</v>
      </c>
      <c r="O126" s="24">
        <f t="shared" si="44"/>
        <v>1</v>
      </c>
      <c r="P126" s="24">
        <f t="shared" si="44"/>
        <v>1</v>
      </c>
      <c r="Q126" s="24">
        <f t="shared" si="44"/>
        <v>1</v>
      </c>
      <c r="R126" s="24">
        <f t="shared" si="44"/>
        <v>0.75</v>
      </c>
      <c r="S126" s="24">
        <f t="shared" si="44"/>
        <v>1</v>
      </c>
      <c r="T126" s="24" t="str">
        <f t="shared" si="44"/>
        <v>#DIV/0!</v>
      </c>
      <c r="U126" s="24" t="str">
        <f t="shared" si="44"/>
        <v>#DIV/0!</v>
      </c>
      <c r="V126" s="24" t="str">
        <f t="shared" si="44"/>
        <v>#DIV/0!</v>
      </c>
      <c r="W126" s="24" t="str">
        <f t="shared" si="44"/>
        <v>#DIV/0!</v>
      </c>
      <c r="X126" s="24" t="str">
        <f t="shared" si="44"/>
        <v>#DIV/0!</v>
      </c>
      <c r="Y126" s="24" t="str">
        <f t="shared" si="44"/>
        <v>#DIV/0!</v>
      </c>
      <c r="Z126" s="24" t="str">
        <f t="shared" si="44"/>
        <v>#DIV/0!</v>
      </c>
      <c r="AA126" s="25"/>
      <c r="AB126" s="26">
        <f>SUM(AB121:AB124)/4</f>
        <v>0.9444444444</v>
      </c>
      <c r="AC126" s="2"/>
    </row>
    <row r="127">
      <c r="A127" s="27" t="s">
        <v>44</v>
      </c>
      <c r="B127" s="28"/>
      <c r="C127" s="2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30">
        <f t="shared" ref="AA127:AA129" si="45">SUM(B127:Z127)</f>
        <v>0</v>
      </c>
      <c r="AB127" s="31"/>
      <c r="AC127" s="2"/>
    </row>
    <row r="128">
      <c r="A128" s="32" t="s">
        <v>45</v>
      </c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28"/>
      <c r="W128" s="28"/>
      <c r="X128" s="28"/>
      <c r="Y128" s="28"/>
      <c r="Z128" s="28"/>
      <c r="AA128" s="30">
        <f t="shared" si="45"/>
        <v>0</v>
      </c>
      <c r="AB128" s="31"/>
      <c r="AC128" s="9"/>
    </row>
    <row r="129">
      <c r="A129" s="34" t="s">
        <v>46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28"/>
      <c r="W129" s="28"/>
      <c r="X129" s="28"/>
      <c r="Y129" s="28"/>
      <c r="Z129" s="28"/>
      <c r="AA129" s="30">
        <f t="shared" si="45"/>
        <v>0</v>
      </c>
      <c r="AB129" s="31"/>
      <c r="AC129" s="9"/>
    </row>
    <row r="130">
      <c r="A130" s="35" t="s">
        <v>47</v>
      </c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7"/>
      <c r="AA130" s="38"/>
      <c r="AB130" s="39"/>
      <c r="AC130" s="2"/>
    </row>
    <row r="131">
      <c r="A131" s="40" t="s">
        <v>48</v>
      </c>
      <c r="B131" s="41"/>
      <c r="C131" s="42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3"/>
      <c r="W131" s="43"/>
      <c r="X131" s="43"/>
      <c r="Y131" s="43"/>
      <c r="Z131" s="43"/>
      <c r="AA131" s="44">
        <f t="shared" ref="AA131:AA132" si="46">SUM(B131:Z131)</f>
        <v>0</v>
      </c>
      <c r="AB131" s="31"/>
      <c r="AC131" s="2"/>
    </row>
    <row r="132">
      <c r="A132" s="40" t="s">
        <v>49</v>
      </c>
      <c r="B132" s="41"/>
      <c r="C132" s="42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3"/>
      <c r="W132" s="43"/>
      <c r="X132" s="43"/>
      <c r="Y132" s="43"/>
      <c r="Z132" s="43"/>
      <c r="AA132" s="44">
        <f t="shared" si="46"/>
        <v>0</v>
      </c>
      <c r="AB132" s="31"/>
      <c r="AC132" s="2"/>
    </row>
    <row r="133">
      <c r="A133" s="40" t="s">
        <v>50</v>
      </c>
      <c r="B133" s="42"/>
      <c r="C133" s="42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3"/>
      <c r="W133" s="43"/>
      <c r="X133" s="43"/>
      <c r="Y133" s="43"/>
      <c r="Z133" s="43"/>
      <c r="AA133" s="44" t="str">
        <f>AVERAGE(B133:Z133)</f>
        <v>#DIV/0!</v>
      </c>
      <c r="AB133" s="31"/>
      <c r="AC133" s="2"/>
    </row>
    <row r="134">
      <c r="A134" s="45" t="s">
        <v>51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7"/>
      <c r="AA134" s="46"/>
      <c r="AB134" s="39"/>
      <c r="AC134" s="2"/>
    </row>
    <row r="135">
      <c r="A135" s="47" t="s">
        <v>48</v>
      </c>
      <c r="B135" s="48"/>
      <c r="C135" s="49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50"/>
      <c r="W135" s="50"/>
      <c r="X135" s="50"/>
      <c r="Y135" s="50"/>
      <c r="Z135" s="50"/>
      <c r="AA135" s="51">
        <f t="shared" ref="AA135:AA136" si="47">SUM(B135:Z135)</f>
        <v>0</v>
      </c>
      <c r="AB135" s="31"/>
      <c r="AC135" s="2"/>
    </row>
    <row r="136">
      <c r="A136" s="47" t="s">
        <v>49</v>
      </c>
      <c r="B136" s="48"/>
      <c r="C136" s="49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50"/>
      <c r="W136" s="50"/>
      <c r="X136" s="50"/>
      <c r="Y136" s="50"/>
      <c r="Z136" s="50"/>
      <c r="AA136" s="51">
        <f t="shared" si="47"/>
        <v>0</v>
      </c>
      <c r="AB136" s="31"/>
      <c r="AC136" s="2"/>
    </row>
    <row r="137">
      <c r="A137" s="47" t="s">
        <v>50</v>
      </c>
      <c r="B137" s="49"/>
      <c r="C137" s="49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50"/>
      <c r="W137" s="50"/>
      <c r="X137" s="50"/>
      <c r="Y137" s="50"/>
      <c r="Z137" s="50"/>
      <c r="AA137" s="51" t="str">
        <f>AVERAGE(B137:Z137)</f>
        <v>#DIV/0!</v>
      </c>
      <c r="AB137" s="31"/>
      <c r="AC137" s="2"/>
    </row>
    <row r="138">
      <c r="A138" s="52" t="s">
        <v>53</v>
      </c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7"/>
      <c r="AA138" s="38"/>
      <c r="AB138" s="39"/>
      <c r="AC138" s="2"/>
    </row>
    <row r="139">
      <c r="A139" s="40" t="s">
        <v>48</v>
      </c>
      <c r="B139" s="41"/>
      <c r="C139" s="42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3"/>
      <c r="W139" s="43"/>
      <c r="X139" s="43"/>
      <c r="Y139" s="43"/>
      <c r="Z139" s="43"/>
      <c r="AA139" s="44">
        <f t="shared" ref="AA139:AA140" si="48">SUM(B139:Z139)</f>
        <v>0</v>
      </c>
      <c r="AB139" s="31"/>
      <c r="AC139" s="2"/>
    </row>
    <row r="140">
      <c r="A140" s="40" t="s">
        <v>49</v>
      </c>
      <c r="B140" s="41"/>
      <c r="C140" s="42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3"/>
      <c r="W140" s="43"/>
      <c r="X140" s="43"/>
      <c r="Y140" s="43"/>
      <c r="Z140" s="43"/>
      <c r="AA140" s="44">
        <f t="shared" si="48"/>
        <v>0</v>
      </c>
      <c r="AB140" s="31"/>
      <c r="AC140" s="2"/>
    </row>
    <row r="141">
      <c r="A141" s="53" t="s">
        <v>50</v>
      </c>
      <c r="B141" s="54"/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6"/>
      <c r="W141" s="56"/>
      <c r="X141" s="56"/>
      <c r="Y141" s="56"/>
      <c r="Z141" s="56"/>
      <c r="AA141" s="57" t="str">
        <f>AVERAGE(B141:Z141)</f>
        <v>#DIV/0!</v>
      </c>
      <c r="AB141" s="58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59"/>
      <c r="AB142" s="59"/>
      <c r="AC142" s="2"/>
    </row>
    <row r="143">
      <c r="A143" s="13">
        <v>46153.0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 t="s">
        <v>37</v>
      </c>
      <c r="AB143" s="16" t="s">
        <v>38</v>
      </c>
      <c r="AC143" s="2"/>
    </row>
    <row r="144">
      <c r="A144" s="17" t="s">
        <v>39</v>
      </c>
      <c r="B144" s="19">
        <v>1.0</v>
      </c>
      <c r="C144" s="19">
        <v>1.0</v>
      </c>
      <c r="D144" s="19">
        <v>1.0</v>
      </c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1.0</v>
      </c>
      <c r="N144" s="19">
        <v>1.0</v>
      </c>
      <c r="O144" s="19">
        <v>1.0</v>
      </c>
      <c r="P144" s="19">
        <v>1.0</v>
      </c>
      <c r="Q144" s="19">
        <v>1.0</v>
      </c>
      <c r="R144" s="19">
        <v>1.0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1.0</v>
      </c>
      <c r="Y144" s="18"/>
      <c r="Z144" s="18"/>
      <c r="AA144" s="20">
        <f t="shared" ref="AA144:AA148" si="49">SUM(B144:Z144)</f>
        <v>10</v>
      </c>
      <c r="AB144" s="21">
        <f t="shared" ref="AB144:AB147" si="50">AA144/(COUNT(B144:Z144)*1)</f>
        <v>0.4347826087</v>
      </c>
      <c r="AC144" s="2"/>
    </row>
    <row r="145">
      <c r="A145" s="17" t="s">
        <v>40</v>
      </c>
      <c r="B145" s="19">
        <v>1.0</v>
      </c>
      <c r="C145" s="19">
        <v>1.0</v>
      </c>
      <c r="D145" s="19">
        <v>1.0</v>
      </c>
      <c r="E145" s="19">
        <v>1.0</v>
      </c>
      <c r="F145" s="19">
        <v>1.0</v>
      </c>
      <c r="G145" s="19">
        <v>1.0</v>
      </c>
      <c r="H145" s="19">
        <v>1.0</v>
      </c>
      <c r="I145" s="19">
        <v>1.0</v>
      </c>
      <c r="J145" s="19">
        <v>1.0</v>
      </c>
      <c r="K145" s="19">
        <v>1.0</v>
      </c>
      <c r="L145" s="19">
        <v>1.0</v>
      </c>
      <c r="M145" s="19">
        <v>0.0</v>
      </c>
      <c r="N145" s="19">
        <v>0.0</v>
      </c>
      <c r="O145" s="19">
        <v>1.0</v>
      </c>
      <c r="P145" s="19">
        <v>1.0</v>
      </c>
      <c r="Q145" s="19">
        <v>1.0</v>
      </c>
      <c r="R145" s="19">
        <v>1.0</v>
      </c>
      <c r="S145" s="19">
        <v>1.0</v>
      </c>
      <c r="T145" s="19">
        <v>0.0</v>
      </c>
      <c r="U145" s="19">
        <v>1.0</v>
      </c>
      <c r="V145" s="19">
        <v>1.0</v>
      </c>
      <c r="W145" s="19">
        <v>0.0</v>
      </c>
      <c r="X145" s="19">
        <v>0.0</v>
      </c>
      <c r="Y145" s="18"/>
      <c r="Z145" s="18"/>
      <c r="AA145" s="20">
        <f t="shared" si="49"/>
        <v>18</v>
      </c>
      <c r="AB145" s="21">
        <f t="shared" si="50"/>
        <v>0.7826086957</v>
      </c>
      <c r="AC145" s="2"/>
    </row>
    <row r="146">
      <c r="A146" s="17" t="s">
        <v>41</v>
      </c>
      <c r="B146" s="19">
        <v>0.0</v>
      </c>
      <c r="C146" s="19">
        <v>0.0</v>
      </c>
      <c r="D146" s="19">
        <v>0.0</v>
      </c>
      <c r="E146" s="19">
        <v>1.0</v>
      </c>
      <c r="F146" s="19">
        <v>1.0</v>
      </c>
      <c r="G146" s="19">
        <v>1.0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1.0</v>
      </c>
      <c r="P146" s="19">
        <v>1.0</v>
      </c>
      <c r="Q146" s="19">
        <v>1.0</v>
      </c>
      <c r="R146" s="19">
        <v>1.0</v>
      </c>
      <c r="S146" s="19">
        <v>1.0</v>
      </c>
      <c r="T146" s="19">
        <v>0.0</v>
      </c>
      <c r="U146" s="19">
        <v>1.0</v>
      </c>
      <c r="V146" s="19">
        <v>1.0</v>
      </c>
      <c r="W146" s="19">
        <v>0.0</v>
      </c>
      <c r="X146" s="19">
        <v>0.0</v>
      </c>
      <c r="Y146" s="18"/>
      <c r="Z146" s="18"/>
      <c r="AA146" s="20">
        <f t="shared" si="49"/>
        <v>10</v>
      </c>
      <c r="AB146" s="21">
        <f t="shared" si="50"/>
        <v>0.4347826087</v>
      </c>
      <c r="AC146" s="2"/>
    </row>
    <row r="147">
      <c r="A147" s="17" t="s">
        <v>42</v>
      </c>
      <c r="B147" s="19">
        <v>1.0</v>
      </c>
      <c r="C147" s="19">
        <v>1.0</v>
      </c>
      <c r="D147" s="19">
        <v>0.0</v>
      </c>
      <c r="E147" s="19">
        <v>0.0</v>
      </c>
      <c r="F147" s="19">
        <v>0.0</v>
      </c>
      <c r="G147" s="19">
        <v>0.0</v>
      </c>
      <c r="H147" s="19">
        <v>1.0</v>
      </c>
      <c r="I147" s="19">
        <v>1.0</v>
      </c>
      <c r="J147" s="19">
        <v>1.0</v>
      </c>
      <c r="K147" s="19">
        <v>1.0</v>
      </c>
      <c r="L147" s="19">
        <v>0.0</v>
      </c>
      <c r="M147" s="19">
        <v>1.0</v>
      </c>
      <c r="N147" s="19">
        <v>0.0</v>
      </c>
      <c r="O147" s="19">
        <v>0.0</v>
      </c>
      <c r="P147" s="19">
        <v>1.0</v>
      </c>
      <c r="Q147" s="19">
        <v>1.0</v>
      </c>
      <c r="R147" s="19">
        <v>1.0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1.0</v>
      </c>
      <c r="Y147" s="18"/>
      <c r="Z147" s="18"/>
      <c r="AA147" s="20">
        <f t="shared" si="49"/>
        <v>11</v>
      </c>
      <c r="AB147" s="21">
        <f t="shared" si="50"/>
        <v>0.4782608696</v>
      </c>
      <c r="AC147" s="2"/>
    </row>
    <row r="148">
      <c r="A148" s="17" t="s">
        <v>43</v>
      </c>
      <c r="B148" s="22">
        <f t="shared" ref="B148:Z148" si="51">SUM(B144:B147)</f>
        <v>3</v>
      </c>
      <c r="C148" s="22">
        <f t="shared" si="51"/>
        <v>3</v>
      </c>
      <c r="D148" s="22">
        <f t="shared" si="51"/>
        <v>2</v>
      </c>
      <c r="E148" s="22">
        <f t="shared" si="51"/>
        <v>2</v>
      </c>
      <c r="F148" s="22">
        <f t="shared" si="51"/>
        <v>2</v>
      </c>
      <c r="G148" s="22">
        <f t="shared" si="51"/>
        <v>2</v>
      </c>
      <c r="H148" s="22">
        <f t="shared" si="51"/>
        <v>2</v>
      </c>
      <c r="I148" s="22">
        <f t="shared" si="51"/>
        <v>2</v>
      </c>
      <c r="J148" s="22">
        <f t="shared" si="51"/>
        <v>2</v>
      </c>
      <c r="K148" s="22">
        <f t="shared" si="51"/>
        <v>2</v>
      </c>
      <c r="L148" s="22">
        <f t="shared" si="51"/>
        <v>1</v>
      </c>
      <c r="M148" s="22">
        <f t="shared" si="51"/>
        <v>2</v>
      </c>
      <c r="N148" s="22">
        <f t="shared" si="51"/>
        <v>1</v>
      </c>
      <c r="O148" s="22">
        <f t="shared" si="51"/>
        <v>3</v>
      </c>
      <c r="P148" s="22">
        <f t="shared" si="51"/>
        <v>4</v>
      </c>
      <c r="Q148" s="22">
        <f t="shared" si="51"/>
        <v>4</v>
      </c>
      <c r="R148" s="22">
        <f t="shared" si="51"/>
        <v>4</v>
      </c>
      <c r="S148" s="22">
        <f t="shared" si="51"/>
        <v>2</v>
      </c>
      <c r="T148" s="22">
        <f t="shared" si="51"/>
        <v>0</v>
      </c>
      <c r="U148" s="22">
        <f t="shared" si="51"/>
        <v>2</v>
      </c>
      <c r="V148" s="22">
        <f t="shared" si="51"/>
        <v>2</v>
      </c>
      <c r="W148" s="22">
        <f t="shared" si="51"/>
        <v>0</v>
      </c>
      <c r="X148" s="22">
        <f t="shared" si="51"/>
        <v>2</v>
      </c>
      <c r="Y148" s="22">
        <f t="shared" si="51"/>
        <v>0</v>
      </c>
      <c r="Z148" s="22">
        <f t="shared" si="51"/>
        <v>0</v>
      </c>
      <c r="AA148" s="20">
        <f t="shared" si="49"/>
        <v>49</v>
      </c>
      <c r="AB148" s="23"/>
      <c r="AC148" s="2"/>
    </row>
    <row r="149">
      <c r="A149" s="17" t="s">
        <v>38</v>
      </c>
      <c r="B149" s="24">
        <f t="shared" ref="B149:Z149" si="52">B148/(COUNT(B144:B147)*1)</f>
        <v>0.75</v>
      </c>
      <c r="C149" s="24">
        <f t="shared" si="52"/>
        <v>0.75</v>
      </c>
      <c r="D149" s="24">
        <f t="shared" si="52"/>
        <v>0.5</v>
      </c>
      <c r="E149" s="24">
        <f t="shared" si="52"/>
        <v>0.5</v>
      </c>
      <c r="F149" s="24">
        <f t="shared" si="52"/>
        <v>0.5</v>
      </c>
      <c r="G149" s="24">
        <f t="shared" si="52"/>
        <v>0.5</v>
      </c>
      <c r="H149" s="24">
        <f t="shared" si="52"/>
        <v>0.5</v>
      </c>
      <c r="I149" s="24">
        <f t="shared" si="52"/>
        <v>0.5</v>
      </c>
      <c r="J149" s="24">
        <f t="shared" si="52"/>
        <v>0.5</v>
      </c>
      <c r="K149" s="24">
        <f t="shared" si="52"/>
        <v>0.5</v>
      </c>
      <c r="L149" s="24">
        <f t="shared" si="52"/>
        <v>0.25</v>
      </c>
      <c r="M149" s="24">
        <f t="shared" si="52"/>
        <v>0.5</v>
      </c>
      <c r="N149" s="24">
        <f t="shared" si="52"/>
        <v>0.25</v>
      </c>
      <c r="O149" s="24">
        <f t="shared" si="52"/>
        <v>0.75</v>
      </c>
      <c r="P149" s="24">
        <f t="shared" si="52"/>
        <v>1</v>
      </c>
      <c r="Q149" s="24">
        <f t="shared" si="52"/>
        <v>1</v>
      </c>
      <c r="R149" s="24">
        <f t="shared" si="52"/>
        <v>1</v>
      </c>
      <c r="S149" s="24">
        <f t="shared" si="52"/>
        <v>0.5</v>
      </c>
      <c r="T149" s="24">
        <f t="shared" si="52"/>
        <v>0</v>
      </c>
      <c r="U149" s="24">
        <f t="shared" si="52"/>
        <v>0.5</v>
      </c>
      <c r="V149" s="24">
        <f t="shared" si="52"/>
        <v>0.5</v>
      </c>
      <c r="W149" s="24">
        <f t="shared" si="52"/>
        <v>0</v>
      </c>
      <c r="X149" s="24">
        <f t="shared" si="52"/>
        <v>0.5</v>
      </c>
      <c r="Y149" s="24" t="str">
        <f t="shared" si="52"/>
        <v>#DIV/0!</v>
      </c>
      <c r="Z149" s="24" t="str">
        <f t="shared" si="52"/>
        <v>#DIV/0!</v>
      </c>
      <c r="AA149" s="25"/>
      <c r="AB149" s="26">
        <f>SUM(AB144:AB147)/4</f>
        <v>0.5326086957</v>
      </c>
      <c r="AC149" s="2"/>
    </row>
    <row r="150">
      <c r="A150" s="27" t="s">
        <v>44</v>
      </c>
      <c r="B150" s="60"/>
      <c r="C150" s="61"/>
      <c r="D150" s="60"/>
      <c r="E150" s="60"/>
      <c r="F150" s="60"/>
      <c r="G150" s="60"/>
      <c r="H150" s="60"/>
      <c r="I150" s="68">
        <v>20.0</v>
      </c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30">
        <f t="shared" ref="AA150:AA152" si="53">SUM(B150:Z150)</f>
        <v>20</v>
      </c>
      <c r="AB150" s="31"/>
      <c r="AC150" s="2"/>
    </row>
    <row r="151">
      <c r="A151" s="32" t="s">
        <v>45</v>
      </c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0"/>
      <c r="W151" s="60"/>
      <c r="X151" s="60"/>
      <c r="Y151" s="60"/>
      <c r="Z151" s="60"/>
      <c r="AA151" s="30">
        <f t="shared" si="53"/>
        <v>0</v>
      </c>
      <c r="AB151" s="31"/>
      <c r="AC151" s="9"/>
    </row>
    <row r="152">
      <c r="A152" s="34" t="s">
        <v>46</v>
      </c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0"/>
      <c r="W152" s="60"/>
      <c r="X152" s="60"/>
      <c r="Y152" s="60"/>
      <c r="Z152" s="60"/>
      <c r="AA152" s="30">
        <f t="shared" si="53"/>
        <v>0</v>
      </c>
      <c r="AB152" s="31"/>
      <c r="AC152" s="9"/>
    </row>
    <row r="153">
      <c r="A153" s="35" t="s">
        <v>47</v>
      </c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7"/>
      <c r="AA153" s="38"/>
      <c r="AB153" s="39"/>
      <c r="AC153" s="2"/>
    </row>
    <row r="154">
      <c r="A154" s="40" t="s">
        <v>48</v>
      </c>
      <c r="B154" s="63"/>
      <c r="C154" s="64"/>
      <c r="D154" s="63"/>
      <c r="E154" s="65">
        <v>1.0</v>
      </c>
      <c r="F154" s="65">
        <v>1.0</v>
      </c>
      <c r="G154" s="65">
        <v>1.0</v>
      </c>
      <c r="H154" s="65">
        <v>1.0</v>
      </c>
      <c r="I154" s="65">
        <v>1.0</v>
      </c>
      <c r="J154" s="65">
        <v>1.0</v>
      </c>
      <c r="K154" s="65">
        <v>1.0</v>
      </c>
      <c r="L154" s="65">
        <v>1.0</v>
      </c>
      <c r="M154" s="63"/>
      <c r="N154" s="63"/>
      <c r="O154" s="63"/>
      <c r="P154" s="63"/>
      <c r="Q154" s="63"/>
      <c r="R154" s="63"/>
      <c r="S154" s="65">
        <v>1.0</v>
      </c>
      <c r="T154" s="65">
        <v>1.0</v>
      </c>
      <c r="U154" s="63"/>
      <c r="V154" s="66"/>
      <c r="W154" s="66"/>
      <c r="X154" s="66"/>
      <c r="Y154" s="66"/>
      <c r="Z154" s="66"/>
      <c r="AA154" s="44">
        <f t="shared" ref="AA154:AA155" si="54">SUM(B154:Z154)</f>
        <v>10</v>
      </c>
      <c r="AB154" s="31"/>
      <c r="AC154" s="2"/>
    </row>
    <row r="155">
      <c r="A155" s="40" t="s">
        <v>49</v>
      </c>
      <c r="B155" s="63"/>
      <c r="C155" s="64"/>
      <c r="D155" s="63"/>
      <c r="E155" s="65">
        <v>20.0</v>
      </c>
      <c r="F155" s="65">
        <v>20.0</v>
      </c>
      <c r="G155" s="65">
        <v>20.0</v>
      </c>
      <c r="H155" s="65">
        <v>20.0</v>
      </c>
      <c r="I155" s="65">
        <v>20.0</v>
      </c>
      <c r="J155" s="65">
        <v>20.0</v>
      </c>
      <c r="K155" s="65">
        <v>20.0</v>
      </c>
      <c r="L155" s="65">
        <v>20.0</v>
      </c>
      <c r="M155" s="63"/>
      <c r="N155" s="63"/>
      <c r="O155" s="63"/>
      <c r="P155" s="63"/>
      <c r="Q155" s="63"/>
      <c r="R155" s="63"/>
      <c r="S155" s="65">
        <v>10.0</v>
      </c>
      <c r="T155" s="65">
        <v>20.0</v>
      </c>
      <c r="U155" s="63"/>
      <c r="V155" s="66"/>
      <c r="W155" s="66"/>
      <c r="X155" s="66"/>
      <c r="Y155" s="66"/>
      <c r="Z155" s="66"/>
      <c r="AA155" s="44">
        <f t="shared" si="54"/>
        <v>190</v>
      </c>
      <c r="AB155" s="31"/>
      <c r="AC155" s="2"/>
    </row>
    <row r="156">
      <c r="A156" s="40" t="s">
        <v>50</v>
      </c>
      <c r="B156" s="64"/>
      <c r="C156" s="64"/>
      <c r="D156" s="63"/>
      <c r="E156" s="65">
        <v>2.0</v>
      </c>
      <c r="F156" s="65">
        <v>2.0</v>
      </c>
      <c r="G156" s="65">
        <v>2.0</v>
      </c>
      <c r="H156" s="65">
        <v>2.0</v>
      </c>
      <c r="I156" s="65">
        <v>2.0</v>
      </c>
      <c r="J156" s="65">
        <v>2.0</v>
      </c>
      <c r="K156" s="65">
        <v>2.0</v>
      </c>
      <c r="L156" s="65">
        <v>2.0</v>
      </c>
      <c r="M156" s="63"/>
      <c r="N156" s="63"/>
      <c r="O156" s="63"/>
      <c r="P156" s="63"/>
      <c r="Q156" s="63"/>
      <c r="R156" s="63"/>
      <c r="S156" s="65">
        <v>3.0</v>
      </c>
      <c r="T156" s="65">
        <v>4.0</v>
      </c>
      <c r="U156" s="63"/>
      <c r="V156" s="66"/>
      <c r="W156" s="66"/>
      <c r="X156" s="66"/>
      <c r="Y156" s="66"/>
      <c r="Z156" s="66"/>
      <c r="AA156" s="44">
        <f>AVERAGE(B156:Z156)</f>
        <v>2.3</v>
      </c>
      <c r="AB156" s="31"/>
      <c r="AC156" s="2"/>
    </row>
    <row r="157">
      <c r="A157" s="45" t="s">
        <v>51</v>
      </c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7"/>
      <c r="AA157" s="46"/>
      <c r="AB157" s="39"/>
      <c r="AC157" s="2"/>
    </row>
    <row r="158">
      <c r="A158" s="47" t="s">
        <v>48</v>
      </c>
      <c r="B158" s="48"/>
      <c r="C158" s="49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50"/>
      <c r="W158" s="50"/>
      <c r="X158" s="50"/>
      <c r="Y158" s="50"/>
      <c r="Z158" s="50"/>
      <c r="AA158" s="51">
        <f t="shared" ref="AA158:AA159" si="55">SUM(B158:Z158)</f>
        <v>0</v>
      </c>
      <c r="AB158" s="31"/>
      <c r="AC158" s="2"/>
    </row>
    <row r="159">
      <c r="A159" s="47" t="s">
        <v>49</v>
      </c>
      <c r="B159" s="48"/>
      <c r="C159" s="49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50"/>
      <c r="W159" s="50"/>
      <c r="X159" s="50"/>
      <c r="Y159" s="50"/>
      <c r="Z159" s="50"/>
      <c r="AA159" s="51">
        <f t="shared" si="55"/>
        <v>0</v>
      </c>
      <c r="AB159" s="31"/>
      <c r="AC159" s="2"/>
    </row>
    <row r="160">
      <c r="A160" s="47" t="s">
        <v>50</v>
      </c>
      <c r="B160" s="49"/>
      <c r="C160" s="49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50"/>
      <c r="W160" s="50"/>
      <c r="X160" s="50"/>
      <c r="Y160" s="50"/>
      <c r="Z160" s="50"/>
      <c r="AA160" s="51" t="str">
        <f>AVERAGE(B160:Z160)</f>
        <v>#DIV/0!</v>
      </c>
      <c r="AB160" s="31"/>
      <c r="AC160" s="2"/>
    </row>
    <row r="161">
      <c r="A161" s="52" t="s">
        <v>53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7"/>
      <c r="AA161" s="38"/>
      <c r="AB161" s="39"/>
      <c r="AC161" s="2"/>
    </row>
    <row r="162">
      <c r="A162" s="40" t="s">
        <v>48</v>
      </c>
      <c r="B162" s="41"/>
      <c r="C162" s="42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3"/>
      <c r="W162" s="43"/>
      <c r="X162" s="43"/>
      <c r="Y162" s="43"/>
      <c r="Z162" s="43"/>
      <c r="AA162" s="44">
        <f t="shared" ref="AA162:AA163" si="56">SUM(B162:Z162)</f>
        <v>0</v>
      </c>
      <c r="AB162" s="31"/>
      <c r="AC162" s="2"/>
    </row>
    <row r="163">
      <c r="A163" s="40" t="s">
        <v>49</v>
      </c>
      <c r="B163" s="41"/>
      <c r="C163" s="42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3"/>
      <c r="W163" s="43"/>
      <c r="X163" s="43"/>
      <c r="Y163" s="43"/>
      <c r="Z163" s="43"/>
      <c r="AA163" s="44">
        <f t="shared" si="56"/>
        <v>0</v>
      </c>
      <c r="AB163" s="31"/>
      <c r="AC163" s="2"/>
    </row>
    <row r="164">
      <c r="A164" s="53" t="s">
        <v>50</v>
      </c>
      <c r="B164" s="54"/>
      <c r="C164" s="54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6"/>
      <c r="W164" s="56"/>
      <c r="X164" s="56"/>
      <c r="Y164" s="56"/>
      <c r="Z164" s="56"/>
      <c r="AA164" s="57" t="str">
        <f>AVERAGE(B164:Z164)</f>
        <v>#DIV/0!</v>
      </c>
      <c r="AB164" s="58"/>
      <c r="AC164" s="2"/>
    </row>
    <row r="165">
      <c r="A165" s="9"/>
      <c r="B165" s="9"/>
      <c r="C165" s="9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13">
        <v>46154.0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5" t="s">
        <v>37</v>
      </c>
      <c r="AB166" s="16" t="s">
        <v>38</v>
      </c>
      <c r="AC166" s="2"/>
    </row>
    <row r="167">
      <c r="A167" s="17" t="s">
        <v>39</v>
      </c>
      <c r="B167" s="19">
        <v>1.0</v>
      </c>
      <c r="C167" s="19">
        <v>1.0</v>
      </c>
      <c r="D167" s="19">
        <v>1.0</v>
      </c>
      <c r="E167" s="19">
        <v>1.0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1.0</v>
      </c>
      <c r="L167" s="19">
        <v>0.0</v>
      </c>
      <c r="M167" s="19">
        <v>0.0</v>
      </c>
      <c r="N167" s="19">
        <v>0.0</v>
      </c>
      <c r="O167" s="19">
        <v>1.0</v>
      </c>
      <c r="P167" s="19">
        <v>1.0</v>
      </c>
      <c r="Q167" s="19">
        <v>1.0</v>
      </c>
      <c r="R167" s="19">
        <v>1.0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8"/>
      <c r="Y167" s="18"/>
      <c r="Z167" s="18"/>
      <c r="AA167" s="20">
        <f t="shared" ref="AA167:AA171" si="57">SUM(B167:Z167)</f>
        <v>9</v>
      </c>
      <c r="AB167" s="21">
        <f t="shared" ref="AB167:AB170" si="58">AA167/(COUNT(B167:Z167)*1)</f>
        <v>0.4090909091</v>
      </c>
      <c r="AC167" s="2"/>
    </row>
    <row r="168">
      <c r="A168" s="17" t="s">
        <v>40</v>
      </c>
      <c r="B168" s="19">
        <v>1.0</v>
      </c>
      <c r="C168" s="19">
        <v>1.0</v>
      </c>
      <c r="D168" s="19">
        <v>1.0</v>
      </c>
      <c r="E168" s="19">
        <v>1.0</v>
      </c>
      <c r="F168" s="19">
        <v>1.0</v>
      </c>
      <c r="G168" s="19">
        <v>0.0</v>
      </c>
      <c r="H168" s="19">
        <v>0.0</v>
      </c>
      <c r="I168" s="19">
        <v>1.0</v>
      </c>
      <c r="J168" s="19">
        <v>0.0</v>
      </c>
      <c r="K168" s="19">
        <v>1.0</v>
      </c>
      <c r="L168" s="19">
        <v>1.0</v>
      </c>
      <c r="M168" s="19">
        <v>1.0</v>
      </c>
      <c r="N168" s="19">
        <v>1.0</v>
      </c>
      <c r="O168" s="19">
        <v>1.0</v>
      </c>
      <c r="P168" s="19">
        <v>1.0</v>
      </c>
      <c r="Q168" s="19">
        <v>1.0</v>
      </c>
      <c r="R168" s="19">
        <v>1.0</v>
      </c>
      <c r="S168" s="19">
        <v>0.0</v>
      </c>
      <c r="T168" s="19">
        <v>1.0</v>
      </c>
      <c r="U168" s="19">
        <v>1.0</v>
      </c>
      <c r="V168" s="19">
        <v>1.0</v>
      </c>
      <c r="W168" s="19">
        <v>1.0</v>
      </c>
      <c r="X168" s="18"/>
      <c r="Y168" s="18"/>
      <c r="Z168" s="18"/>
      <c r="AA168" s="20">
        <f t="shared" si="57"/>
        <v>18</v>
      </c>
      <c r="AB168" s="21">
        <f t="shared" si="58"/>
        <v>0.8181818182</v>
      </c>
      <c r="AC168" s="2"/>
    </row>
    <row r="169">
      <c r="A169" s="17" t="s">
        <v>41</v>
      </c>
      <c r="B169" s="19">
        <v>1.0</v>
      </c>
      <c r="C169" s="19">
        <v>1.0</v>
      </c>
      <c r="D169" s="19">
        <v>1.0</v>
      </c>
      <c r="E169" s="19">
        <v>1.0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1.0</v>
      </c>
      <c r="L169" s="19">
        <v>0.0</v>
      </c>
      <c r="M169" s="19">
        <v>0.0</v>
      </c>
      <c r="N169" s="19">
        <v>0.0</v>
      </c>
      <c r="O169" s="19">
        <v>1.0</v>
      </c>
      <c r="P169" s="19">
        <v>1.0</v>
      </c>
      <c r="Q169" s="19">
        <v>1.0</v>
      </c>
      <c r="R169" s="19">
        <v>1.0</v>
      </c>
      <c r="S169" s="19">
        <v>0.0</v>
      </c>
      <c r="T169" s="19">
        <v>1.0</v>
      </c>
      <c r="U169" s="19">
        <v>1.0</v>
      </c>
      <c r="V169" s="19">
        <v>1.0</v>
      </c>
      <c r="W169" s="19">
        <v>1.0</v>
      </c>
      <c r="X169" s="18"/>
      <c r="Y169" s="18"/>
      <c r="Z169" s="18"/>
      <c r="AA169" s="20">
        <f t="shared" si="57"/>
        <v>13</v>
      </c>
      <c r="AB169" s="21">
        <f t="shared" si="58"/>
        <v>0.5909090909</v>
      </c>
      <c r="AC169" s="2"/>
    </row>
    <row r="170">
      <c r="A170" s="17" t="s">
        <v>42</v>
      </c>
      <c r="B170" s="19">
        <v>1.0</v>
      </c>
      <c r="C170" s="19">
        <v>1.0</v>
      </c>
      <c r="D170" s="19">
        <v>0.0</v>
      </c>
      <c r="E170" s="19">
        <v>0.0</v>
      </c>
      <c r="F170" s="19">
        <v>1.0</v>
      </c>
      <c r="G170" s="19">
        <v>0.0</v>
      </c>
      <c r="H170" s="19">
        <v>0.0</v>
      </c>
      <c r="I170" s="19">
        <v>0.0</v>
      </c>
      <c r="J170" s="19">
        <v>1.0</v>
      </c>
      <c r="K170" s="19">
        <v>0.0</v>
      </c>
      <c r="L170" s="19">
        <v>1.0</v>
      </c>
      <c r="M170" s="19">
        <v>1.0</v>
      </c>
      <c r="N170" s="19">
        <v>1.0</v>
      </c>
      <c r="O170" s="19">
        <v>1.0</v>
      </c>
      <c r="P170" s="19">
        <v>1.0</v>
      </c>
      <c r="Q170" s="19">
        <v>1.0</v>
      </c>
      <c r="R170" s="19">
        <v>1.0</v>
      </c>
      <c r="S170" s="19">
        <v>0.0</v>
      </c>
      <c r="T170" s="19">
        <v>0.0</v>
      </c>
      <c r="U170" s="19">
        <v>1.0</v>
      </c>
      <c r="V170" s="19">
        <v>1.0</v>
      </c>
      <c r="W170" s="19">
        <v>1.0</v>
      </c>
      <c r="X170" s="18"/>
      <c r="Y170" s="18"/>
      <c r="Z170" s="18"/>
      <c r="AA170" s="20">
        <f t="shared" si="57"/>
        <v>14</v>
      </c>
      <c r="AB170" s="21">
        <f t="shared" si="58"/>
        <v>0.6363636364</v>
      </c>
      <c r="AC170" s="2"/>
    </row>
    <row r="171">
      <c r="A171" s="17" t="s">
        <v>43</v>
      </c>
      <c r="B171" s="22">
        <f t="shared" ref="B171:Z171" si="59">SUM(B167:B170)</f>
        <v>4</v>
      </c>
      <c r="C171" s="22">
        <f t="shared" si="59"/>
        <v>4</v>
      </c>
      <c r="D171" s="22">
        <f t="shared" si="59"/>
        <v>3</v>
      </c>
      <c r="E171" s="22">
        <f t="shared" si="59"/>
        <v>3</v>
      </c>
      <c r="F171" s="22">
        <f t="shared" si="59"/>
        <v>2</v>
      </c>
      <c r="G171" s="22">
        <f t="shared" si="59"/>
        <v>0</v>
      </c>
      <c r="H171" s="22">
        <f t="shared" si="59"/>
        <v>0</v>
      </c>
      <c r="I171" s="22">
        <f t="shared" si="59"/>
        <v>1</v>
      </c>
      <c r="J171" s="22">
        <f t="shared" si="59"/>
        <v>1</v>
      </c>
      <c r="K171" s="22">
        <f t="shared" si="59"/>
        <v>3</v>
      </c>
      <c r="L171" s="22">
        <f t="shared" si="59"/>
        <v>2</v>
      </c>
      <c r="M171" s="22">
        <f t="shared" si="59"/>
        <v>2</v>
      </c>
      <c r="N171" s="22">
        <f t="shared" si="59"/>
        <v>2</v>
      </c>
      <c r="O171" s="22">
        <f t="shared" si="59"/>
        <v>4</v>
      </c>
      <c r="P171" s="22">
        <f t="shared" si="59"/>
        <v>4</v>
      </c>
      <c r="Q171" s="22">
        <f t="shared" si="59"/>
        <v>4</v>
      </c>
      <c r="R171" s="22">
        <f t="shared" si="59"/>
        <v>4</v>
      </c>
      <c r="S171" s="22">
        <f t="shared" si="59"/>
        <v>0</v>
      </c>
      <c r="T171" s="22">
        <f t="shared" si="59"/>
        <v>2</v>
      </c>
      <c r="U171" s="22">
        <f t="shared" si="59"/>
        <v>3</v>
      </c>
      <c r="V171" s="22">
        <f t="shared" si="59"/>
        <v>3</v>
      </c>
      <c r="W171" s="22">
        <f t="shared" si="59"/>
        <v>3</v>
      </c>
      <c r="X171" s="22">
        <f t="shared" si="59"/>
        <v>0</v>
      </c>
      <c r="Y171" s="22">
        <f t="shared" si="59"/>
        <v>0</v>
      </c>
      <c r="Z171" s="22">
        <f t="shared" si="59"/>
        <v>0</v>
      </c>
      <c r="AA171" s="20">
        <f t="shared" si="57"/>
        <v>54</v>
      </c>
      <c r="AB171" s="23"/>
      <c r="AC171" s="2"/>
    </row>
    <row r="172">
      <c r="A172" s="17" t="s">
        <v>38</v>
      </c>
      <c r="B172" s="24">
        <f t="shared" ref="B172:Z172" si="60">B171/(COUNT(B167:B170)*1)</f>
        <v>1</v>
      </c>
      <c r="C172" s="24">
        <f t="shared" si="60"/>
        <v>1</v>
      </c>
      <c r="D172" s="24">
        <f t="shared" si="60"/>
        <v>0.75</v>
      </c>
      <c r="E172" s="24">
        <f t="shared" si="60"/>
        <v>0.75</v>
      </c>
      <c r="F172" s="24">
        <f t="shared" si="60"/>
        <v>0.5</v>
      </c>
      <c r="G172" s="24">
        <f t="shared" si="60"/>
        <v>0</v>
      </c>
      <c r="H172" s="24">
        <f t="shared" si="60"/>
        <v>0</v>
      </c>
      <c r="I172" s="24">
        <f t="shared" si="60"/>
        <v>0.25</v>
      </c>
      <c r="J172" s="24">
        <f t="shared" si="60"/>
        <v>0.25</v>
      </c>
      <c r="K172" s="24">
        <f t="shared" si="60"/>
        <v>0.75</v>
      </c>
      <c r="L172" s="24">
        <f t="shared" si="60"/>
        <v>0.5</v>
      </c>
      <c r="M172" s="24">
        <f t="shared" si="60"/>
        <v>0.5</v>
      </c>
      <c r="N172" s="24">
        <f t="shared" si="60"/>
        <v>0.5</v>
      </c>
      <c r="O172" s="24">
        <f t="shared" si="60"/>
        <v>1</v>
      </c>
      <c r="P172" s="24">
        <f t="shared" si="60"/>
        <v>1</v>
      </c>
      <c r="Q172" s="24">
        <f t="shared" si="60"/>
        <v>1</v>
      </c>
      <c r="R172" s="24">
        <f t="shared" si="60"/>
        <v>1</v>
      </c>
      <c r="S172" s="24">
        <f t="shared" si="60"/>
        <v>0</v>
      </c>
      <c r="T172" s="24">
        <f t="shared" si="60"/>
        <v>0.5</v>
      </c>
      <c r="U172" s="24">
        <f t="shared" si="60"/>
        <v>0.75</v>
      </c>
      <c r="V172" s="24">
        <f t="shared" si="60"/>
        <v>0.75</v>
      </c>
      <c r="W172" s="24">
        <f t="shared" si="60"/>
        <v>0.75</v>
      </c>
      <c r="X172" s="24" t="str">
        <f t="shared" si="60"/>
        <v>#DIV/0!</v>
      </c>
      <c r="Y172" s="24" t="str">
        <f t="shared" si="60"/>
        <v>#DIV/0!</v>
      </c>
      <c r="Z172" s="24" t="str">
        <f t="shared" si="60"/>
        <v>#DIV/0!</v>
      </c>
      <c r="AA172" s="25"/>
      <c r="AB172" s="26">
        <f>SUM(AB167:AB170)/4</f>
        <v>0.6136363636</v>
      </c>
      <c r="AC172" s="2"/>
    </row>
    <row r="173">
      <c r="A173" s="27" t="s">
        <v>44</v>
      </c>
      <c r="B173" s="28"/>
      <c r="C173" s="29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30">
        <f t="shared" ref="AA173:AA175" si="61">SUM(B173:Z173)</f>
        <v>0</v>
      </c>
      <c r="AB173" s="31"/>
      <c r="AC173" s="2"/>
    </row>
    <row r="174">
      <c r="A174" s="32" t="s">
        <v>45</v>
      </c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28"/>
      <c r="W174" s="28"/>
      <c r="X174" s="28"/>
      <c r="Y174" s="28"/>
      <c r="Z174" s="28"/>
      <c r="AA174" s="30">
        <f t="shared" si="61"/>
        <v>0</v>
      </c>
      <c r="AB174" s="31"/>
      <c r="AC174" s="9"/>
    </row>
    <row r="175">
      <c r="A175" s="34" t="s">
        <v>46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28"/>
      <c r="W175" s="28"/>
      <c r="X175" s="28"/>
      <c r="Y175" s="28"/>
      <c r="Z175" s="28"/>
      <c r="AA175" s="30">
        <f t="shared" si="61"/>
        <v>0</v>
      </c>
      <c r="AB175" s="31"/>
      <c r="AC175" s="9"/>
    </row>
    <row r="176">
      <c r="A176" s="35" t="s">
        <v>47</v>
      </c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7"/>
      <c r="AA176" s="38"/>
      <c r="AB176" s="39"/>
      <c r="AC176" s="2"/>
    </row>
    <row r="177">
      <c r="A177" s="40" t="s">
        <v>48</v>
      </c>
      <c r="B177" s="63"/>
      <c r="C177" s="64"/>
      <c r="D177" s="63"/>
      <c r="E177" s="63"/>
      <c r="F177" s="65">
        <v>1.0</v>
      </c>
      <c r="G177" s="65">
        <v>1.0</v>
      </c>
      <c r="H177" s="65">
        <v>1.0</v>
      </c>
      <c r="I177" s="65">
        <v>1.0</v>
      </c>
      <c r="J177" s="65">
        <v>1.0</v>
      </c>
      <c r="K177" s="65">
        <v>1.0</v>
      </c>
      <c r="L177" s="65">
        <v>1.0</v>
      </c>
      <c r="M177" s="65">
        <v>1.0</v>
      </c>
      <c r="N177" s="65">
        <v>1.0</v>
      </c>
      <c r="O177" s="63"/>
      <c r="P177" s="63"/>
      <c r="Q177" s="63"/>
      <c r="R177" s="65">
        <v>1.0</v>
      </c>
      <c r="S177" s="65">
        <v>1.0</v>
      </c>
      <c r="T177" s="65">
        <v>1.0</v>
      </c>
      <c r="U177" s="65">
        <v>1.0</v>
      </c>
      <c r="V177" s="69">
        <v>1.0</v>
      </c>
      <c r="W177" s="69">
        <v>1.0</v>
      </c>
      <c r="X177" s="66"/>
      <c r="Y177" s="66"/>
      <c r="Z177" s="66"/>
      <c r="AA177" s="44">
        <f t="shared" ref="AA177:AA178" si="62">SUM(B177:Z177)</f>
        <v>15</v>
      </c>
      <c r="AB177" s="31"/>
      <c r="AC177" s="2"/>
    </row>
    <row r="178">
      <c r="A178" s="40" t="s">
        <v>49</v>
      </c>
      <c r="B178" s="63"/>
      <c r="C178" s="64"/>
      <c r="D178" s="63"/>
      <c r="E178" s="63"/>
      <c r="F178" s="65">
        <v>20.0</v>
      </c>
      <c r="G178" s="65">
        <v>20.0</v>
      </c>
      <c r="H178" s="65">
        <v>20.0</v>
      </c>
      <c r="I178" s="65">
        <v>20.0</v>
      </c>
      <c r="J178" s="65">
        <v>20.0</v>
      </c>
      <c r="K178" s="65">
        <v>2.0</v>
      </c>
      <c r="L178" s="65">
        <v>20.0</v>
      </c>
      <c r="M178" s="65">
        <v>15.0</v>
      </c>
      <c r="N178" s="65">
        <v>15.0</v>
      </c>
      <c r="O178" s="63"/>
      <c r="P178" s="63"/>
      <c r="Q178" s="63"/>
      <c r="R178" s="65">
        <v>20.0</v>
      </c>
      <c r="S178" s="65">
        <v>20.0</v>
      </c>
      <c r="T178" s="65">
        <v>20.0</v>
      </c>
      <c r="U178" s="65">
        <v>20.0</v>
      </c>
      <c r="V178" s="69">
        <v>10.0</v>
      </c>
      <c r="W178" s="69">
        <v>10.0</v>
      </c>
      <c r="X178" s="66"/>
      <c r="Y178" s="66"/>
      <c r="Z178" s="66"/>
      <c r="AA178" s="44">
        <f t="shared" si="62"/>
        <v>252</v>
      </c>
      <c r="AB178" s="31"/>
      <c r="AC178" s="2"/>
    </row>
    <row r="179">
      <c r="A179" s="40" t="s">
        <v>50</v>
      </c>
      <c r="B179" s="64"/>
      <c r="C179" s="64"/>
      <c r="D179" s="63"/>
      <c r="E179" s="63"/>
      <c r="F179" s="65">
        <v>1.0</v>
      </c>
      <c r="G179" s="65">
        <v>2.0</v>
      </c>
      <c r="H179" s="65">
        <v>2.0</v>
      </c>
      <c r="I179" s="65">
        <v>2.0</v>
      </c>
      <c r="J179" s="65">
        <v>2.0</v>
      </c>
      <c r="K179" s="65">
        <v>3.0</v>
      </c>
      <c r="L179" s="65">
        <v>1.0</v>
      </c>
      <c r="M179" s="65">
        <v>1.0</v>
      </c>
      <c r="N179" s="65">
        <v>1.0</v>
      </c>
      <c r="O179" s="63"/>
      <c r="P179" s="63"/>
      <c r="Q179" s="63"/>
      <c r="R179" s="65">
        <v>4.0</v>
      </c>
      <c r="S179" s="65">
        <v>2.0</v>
      </c>
      <c r="T179" s="65">
        <v>3.0</v>
      </c>
      <c r="U179" s="65">
        <v>2.0</v>
      </c>
      <c r="V179" s="69">
        <v>1.0</v>
      </c>
      <c r="W179" s="69">
        <v>1.0</v>
      </c>
      <c r="X179" s="66"/>
      <c r="Y179" s="66"/>
      <c r="Z179" s="66"/>
      <c r="AA179" s="44">
        <f>AVERAGE(B179:Z179)</f>
        <v>1.866666667</v>
      </c>
      <c r="AB179" s="31"/>
      <c r="AC179" s="2"/>
    </row>
    <row r="180">
      <c r="A180" s="45" t="s">
        <v>51</v>
      </c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7"/>
      <c r="AA180" s="46"/>
      <c r="AB180" s="39"/>
      <c r="AC180" s="2"/>
    </row>
    <row r="181">
      <c r="A181" s="47" t="s">
        <v>48</v>
      </c>
      <c r="B181" s="48"/>
      <c r="C181" s="49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50"/>
      <c r="W181" s="50"/>
      <c r="X181" s="50"/>
      <c r="Y181" s="50"/>
      <c r="Z181" s="50"/>
      <c r="AA181" s="51">
        <f t="shared" ref="AA181:AA182" si="63">SUM(B181:Z181)</f>
        <v>0</v>
      </c>
      <c r="AB181" s="31"/>
      <c r="AC181" s="2"/>
    </row>
    <row r="182">
      <c r="A182" s="47" t="s">
        <v>49</v>
      </c>
      <c r="B182" s="48"/>
      <c r="C182" s="49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50"/>
      <c r="W182" s="50"/>
      <c r="X182" s="50"/>
      <c r="Y182" s="50"/>
      <c r="Z182" s="50"/>
      <c r="AA182" s="51">
        <f t="shared" si="63"/>
        <v>0</v>
      </c>
      <c r="AB182" s="31"/>
      <c r="AC182" s="2"/>
    </row>
    <row r="183">
      <c r="A183" s="47" t="s">
        <v>50</v>
      </c>
      <c r="B183" s="49"/>
      <c r="C183" s="49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50"/>
      <c r="W183" s="50"/>
      <c r="X183" s="50"/>
      <c r="Y183" s="50"/>
      <c r="Z183" s="50"/>
      <c r="AA183" s="51" t="str">
        <f>AVERAGE(B183:Z183)</f>
        <v>#DIV/0!</v>
      </c>
      <c r="AB183" s="31"/>
      <c r="AC183" s="2"/>
    </row>
    <row r="184">
      <c r="A184" s="52" t="s">
        <v>53</v>
      </c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7"/>
      <c r="AA184" s="38"/>
      <c r="AB184" s="39"/>
      <c r="AC184" s="2"/>
    </row>
    <row r="185">
      <c r="A185" s="40" t="s">
        <v>48</v>
      </c>
      <c r="B185" s="41"/>
      <c r="C185" s="42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3"/>
      <c r="W185" s="43"/>
      <c r="X185" s="43"/>
      <c r="Y185" s="43"/>
      <c r="Z185" s="43"/>
      <c r="AA185" s="44">
        <f t="shared" ref="AA185:AA186" si="64">SUM(B185:Z185)</f>
        <v>0</v>
      </c>
      <c r="AB185" s="31"/>
      <c r="AC185" s="2"/>
    </row>
    <row r="186">
      <c r="A186" s="40" t="s">
        <v>49</v>
      </c>
      <c r="B186" s="41"/>
      <c r="C186" s="42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3"/>
      <c r="W186" s="43"/>
      <c r="X186" s="43"/>
      <c r="Y186" s="43"/>
      <c r="Z186" s="43"/>
      <c r="AA186" s="44">
        <f t="shared" si="64"/>
        <v>0</v>
      </c>
      <c r="AB186" s="31"/>
      <c r="AC186" s="2"/>
    </row>
    <row r="187">
      <c r="A187" s="53" t="s">
        <v>50</v>
      </c>
      <c r="B187" s="54"/>
      <c r="C187" s="54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6"/>
      <c r="W187" s="56"/>
      <c r="X187" s="56"/>
      <c r="Y187" s="56"/>
      <c r="Z187" s="56"/>
      <c r="AA187" s="57" t="str">
        <f>AVERAGE(B187:Z187)</f>
        <v>#DIV/0!</v>
      </c>
      <c r="AB187" s="58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59"/>
      <c r="AB188" s="59"/>
      <c r="AC188" s="2"/>
    </row>
    <row r="189">
      <c r="A189" s="13">
        <v>46155.0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70"/>
      <c r="V189" s="14"/>
      <c r="W189" s="14"/>
      <c r="X189" s="14"/>
      <c r="Y189" s="14"/>
      <c r="Z189" s="14"/>
      <c r="AA189" s="15" t="s">
        <v>37</v>
      </c>
      <c r="AB189" s="16" t="s">
        <v>38</v>
      </c>
      <c r="AC189" s="2"/>
    </row>
    <row r="190">
      <c r="A190" s="17" t="s">
        <v>39</v>
      </c>
      <c r="B190" s="19">
        <v>1.0</v>
      </c>
      <c r="C190" s="19">
        <v>1.0</v>
      </c>
      <c r="D190" s="19">
        <v>1.0</v>
      </c>
      <c r="E190" s="19">
        <v>0.0</v>
      </c>
      <c r="F190" s="19">
        <v>1.0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1.0</v>
      </c>
      <c r="P190" s="19">
        <v>1.0</v>
      </c>
      <c r="Q190" s="19">
        <v>1.0</v>
      </c>
      <c r="R190" s="19">
        <v>1.0</v>
      </c>
      <c r="S190" s="19">
        <v>1.0</v>
      </c>
      <c r="T190" s="19">
        <v>1.0</v>
      </c>
      <c r="U190" s="19">
        <v>1.0</v>
      </c>
      <c r="V190" s="19">
        <v>1.0</v>
      </c>
      <c r="W190" s="19">
        <v>1.0</v>
      </c>
      <c r="X190" s="19">
        <v>1.0</v>
      </c>
      <c r="Y190" s="19">
        <v>1.0</v>
      </c>
      <c r="Z190" s="19">
        <v>1.0</v>
      </c>
      <c r="AA190" s="20">
        <f t="shared" ref="AA190:AA194" si="65">SUM(B190:Z190)</f>
        <v>16</v>
      </c>
      <c r="AB190" s="21">
        <f t="shared" ref="AB190:AB193" si="66">AA190/(COUNT(B190:Z190)*1)</f>
        <v>0.64</v>
      </c>
      <c r="AC190" s="2"/>
    </row>
    <row r="191">
      <c r="A191" s="17" t="s">
        <v>40</v>
      </c>
      <c r="B191" s="19">
        <v>1.0</v>
      </c>
      <c r="C191" s="19">
        <v>1.0</v>
      </c>
      <c r="D191" s="19">
        <v>1.0</v>
      </c>
      <c r="E191" s="19">
        <v>1.0</v>
      </c>
      <c r="F191" s="19">
        <v>1.0</v>
      </c>
      <c r="G191" s="19">
        <v>1.0</v>
      </c>
      <c r="H191" s="19">
        <v>1.0</v>
      </c>
      <c r="I191" s="19">
        <v>1.0</v>
      </c>
      <c r="J191" s="19">
        <v>1.0</v>
      </c>
      <c r="K191" s="19">
        <v>1.0</v>
      </c>
      <c r="L191" s="19">
        <v>1.0</v>
      </c>
      <c r="M191" s="19">
        <v>1.0</v>
      </c>
      <c r="N191" s="19">
        <v>1.0</v>
      </c>
      <c r="O191" s="19">
        <v>1.0</v>
      </c>
      <c r="P191" s="19">
        <v>1.0</v>
      </c>
      <c r="Q191" s="19">
        <v>1.0</v>
      </c>
      <c r="R191" s="19">
        <v>1.0</v>
      </c>
      <c r="S191" s="19">
        <v>1.0</v>
      </c>
      <c r="T191" s="19">
        <v>1.0</v>
      </c>
      <c r="U191" s="19">
        <v>1.0</v>
      </c>
      <c r="V191" s="19">
        <v>1.0</v>
      </c>
      <c r="W191" s="19">
        <v>1.0</v>
      </c>
      <c r="X191" s="19">
        <v>1.0</v>
      </c>
      <c r="Y191" s="19">
        <v>1.0</v>
      </c>
      <c r="Z191" s="19">
        <v>1.0</v>
      </c>
      <c r="AA191" s="20">
        <f t="shared" si="65"/>
        <v>25</v>
      </c>
      <c r="AB191" s="21">
        <f t="shared" si="66"/>
        <v>1</v>
      </c>
      <c r="AC191" s="2"/>
    </row>
    <row r="192">
      <c r="A192" s="17" t="s">
        <v>41</v>
      </c>
      <c r="B192" s="19">
        <v>0.0</v>
      </c>
      <c r="C192" s="19">
        <v>0.0</v>
      </c>
      <c r="D192" s="19">
        <v>1.0</v>
      </c>
      <c r="E192" s="19">
        <v>1.0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1.0</v>
      </c>
      <c r="P192" s="19">
        <v>1.0</v>
      </c>
      <c r="Q192" s="19">
        <v>1.0</v>
      </c>
      <c r="R192" s="19">
        <v>1.0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1.0</v>
      </c>
      <c r="Y192" s="19">
        <v>1.0</v>
      </c>
      <c r="Z192" s="19">
        <v>1.0</v>
      </c>
      <c r="AA192" s="20">
        <f t="shared" si="65"/>
        <v>9</v>
      </c>
      <c r="AB192" s="21">
        <f t="shared" si="66"/>
        <v>0.36</v>
      </c>
      <c r="AC192" s="2"/>
    </row>
    <row r="193">
      <c r="A193" s="17" t="s">
        <v>42</v>
      </c>
      <c r="B193" s="19">
        <v>1.0</v>
      </c>
      <c r="C193" s="19">
        <v>1.0</v>
      </c>
      <c r="D193" s="19">
        <v>1.0</v>
      </c>
      <c r="E193" s="19">
        <v>0.0</v>
      </c>
      <c r="F193" s="19">
        <v>1.0</v>
      </c>
      <c r="G193" s="19">
        <v>1.0</v>
      </c>
      <c r="H193" s="19">
        <v>1.0</v>
      </c>
      <c r="I193" s="19">
        <v>1.0</v>
      </c>
      <c r="J193" s="19">
        <v>1.0</v>
      </c>
      <c r="K193" s="19">
        <v>1.0</v>
      </c>
      <c r="L193" s="19">
        <v>0.0</v>
      </c>
      <c r="M193" s="19">
        <v>0.0</v>
      </c>
      <c r="N193" s="19">
        <v>0.0</v>
      </c>
      <c r="O193" s="19">
        <v>1.0</v>
      </c>
      <c r="P193" s="19">
        <v>1.0</v>
      </c>
      <c r="Q193" s="19">
        <v>1.0</v>
      </c>
      <c r="R193" s="19">
        <v>1.0</v>
      </c>
      <c r="S193" s="19">
        <v>0.0</v>
      </c>
      <c r="T193" s="19">
        <v>0.0</v>
      </c>
      <c r="U193" s="19">
        <v>0.0</v>
      </c>
      <c r="V193" s="19">
        <v>0.0</v>
      </c>
      <c r="W193" s="19">
        <v>1.0</v>
      </c>
      <c r="X193" s="19">
        <v>1.0</v>
      </c>
      <c r="Y193" s="19">
        <v>1.0</v>
      </c>
      <c r="Z193" s="19">
        <v>1.0</v>
      </c>
      <c r="AA193" s="20">
        <f t="shared" si="65"/>
        <v>17</v>
      </c>
      <c r="AB193" s="21">
        <f t="shared" si="66"/>
        <v>0.68</v>
      </c>
      <c r="AC193" s="2"/>
    </row>
    <row r="194">
      <c r="A194" s="17" t="s">
        <v>43</v>
      </c>
      <c r="B194" s="22">
        <f t="shared" ref="B194:Z194" si="67">SUM(B190:B193)</f>
        <v>3</v>
      </c>
      <c r="C194" s="22">
        <f t="shared" si="67"/>
        <v>3</v>
      </c>
      <c r="D194" s="22">
        <f t="shared" si="67"/>
        <v>4</v>
      </c>
      <c r="E194" s="22">
        <f t="shared" si="67"/>
        <v>2</v>
      </c>
      <c r="F194" s="22">
        <f t="shared" si="67"/>
        <v>3</v>
      </c>
      <c r="G194" s="22">
        <f t="shared" si="67"/>
        <v>2</v>
      </c>
      <c r="H194" s="22">
        <f t="shared" si="67"/>
        <v>2</v>
      </c>
      <c r="I194" s="22">
        <f t="shared" si="67"/>
        <v>2</v>
      </c>
      <c r="J194" s="22">
        <f t="shared" si="67"/>
        <v>2</v>
      </c>
      <c r="K194" s="22">
        <f t="shared" si="67"/>
        <v>2</v>
      </c>
      <c r="L194" s="22">
        <f t="shared" si="67"/>
        <v>1</v>
      </c>
      <c r="M194" s="22">
        <f t="shared" si="67"/>
        <v>1</v>
      </c>
      <c r="N194" s="22">
        <f t="shared" si="67"/>
        <v>1</v>
      </c>
      <c r="O194" s="22">
        <f t="shared" si="67"/>
        <v>4</v>
      </c>
      <c r="P194" s="22">
        <f t="shared" si="67"/>
        <v>4</v>
      </c>
      <c r="Q194" s="22">
        <f t="shared" si="67"/>
        <v>4</v>
      </c>
      <c r="R194" s="22">
        <f t="shared" si="67"/>
        <v>4</v>
      </c>
      <c r="S194" s="22">
        <f t="shared" si="67"/>
        <v>2</v>
      </c>
      <c r="T194" s="22">
        <f t="shared" si="67"/>
        <v>2</v>
      </c>
      <c r="U194" s="22">
        <f t="shared" si="67"/>
        <v>2</v>
      </c>
      <c r="V194" s="22">
        <f t="shared" si="67"/>
        <v>2</v>
      </c>
      <c r="W194" s="22">
        <f t="shared" si="67"/>
        <v>3</v>
      </c>
      <c r="X194" s="22">
        <f t="shared" si="67"/>
        <v>4</v>
      </c>
      <c r="Y194" s="22">
        <f t="shared" si="67"/>
        <v>4</v>
      </c>
      <c r="Z194" s="22">
        <f t="shared" si="67"/>
        <v>4</v>
      </c>
      <c r="AA194" s="20">
        <f t="shared" si="65"/>
        <v>67</v>
      </c>
      <c r="AB194" s="23"/>
      <c r="AC194" s="2"/>
    </row>
    <row r="195">
      <c r="A195" s="17" t="s">
        <v>38</v>
      </c>
      <c r="B195" s="24">
        <f t="shared" ref="B195:Z195" si="68">B194/(COUNT(B190:B193)*1)</f>
        <v>0.75</v>
      </c>
      <c r="C195" s="24">
        <f t="shared" si="68"/>
        <v>0.75</v>
      </c>
      <c r="D195" s="24">
        <f t="shared" si="68"/>
        <v>1</v>
      </c>
      <c r="E195" s="24">
        <f t="shared" si="68"/>
        <v>0.5</v>
      </c>
      <c r="F195" s="24">
        <f t="shared" si="68"/>
        <v>0.75</v>
      </c>
      <c r="G195" s="24">
        <f t="shared" si="68"/>
        <v>0.5</v>
      </c>
      <c r="H195" s="24">
        <f t="shared" si="68"/>
        <v>0.5</v>
      </c>
      <c r="I195" s="24">
        <f t="shared" si="68"/>
        <v>0.5</v>
      </c>
      <c r="J195" s="24">
        <f t="shared" si="68"/>
        <v>0.5</v>
      </c>
      <c r="K195" s="24">
        <f t="shared" si="68"/>
        <v>0.5</v>
      </c>
      <c r="L195" s="24">
        <f t="shared" si="68"/>
        <v>0.25</v>
      </c>
      <c r="M195" s="24">
        <f t="shared" si="68"/>
        <v>0.25</v>
      </c>
      <c r="N195" s="24">
        <f t="shared" si="68"/>
        <v>0.25</v>
      </c>
      <c r="O195" s="24">
        <f t="shared" si="68"/>
        <v>1</v>
      </c>
      <c r="P195" s="24">
        <f t="shared" si="68"/>
        <v>1</v>
      </c>
      <c r="Q195" s="24">
        <f t="shared" si="68"/>
        <v>1</v>
      </c>
      <c r="R195" s="24">
        <f t="shared" si="68"/>
        <v>1</v>
      </c>
      <c r="S195" s="24">
        <f t="shared" si="68"/>
        <v>0.5</v>
      </c>
      <c r="T195" s="24">
        <f t="shared" si="68"/>
        <v>0.5</v>
      </c>
      <c r="U195" s="24">
        <f t="shared" si="68"/>
        <v>0.5</v>
      </c>
      <c r="V195" s="24">
        <f t="shared" si="68"/>
        <v>0.5</v>
      </c>
      <c r="W195" s="24">
        <f t="shared" si="68"/>
        <v>0.75</v>
      </c>
      <c r="X195" s="24">
        <f t="shared" si="68"/>
        <v>1</v>
      </c>
      <c r="Y195" s="24">
        <f t="shared" si="68"/>
        <v>1</v>
      </c>
      <c r="Z195" s="24">
        <f t="shared" si="68"/>
        <v>1</v>
      </c>
      <c r="AA195" s="25"/>
      <c r="AB195" s="26">
        <f>SUM(AB190:AB193)/4</f>
        <v>0.67</v>
      </c>
      <c r="AC195" s="2"/>
    </row>
    <row r="196">
      <c r="A196" s="27" t="s">
        <v>44</v>
      </c>
      <c r="B196" s="28"/>
      <c r="C196" s="29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30">
        <f t="shared" ref="AA196:AA198" si="69">SUM(B196:Z196)</f>
        <v>0</v>
      </c>
      <c r="AB196" s="31"/>
      <c r="AC196" s="2"/>
    </row>
    <row r="197">
      <c r="A197" s="32" t="s">
        <v>45</v>
      </c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28"/>
      <c r="W197" s="28"/>
      <c r="X197" s="28"/>
      <c r="Y197" s="28"/>
      <c r="Z197" s="28"/>
      <c r="AA197" s="30">
        <f t="shared" si="69"/>
        <v>0</v>
      </c>
      <c r="AB197" s="31"/>
      <c r="AC197" s="9"/>
    </row>
    <row r="198">
      <c r="A198" s="34" t="s">
        <v>46</v>
      </c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28"/>
      <c r="W198" s="28"/>
      <c r="X198" s="28"/>
      <c r="Y198" s="28"/>
      <c r="Z198" s="28"/>
      <c r="AA198" s="30">
        <f t="shared" si="69"/>
        <v>0</v>
      </c>
      <c r="AB198" s="31"/>
      <c r="AC198" s="9"/>
    </row>
    <row r="199">
      <c r="A199" s="35" t="s">
        <v>47</v>
      </c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7"/>
      <c r="AA199" s="38"/>
      <c r="AB199" s="39"/>
      <c r="AC199" s="2"/>
    </row>
    <row r="200">
      <c r="A200" s="40" t="s">
        <v>48</v>
      </c>
      <c r="B200" s="63"/>
      <c r="C200" s="64"/>
      <c r="D200" s="63"/>
      <c r="E200" s="65">
        <v>1.0</v>
      </c>
      <c r="F200" s="63"/>
      <c r="G200" s="65">
        <v>1.0</v>
      </c>
      <c r="H200" s="65">
        <v>1.0</v>
      </c>
      <c r="I200" s="65">
        <v>1.0</v>
      </c>
      <c r="J200" s="65">
        <v>1.0</v>
      </c>
      <c r="K200" s="65">
        <v>1.0</v>
      </c>
      <c r="L200" s="65">
        <v>1.0</v>
      </c>
      <c r="M200" s="65">
        <v>1.0</v>
      </c>
      <c r="N200" s="65">
        <v>1.0</v>
      </c>
      <c r="O200" s="63"/>
      <c r="P200" s="63"/>
      <c r="Q200" s="63"/>
      <c r="R200" s="63"/>
      <c r="S200" s="63"/>
      <c r="T200" s="65">
        <v>1.0</v>
      </c>
      <c r="U200" s="63"/>
      <c r="V200" s="66"/>
      <c r="W200" s="66"/>
      <c r="X200" s="66"/>
      <c r="Y200" s="66"/>
      <c r="Z200" s="66"/>
      <c r="AA200" s="44">
        <f t="shared" ref="AA200:AA201" si="70">SUM(B200:Z200)</f>
        <v>10</v>
      </c>
      <c r="AB200" s="31"/>
      <c r="AC200" s="2"/>
    </row>
    <row r="201">
      <c r="A201" s="40" t="s">
        <v>49</v>
      </c>
      <c r="B201" s="63"/>
      <c r="C201" s="64"/>
      <c r="D201" s="63"/>
      <c r="E201" s="65">
        <v>10.0</v>
      </c>
      <c r="F201" s="63"/>
      <c r="G201" s="65">
        <v>20.0</v>
      </c>
      <c r="H201" s="65">
        <v>20.0</v>
      </c>
      <c r="I201" s="65">
        <v>20.0</v>
      </c>
      <c r="J201" s="65">
        <v>20.0</v>
      </c>
      <c r="K201" s="65">
        <v>20.0</v>
      </c>
      <c r="L201" s="65">
        <v>20.0</v>
      </c>
      <c r="M201" s="65">
        <v>15.0</v>
      </c>
      <c r="N201" s="65">
        <v>15.0</v>
      </c>
      <c r="O201" s="63"/>
      <c r="P201" s="63"/>
      <c r="Q201" s="63"/>
      <c r="R201" s="63"/>
      <c r="S201" s="63"/>
      <c r="T201" s="65">
        <v>20.0</v>
      </c>
      <c r="U201" s="63"/>
      <c r="V201" s="66"/>
      <c r="W201" s="66"/>
      <c r="X201" s="66"/>
      <c r="Y201" s="66"/>
      <c r="Z201" s="66"/>
      <c r="AA201" s="44">
        <f t="shared" si="70"/>
        <v>180</v>
      </c>
      <c r="AB201" s="31"/>
      <c r="AC201" s="2"/>
    </row>
    <row r="202">
      <c r="A202" s="40" t="s">
        <v>50</v>
      </c>
      <c r="B202" s="64"/>
      <c r="C202" s="64"/>
      <c r="D202" s="63"/>
      <c r="E202" s="65">
        <v>2.0</v>
      </c>
      <c r="F202" s="63"/>
      <c r="G202" s="65">
        <v>1.0</v>
      </c>
      <c r="H202" s="65">
        <v>1.0</v>
      </c>
      <c r="I202" s="65">
        <v>1.0</v>
      </c>
      <c r="J202" s="65">
        <v>1.0</v>
      </c>
      <c r="K202" s="65">
        <v>1.0</v>
      </c>
      <c r="L202" s="65">
        <v>2.0</v>
      </c>
      <c r="M202" s="65">
        <v>2.0</v>
      </c>
      <c r="N202" s="65">
        <v>2.0</v>
      </c>
      <c r="O202" s="63"/>
      <c r="P202" s="63"/>
      <c r="Q202" s="63"/>
      <c r="R202" s="63"/>
      <c r="S202" s="63"/>
      <c r="T202" s="65">
        <v>20.0</v>
      </c>
      <c r="U202" s="63"/>
      <c r="V202" s="66"/>
      <c r="W202" s="66"/>
      <c r="X202" s="66"/>
      <c r="Y202" s="66"/>
      <c r="Z202" s="66"/>
      <c r="AA202" s="44">
        <f>AVERAGE(B202:Z202)</f>
        <v>3.3</v>
      </c>
      <c r="AB202" s="31"/>
      <c r="AC202" s="2"/>
    </row>
    <row r="203">
      <c r="A203" s="45" t="s">
        <v>51</v>
      </c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7"/>
      <c r="AA203" s="46"/>
      <c r="AB203" s="39"/>
      <c r="AC203" s="2"/>
    </row>
    <row r="204">
      <c r="A204" s="47" t="s">
        <v>48</v>
      </c>
      <c r="B204" s="48"/>
      <c r="C204" s="49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50"/>
      <c r="W204" s="50"/>
      <c r="X204" s="50"/>
      <c r="Y204" s="50"/>
      <c r="Z204" s="50"/>
      <c r="AA204" s="51">
        <f t="shared" ref="AA204:AA205" si="71">SUM(B204:Z204)</f>
        <v>0</v>
      </c>
      <c r="AB204" s="31"/>
      <c r="AC204" s="2"/>
    </row>
    <row r="205">
      <c r="A205" s="47" t="s">
        <v>49</v>
      </c>
      <c r="B205" s="48"/>
      <c r="C205" s="49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50"/>
      <c r="W205" s="50"/>
      <c r="X205" s="50"/>
      <c r="Y205" s="50"/>
      <c r="Z205" s="50"/>
      <c r="AA205" s="51">
        <f t="shared" si="71"/>
        <v>0</v>
      </c>
      <c r="AB205" s="31"/>
      <c r="AC205" s="2"/>
    </row>
    <row r="206">
      <c r="A206" s="47" t="s">
        <v>50</v>
      </c>
      <c r="B206" s="49"/>
      <c r="C206" s="49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50"/>
      <c r="W206" s="50"/>
      <c r="X206" s="50"/>
      <c r="Y206" s="50"/>
      <c r="Z206" s="50"/>
      <c r="AA206" s="51" t="str">
        <f>AVERAGE(B206:Z206)</f>
        <v>#DIV/0!</v>
      </c>
      <c r="AB206" s="31"/>
      <c r="AC206" s="2"/>
    </row>
    <row r="207">
      <c r="A207" s="52" t="s">
        <v>53</v>
      </c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7"/>
      <c r="AA207" s="38"/>
      <c r="AB207" s="39"/>
      <c r="AC207" s="2"/>
    </row>
    <row r="208">
      <c r="A208" s="40" t="s">
        <v>48</v>
      </c>
      <c r="B208" s="41"/>
      <c r="C208" s="42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3"/>
      <c r="W208" s="43"/>
      <c r="X208" s="43"/>
      <c r="Y208" s="43"/>
      <c r="Z208" s="43"/>
      <c r="AA208" s="44">
        <f t="shared" ref="AA208:AA209" si="72">SUM(B208:Z208)</f>
        <v>0</v>
      </c>
      <c r="AB208" s="31"/>
      <c r="AC208" s="2"/>
    </row>
    <row r="209">
      <c r="A209" s="40" t="s">
        <v>49</v>
      </c>
      <c r="B209" s="41"/>
      <c r="C209" s="42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3"/>
      <c r="W209" s="43"/>
      <c r="X209" s="43"/>
      <c r="Y209" s="43"/>
      <c r="Z209" s="43"/>
      <c r="AA209" s="44">
        <f t="shared" si="72"/>
        <v>0</v>
      </c>
      <c r="AB209" s="31"/>
      <c r="AC209" s="2"/>
    </row>
    <row r="210">
      <c r="A210" s="53" t="s">
        <v>50</v>
      </c>
      <c r="B210" s="54"/>
      <c r="C210" s="54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6"/>
      <c r="W210" s="56"/>
      <c r="X210" s="56"/>
      <c r="Y210" s="56"/>
      <c r="Z210" s="56"/>
      <c r="AA210" s="57" t="str">
        <f>AVERAGE(B210:Z210)</f>
        <v>#DIV/0!</v>
      </c>
      <c r="AB210" s="58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59"/>
      <c r="AB211" s="59"/>
      <c r="AC211" s="2"/>
    </row>
    <row r="212">
      <c r="A212" s="71" t="s">
        <v>54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5" t="s">
        <v>37</v>
      </c>
      <c r="AB212" s="16" t="s">
        <v>38</v>
      </c>
      <c r="AC212" s="2"/>
    </row>
    <row r="213">
      <c r="A213" s="17" t="s">
        <v>39</v>
      </c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20">
        <f t="shared" ref="AA213:AA217" si="73">SUM(B213:Z213)</f>
        <v>0</v>
      </c>
      <c r="AB213" s="21" t="str">
        <f t="shared" ref="AB213:AB216" si="74">AA213/(COUNT(B213:Z213)*1)</f>
        <v>#DIV/0!</v>
      </c>
      <c r="AC213" s="2"/>
    </row>
    <row r="214">
      <c r="A214" s="17" t="s">
        <v>40</v>
      </c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20">
        <f t="shared" si="73"/>
        <v>0</v>
      </c>
      <c r="AB214" s="21" t="str">
        <f t="shared" si="74"/>
        <v>#DIV/0!</v>
      </c>
      <c r="AC214" s="2"/>
    </row>
    <row r="215">
      <c r="A215" s="17" t="s">
        <v>41</v>
      </c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20">
        <f t="shared" si="73"/>
        <v>0</v>
      </c>
      <c r="AB215" s="21" t="str">
        <f t="shared" si="74"/>
        <v>#DIV/0!</v>
      </c>
      <c r="AC215" s="2"/>
    </row>
    <row r="216">
      <c r="A216" s="17" t="s">
        <v>42</v>
      </c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20">
        <f t="shared" si="73"/>
        <v>0</v>
      </c>
      <c r="AB216" s="21" t="str">
        <f t="shared" si="74"/>
        <v>#DIV/0!</v>
      </c>
      <c r="AC216" s="2"/>
    </row>
    <row r="217">
      <c r="A217" s="17" t="s">
        <v>43</v>
      </c>
      <c r="B217" s="22">
        <f t="shared" ref="B217:Z217" si="75">SUM(B213:B216)</f>
        <v>0</v>
      </c>
      <c r="C217" s="22">
        <f t="shared" si="75"/>
        <v>0</v>
      </c>
      <c r="D217" s="22">
        <f t="shared" si="75"/>
        <v>0</v>
      </c>
      <c r="E217" s="22">
        <f t="shared" si="75"/>
        <v>0</v>
      </c>
      <c r="F217" s="22">
        <f t="shared" si="75"/>
        <v>0</v>
      </c>
      <c r="G217" s="22">
        <f t="shared" si="75"/>
        <v>0</v>
      </c>
      <c r="H217" s="22">
        <f t="shared" si="75"/>
        <v>0</v>
      </c>
      <c r="I217" s="22">
        <f t="shared" si="75"/>
        <v>0</v>
      </c>
      <c r="J217" s="22">
        <f t="shared" si="75"/>
        <v>0</v>
      </c>
      <c r="K217" s="22">
        <f t="shared" si="75"/>
        <v>0</v>
      </c>
      <c r="L217" s="22">
        <f t="shared" si="75"/>
        <v>0</v>
      </c>
      <c r="M217" s="22">
        <f t="shared" si="75"/>
        <v>0</v>
      </c>
      <c r="N217" s="22">
        <f t="shared" si="75"/>
        <v>0</v>
      </c>
      <c r="O217" s="22">
        <f t="shared" si="75"/>
        <v>0</v>
      </c>
      <c r="P217" s="22">
        <f t="shared" si="75"/>
        <v>0</v>
      </c>
      <c r="Q217" s="22">
        <f t="shared" si="75"/>
        <v>0</v>
      </c>
      <c r="R217" s="22">
        <f t="shared" si="75"/>
        <v>0</v>
      </c>
      <c r="S217" s="22">
        <f t="shared" si="75"/>
        <v>0</v>
      </c>
      <c r="T217" s="22">
        <f t="shared" si="75"/>
        <v>0</v>
      </c>
      <c r="U217" s="22">
        <f t="shared" si="75"/>
        <v>0</v>
      </c>
      <c r="V217" s="22">
        <f t="shared" si="75"/>
        <v>0</v>
      </c>
      <c r="W217" s="22">
        <f t="shared" si="75"/>
        <v>0</v>
      </c>
      <c r="X217" s="22">
        <f t="shared" si="75"/>
        <v>0</v>
      </c>
      <c r="Y217" s="22">
        <f t="shared" si="75"/>
        <v>0</v>
      </c>
      <c r="Z217" s="22">
        <f t="shared" si="75"/>
        <v>0</v>
      </c>
      <c r="AA217" s="20">
        <f t="shared" si="73"/>
        <v>0</v>
      </c>
      <c r="AB217" s="23"/>
      <c r="AC217" s="2"/>
    </row>
    <row r="218">
      <c r="A218" s="17" t="s">
        <v>38</v>
      </c>
      <c r="B218" s="24" t="str">
        <f t="shared" ref="B218:Z218" si="76">B217/(COUNT(B213:B216)*1)</f>
        <v>#DIV/0!</v>
      </c>
      <c r="C218" s="24" t="str">
        <f t="shared" si="76"/>
        <v>#DIV/0!</v>
      </c>
      <c r="D218" s="24" t="str">
        <f t="shared" si="76"/>
        <v>#DIV/0!</v>
      </c>
      <c r="E218" s="24" t="str">
        <f t="shared" si="76"/>
        <v>#DIV/0!</v>
      </c>
      <c r="F218" s="24" t="str">
        <f t="shared" si="76"/>
        <v>#DIV/0!</v>
      </c>
      <c r="G218" s="24" t="str">
        <f t="shared" si="76"/>
        <v>#DIV/0!</v>
      </c>
      <c r="H218" s="24" t="str">
        <f t="shared" si="76"/>
        <v>#DIV/0!</v>
      </c>
      <c r="I218" s="24" t="str">
        <f t="shared" si="76"/>
        <v>#DIV/0!</v>
      </c>
      <c r="J218" s="24" t="str">
        <f t="shared" si="76"/>
        <v>#DIV/0!</v>
      </c>
      <c r="K218" s="24" t="str">
        <f t="shared" si="76"/>
        <v>#DIV/0!</v>
      </c>
      <c r="L218" s="24" t="str">
        <f t="shared" si="76"/>
        <v>#DIV/0!</v>
      </c>
      <c r="M218" s="24" t="str">
        <f t="shared" si="76"/>
        <v>#DIV/0!</v>
      </c>
      <c r="N218" s="24" t="str">
        <f t="shared" si="76"/>
        <v>#DIV/0!</v>
      </c>
      <c r="O218" s="24" t="str">
        <f t="shared" si="76"/>
        <v>#DIV/0!</v>
      </c>
      <c r="P218" s="24" t="str">
        <f t="shared" si="76"/>
        <v>#DIV/0!</v>
      </c>
      <c r="Q218" s="24" t="str">
        <f t="shared" si="76"/>
        <v>#DIV/0!</v>
      </c>
      <c r="R218" s="24" t="str">
        <f t="shared" si="76"/>
        <v>#DIV/0!</v>
      </c>
      <c r="S218" s="24" t="str">
        <f t="shared" si="76"/>
        <v>#DIV/0!</v>
      </c>
      <c r="T218" s="24" t="str">
        <f t="shared" si="76"/>
        <v>#DIV/0!</v>
      </c>
      <c r="U218" s="24" t="str">
        <f t="shared" si="76"/>
        <v>#DIV/0!</v>
      </c>
      <c r="V218" s="24" t="str">
        <f t="shared" si="76"/>
        <v>#DIV/0!</v>
      </c>
      <c r="W218" s="24" t="str">
        <f t="shared" si="76"/>
        <v>#DIV/0!</v>
      </c>
      <c r="X218" s="24" t="str">
        <f t="shared" si="76"/>
        <v>#DIV/0!</v>
      </c>
      <c r="Y218" s="24" t="str">
        <f t="shared" si="76"/>
        <v>#DIV/0!</v>
      </c>
      <c r="Z218" s="24" t="str">
        <f t="shared" si="76"/>
        <v>#DIV/0!</v>
      </c>
      <c r="AA218" s="25"/>
      <c r="AB218" s="26" t="str">
        <f>SUM(AB213:AB216)/4</f>
        <v>#DIV/0!</v>
      </c>
      <c r="AC218" s="2"/>
    </row>
    <row r="219">
      <c r="A219" s="27" t="s">
        <v>44</v>
      </c>
      <c r="B219" s="28"/>
      <c r="C219" s="29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30">
        <f t="shared" ref="AA219:AA221" si="77">SUM(B219:Z219)</f>
        <v>0</v>
      </c>
      <c r="AB219" s="31"/>
      <c r="AC219" s="2"/>
    </row>
    <row r="220">
      <c r="A220" s="32" t="s">
        <v>45</v>
      </c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28"/>
      <c r="W220" s="28"/>
      <c r="X220" s="28"/>
      <c r="Y220" s="28"/>
      <c r="Z220" s="28"/>
      <c r="AA220" s="30">
        <f t="shared" si="77"/>
        <v>0</v>
      </c>
      <c r="AB220" s="31"/>
      <c r="AC220" s="9"/>
    </row>
    <row r="221">
      <c r="A221" s="34" t="s">
        <v>46</v>
      </c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28"/>
      <c r="W221" s="28"/>
      <c r="X221" s="28"/>
      <c r="Y221" s="28"/>
      <c r="Z221" s="28"/>
      <c r="AA221" s="30">
        <f t="shared" si="77"/>
        <v>0</v>
      </c>
      <c r="AB221" s="31"/>
      <c r="AC221" s="9"/>
    </row>
    <row r="222">
      <c r="A222" s="35" t="s">
        <v>47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7"/>
      <c r="AA222" s="38"/>
      <c r="AB222" s="39"/>
      <c r="AC222" s="2"/>
    </row>
    <row r="223">
      <c r="A223" s="40" t="s">
        <v>48</v>
      </c>
      <c r="B223" s="41"/>
      <c r="C223" s="42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3"/>
      <c r="W223" s="43"/>
      <c r="X223" s="43"/>
      <c r="Y223" s="43"/>
      <c r="Z223" s="43"/>
      <c r="AA223" s="44">
        <f t="shared" ref="AA223:AA224" si="78">SUM(B223:Z223)</f>
        <v>0</v>
      </c>
      <c r="AB223" s="31"/>
      <c r="AC223" s="2"/>
    </row>
    <row r="224">
      <c r="A224" s="40" t="s">
        <v>49</v>
      </c>
      <c r="B224" s="41"/>
      <c r="C224" s="42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3"/>
      <c r="W224" s="43"/>
      <c r="X224" s="43"/>
      <c r="Y224" s="43"/>
      <c r="Z224" s="43"/>
      <c r="AA224" s="44">
        <f t="shared" si="78"/>
        <v>0</v>
      </c>
      <c r="AB224" s="31"/>
      <c r="AC224" s="2"/>
    </row>
    <row r="225">
      <c r="A225" s="40" t="s">
        <v>50</v>
      </c>
      <c r="B225" s="42"/>
      <c r="C225" s="42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3"/>
      <c r="W225" s="43"/>
      <c r="X225" s="43"/>
      <c r="Y225" s="43"/>
      <c r="Z225" s="43"/>
      <c r="AA225" s="44" t="str">
        <f>AVERAGE(B225:Z225)</f>
        <v>#DIV/0!</v>
      </c>
      <c r="AB225" s="31"/>
      <c r="AC225" s="2"/>
    </row>
    <row r="226">
      <c r="A226" s="45" t="s">
        <v>51</v>
      </c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7"/>
      <c r="AA226" s="46"/>
      <c r="AB226" s="39"/>
      <c r="AC226" s="2"/>
    </row>
    <row r="227">
      <c r="A227" s="47" t="s">
        <v>48</v>
      </c>
      <c r="B227" s="48"/>
      <c r="C227" s="49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50"/>
      <c r="W227" s="50"/>
      <c r="X227" s="50"/>
      <c r="Y227" s="50"/>
      <c r="Z227" s="50"/>
      <c r="AA227" s="51">
        <f t="shared" ref="AA227:AA228" si="79">SUM(B227:Z227)</f>
        <v>0</v>
      </c>
      <c r="AB227" s="31"/>
      <c r="AC227" s="2"/>
    </row>
    <row r="228">
      <c r="A228" s="47" t="s">
        <v>49</v>
      </c>
      <c r="B228" s="48"/>
      <c r="C228" s="49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50"/>
      <c r="W228" s="50"/>
      <c r="X228" s="50"/>
      <c r="Y228" s="50"/>
      <c r="Z228" s="50"/>
      <c r="AA228" s="51">
        <f t="shared" si="79"/>
        <v>0</v>
      </c>
      <c r="AB228" s="31"/>
      <c r="AC228" s="2"/>
    </row>
    <row r="229">
      <c r="A229" s="47" t="s">
        <v>50</v>
      </c>
      <c r="B229" s="49"/>
      <c r="C229" s="49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50"/>
      <c r="W229" s="50"/>
      <c r="X229" s="50"/>
      <c r="Y229" s="50"/>
      <c r="Z229" s="50"/>
      <c r="AA229" s="51" t="str">
        <f>AVERAGE(B29:Z229)</f>
        <v>#DIV/0!</v>
      </c>
      <c r="AB229" s="31"/>
      <c r="AC229" s="2"/>
    </row>
    <row r="230">
      <c r="A230" s="52" t="s">
        <v>53</v>
      </c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7"/>
      <c r="AA230" s="38"/>
      <c r="AB230" s="39"/>
      <c r="AC230" s="2"/>
    </row>
    <row r="231">
      <c r="A231" s="40" t="s">
        <v>48</v>
      </c>
      <c r="B231" s="41"/>
      <c r="C231" s="42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3"/>
      <c r="W231" s="43"/>
      <c r="X231" s="43"/>
      <c r="Y231" s="43"/>
      <c r="Z231" s="43"/>
      <c r="AA231" s="44">
        <f t="shared" ref="AA231:AA232" si="80">SUM(B231:Z231)</f>
        <v>0</v>
      </c>
      <c r="AB231" s="31"/>
      <c r="AC231" s="2"/>
    </row>
    <row r="232">
      <c r="A232" s="40" t="s">
        <v>49</v>
      </c>
      <c r="B232" s="41"/>
      <c r="C232" s="42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3"/>
      <c r="W232" s="43"/>
      <c r="X232" s="43"/>
      <c r="Y232" s="43"/>
      <c r="Z232" s="43"/>
      <c r="AA232" s="44">
        <f t="shared" si="80"/>
        <v>0</v>
      </c>
      <c r="AB232" s="31"/>
      <c r="AC232" s="2"/>
    </row>
    <row r="233">
      <c r="A233" s="53" t="s">
        <v>50</v>
      </c>
      <c r="B233" s="54"/>
      <c r="C233" s="54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6"/>
      <c r="W233" s="56"/>
      <c r="X233" s="56"/>
      <c r="Y233" s="56"/>
      <c r="Z233" s="56"/>
      <c r="AA233" s="57" t="str">
        <f>AVERAGE(B233:Z233)</f>
        <v>#DIV/0!</v>
      </c>
      <c r="AB233" s="58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59"/>
      <c r="AB234" s="59"/>
      <c r="AC234" s="2"/>
    </row>
    <row r="235">
      <c r="A235" s="71" t="s">
        <v>54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 t="s">
        <v>37</v>
      </c>
      <c r="AB235" s="16" t="s">
        <v>38</v>
      </c>
      <c r="AC235" s="2"/>
    </row>
    <row r="236">
      <c r="A236" s="17" t="s">
        <v>39</v>
      </c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20">
        <f t="shared" ref="AA236:AA240" si="81">SUM(B236:Z236)</f>
        <v>0</v>
      </c>
      <c r="AB236" s="21" t="str">
        <f t="shared" ref="AB236:AB239" si="82">AA236/(COUNT(B236:Z236)*1)</f>
        <v>#DIV/0!</v>
      </c>
      <c r="AC236" s="2"/>
    </row>
    <row r="237">
      <c r="A237" s="17" t="s">
        <v>40</v>
      </c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20">
        <f t="shared" si="81"/>
        <v>0</v>
      </c>
      <c r="AB237" s="21" t="str">
        <f t="shared" si="82"/>
        <v>#DIV/0!</v>
      </c>
      <c r="AC237" s="2"/>
    </row>
    <row r="238">
      <c r="A238" s="17" t="s">
        <v>41</v>
      </c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20">
        <f t="shared" si="81"/>
        <v>0</v>
      </c>
      <c r="AB238" s="21" t="str">
        <f t="shared" si="82"/>
        <v>#DIV/0!</v>
      </c>
      <c r="AC238" s="2"/>
    </row>
    <row r="239">
      <c r="A239" s="17" t="s">
        <v>42</v>
      </c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20">
        <f t="shared" si="81"/>
        <v>0</v>
      </c>
      <c r="AB239" s="21" t="str">
        <f t="shared" si="82"/>
        <v>#DIV/0!</v>
      </c>
      <c r="AC239" s="2"/>
    </row>
    <row r="240">
      <c r="A240" s="17" t="s">
        <v>43</v>
      </c>
      <c r="B240" s="22">
        <f t="shared" ref="B240:Z240" si="83">SUM(B236:B239)</f>
        <v>0</v>
      </c>
      <c r="C240" s="22">
        <f t="shared" si="83"/>
        <v>0</v>
      </c>
      <c r="D240" s="22">
        <f t="shared" si="83"/>
        <v>0</v>
      </c>
      <c r="E240" s="22">
        <f t="shared" si="83"/>
        <v>0</v>
      </c>
      <c r="F240" s="22">
        <f t="shared" si="83"/>
        <v>0</v>
      </c>
      <c r="G240" s="22">
        <f t="shared" si="83"/>
        <v>0</v>
      </c>
      <c r="H240" s="22">
        <f t="shared" si="83"/>
        <v>0</v>
      </c>
      <c r="I240" s="22">
        <f t="shared" si="83"/>
        <v>0</v>
      </c>
      <c r="J240" s="22">
        <f t="shared" si="83"/>
        <v>0</v>
      </c>
      <c r="K240" s="22">
        <f t="shared" si="83"/>
        <v>0</v>
      </c>
      <c r="L240" s="22">
        <f t="shared" si="83"/>
        <v>0</v>
      </c>
      <c r="M240" s="22">
        <f t="shared" si="83"/>
        <v>0</v>
      </c>
      <c r="N240" s="22">
        <f t="shared" si="83"/>
        <v>0</v>
      </c>
      <c r="O240" s="22">
        <f t="shared" si="83"/>
        <v>0</v>
      </c>
      <c r="P240" s="22">
        <f t="shared" si="83"/>
        <v>0</v>
      </c>
      <c r="Q240" s="22">
        <f t="shared" si="83"/>
        <v>0</v>
      </c>
      <c r="R240" s="22">
        <f t="shared" si="83"/>
        <v>0</v>
      </c>
      <c r="S240" s="22">
        <f t="shared" si="83"/>
        <v>0</v>
      </c>
      <c r="T240" s="22">
        <f t="shared" si="83"/>
        <v>0</v>
      </c>
      <c r="U240" s="22">
        <f t="shared" si="83"/>
        <v>0</v>
      </c>
      <c r="V240" s="22">
        <f t="shared" si="83"/>
        <v>0</v>
      </c>
      <c r="W240" s="22">
        <f t="shared" si="83"/>
        <v>0</v>
      </c>
      <c r="X240" s="22">
        <f t="shared" si="83"/>
        <v>0</v>
      </c>
      <c r="Y240" s="22">
        <f t="shared" si="83"/>
        <v>0</v>
      </c>
      <c r="Z240" s="22">
        <f t="shared" si="83"/>
        <v>0</v>
      </c>
      <c r="AA240" s="20">
        <f t="shared" si="81"/>
        <v>0</v>
      </c>
      <c r="AB240" s="23"/>
      <c r="AC240" s="2"/>
    </row>
    <row r="241">
      <c r="A241" s="17" t="s">
        <v>38</v>
      </c>
      <c r="B241" s="24" t="str">
        <f t="shared" ref="B241:Z241" si="84">B240/(COUNT(B236:B239)*1)</f>
        <v>#DIV/0!</v>
      </c>
      <c r="C241" s="24" t="str">
        <f t="shared" si="84"/>
        <v>#DIV/0!</v>
      </c>
      <c r="D241" s="24" t="str">
        <f t="shared" si="84"/>
        <v>#DIV/0!</v>
      </c>
      <c r="E241" s="24" t="str">
        <f t="shared" si="84"/>
        <v>#DIV/0!</v>
      </c>
      <c r="F241" s="24" t="str">
        <f t="shared" si="84"/>
        <v>#DIV/0!</v>
      </c>
      <c r="G241" s="24" t="str">
        <f t="shared" si="84"/>
        <v>#DIV/0!</v>
      </c>
      <c r="H241" s="24" t="str">
        <f t="shared" si="84"/>
        <v>#DIV/0!</v>
      </c>
      <c r="I241" s="24" t="str">
        <f t="shared" si="84"/>
        <v>#DIV/0!</v>
      </c>
      <c r="J241" s="24" t="str">
        <f t="shared" si="84"/>
        <v>#DIV/0!</v>
      </c>
      <c r="K241" s="24" t="str">
        <f t="shared" si="84"/>
        <v>#DIV/0!</v>
      </c>
      <c r="L241" s="24" t="str">
        <f t="shared" si="84"/>
        <v>#DIV/0!</v>
      </c>
      <c r="M241" s="24" t="str">
        <f t="shared" si="84"/>
        <v>#DIV/0!</v>
      </c>
      <c r="N241" s="24" t="str">
        <f t="shared" si="84"/>
        <v>#DIV/0!</v>
      </c>
      <c r="O241" s="24" t="str">
        <f t="shared" si="84"/>
        <v>#DIV/0!</v>
      </c>
      <c r="P241" s="24" t="str">
        <f t="shared" si="84"/>
        <v>#DIV/0!</v>
      </c>
      <c r="Q241" s="24" t="str">
        <f t="shared" si="84"/>
        <v>#DIV/0!</v>
      </c>
      <c r="R241" s="24" t="str">
        <f t="shared" si="84"/>
        <v>#DIV/0!</v>
      </c>
      <c r="S241" s="24" t="str">
        <f t="shared" si="84"/>
        <v>#DIV/0!</v>
      </c>
      <c r="T241" s="24" t="str">
        <f t="shared" si="84"/>
        <v>#DIV/0!</v>
      </c>
      <c r="U241" s="24" t="str">
        <f t="shared" si="84"/>
        <v>#DIV/0!</v>
      </c>
      <c r="V241" s="24" t="str">
        <f t="shared" si="84"/>
        <v>#DIV/0!</v>
      </c>
      <c r="W241" s="24" t="str">
        <f t="shared" si="84"/>
        <v>#DIV/0!</v>
      </c>
      <c r="X241" s="24" t="str">
        <f t="shared" si="84"/>
        <v>#DIV/0!</v>
      </c>
      <c r="Y241" s="24" t="str">
        <f t="shared" si="84"/>
        <v>#DIV/0!</v>
      </c>
      <c r="Z241" s="24" t="str">
        <f t="shared" si="84"/>
        <v>#DIV/0!</v>
      </c>
      <c r="AA241" s="25"/>
      <c r="AB241" s="26" t="str">
        <f>SUM(AB236:AB239)/4</f>
        <v>#DIV/0!</v>
      </c>
      <c r="AC241" s="2"/>
    </row>
    <row r="242">
      <c r="A242" s="27" t="s">
        <v>44</v>
      </c>
      <c r="B242" s="28"/>
      <c r="C242" s="29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30">
        <f t="shared" ref="AA242:AA244" si="85">SUM(B242:Z242)</f>
        <v>0</v>
      </c>
      <c r="AB242" s="31"/>
      <c r="AC242" s="2"/>
    </row>
    <row r="243">
      <c r="A243" s="32" t="s">
        <v>45</v>
      </c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28"/>
      <c r="W243" s="28"/>
      <c r="X243" s="28"/>
      <c r="Y243" s="28"/>
      <c r="Z243" s="28"/>
      <c r="AA243" s="30">
        <f t="shared" si="85"/>
        <v>0</v>
      </c>
      <c r="AB243" s="31"/>
      <c r="AC243" s="9"/>
    </row>
    <row r="244">
      <c r="A244" s="34" t="s">
        <v>46</v>
      </c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28"/>
      <c r="W244" s="28"/>
      <c r="X244" s="28"/>
      <c r="Y244" s="28"/>
      <c r="Z244" s="28"/>
      <c r="AA244" s="30">
        <f t="shared" si="85"/>
        <v>0</v>
      </c>
      <c r="AB244" s="31"/>
      <c r="AC244" s="9"/>
    </row>
    <row r="245">
      <c r="A245" s="35" t="s">
        <v>47</v>
      </c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7"/>
      <c r="AA245" s="38"/>
      <c r="AB245" s="39"/>
      <c r="AC245" s="2"/>
    </row>
    <row r="246">
      <c r="A246" s="40" t="s">
        <v>48</v>
      </c>
      <c r="B246" s="41"/>
      <c r="C246" s="42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3"/>
      <c r="W246" s="43"/>
      <c r="X246" s="43"/>
      <c r="Y246" s="43"/>
      <c r="Z246" s="43"/>
      <c r="AA246" s="44">
        <f t="shared" ref="AA246:AA247" si="86">SUM(B246:Z246)</f>
        <v>0</v>
      </c>
      <c r="AB246" s="31"/>
      <c r="AC246" s="2"/>
    </row>
    <row r="247">
      <c r="A247" s="40" t="s">
        <v>49</v>
      </c>
      <c r="B247" s="41"/>
      <c r="C247" s="42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3"/>
      <c r="W247" s="43"/>
      <c r="X247" s="43"/>
      <c r="Y247" s="43"/>
      <c r="Z247" s="43"/>
      <c r="AA247" s="44">
        <f t="shared" si="86"/>
        <v>0</v>
      </c>
      <c r="AB247" s="31"/>
      <c r="AC247" s="2"/>
    </row>
    <row r="248">
      <c r="A248" s="40" t="s">
        <v>50</v>
      </c>
      <c r="B248" s="42"/>
      <c r="C248" s="42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3"/>
      <c r="W248" s="43"/>
      <c r="X248" s="43"/>
      <c r="Y248" s="43"/>
      <c r="Z248" s="43"/>
      <c r="AA248" s="44" t="str">
        <f>AVERAGE(B248:Z248)</f>
        <v>#DIV/0!</v>
      </c>
      <c r="AB248" s="31"/>
      <c r="AC248" s="2"/>
    </row>
    <row r="249">
      <c r="A249" s="45" t="s">
        <v>51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7"/>
      <c r="AA249" s="46"/>
      <c r="AB249" s="39"/>
      <c r="AC249" s="2"/>
    </row>
    <row r="250">
      <c r="A250" s="47" t="s">
        <v>48</v>
      </c>
      <c r="B250" s="48"/>
      <c r="C250" s="49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50"/>
      <c r="W250" s="50"/>
      <c r="X250" s="50"/>
      <c r="Y250" s="50"/>
      <c r="Z250" s="50"/>
      <c r="AA250" s="51">
        <f t="shared" ref="AA250:AA251" si="87">SUM(B250:Z250)</f>
        <v>0</v>
      </c>
      <c r="AB250" s="31"/>
      <c r="AC250" s="2"/>
    </row>
    <row r="251">
      <c r="A251" s="47" t="s">
        <v>49</v>
      </c>
      <c r="B251" s="48"/>
      <c r="C251" s="49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50"/>
      <c r="W251" s="50"/>
      <c r="X251" s="50"/>
      <c r="Y251" s="50"/>
      <c r="Z251" s="50"/>
      <c r="AA251" s="51">
        <f t="shared" si="87"/>
        <v>0</v>
      </c>
      <c r="AB251" s="31"/>
      <c r="AC251" s="2"/>
    </row>
    <row r="252">
      <c r="A252" s="47" t="s">
        <v>50</v>
      </c>
      <c r="B252" s="49"/>
      <c r="C252" s="49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50"/>
      <c r="W252" s="50"/>
      <c r="X252" s="50"/>
      <c r="Y252" s="50"/>
      <c r="Z252" s="50"/>
      <c r="AA252" s="51" t="str">
        <f>AVERAGE(B252:Z252)</f>
        <v>#DIV/0!</v>
      </c>
      <c r="AB252" s="31"/>
      <c r="AC252" s="2"/>
    </row>
    <row r="253">
      <c r="A253" s="52" t="s">
        <v>53</v>
      </c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7"/>
      <c r="AA253" s="38"/>
      <c r="AB253" s="39"/>
      <c r="AC253" s="2"/>
    </row>
    <row r="254">
      <c r="A254" s="40" t="s">
        <v>48</v>
      </c>
      <c r="B254" s="41"/>
      <c r="C254" s="42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3"/>
      <c r="W254" s="43"/>
      <c r="X254" s="43"/>
      <c r="Y254" s="43"/>
      <c r="Z254" s="43"/>
      <c r="AA254" s="44">
        <f t="shared" ref="AA254:AA255" si="88">SUM(B254:Z254)</f>
        <v>0</v>
      </c>
      <c r="AB254" s="31"/>
      <c r="AC254" s="2"/>
    </row>
    <row r="255">
      <c r="A255" s="40" t="s">
        <v>49</v>
      </c>
      <c r="B255" s="41"/>
      <c r="C255" s="42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3"/>
      <c r="W255" s="43"/>
      <c r="X255" s="43"/>
      <c r="Y255" s="43"/>
      <c r="Z255" s="43"/>
      <c r="AA255" s="44">
        <f t="shared" si="88"/>
        <v>0</v>
      </c>
      <c r="AB255" s="31"/>
      <c r="AC255" s="2"/>
    </row>
    <row r="256">
      <c r="A256" s="53" t="s">
        <v>50</v>
      </c>
      <c r="B256" s="54"/>
      <c r="C256" s="54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6"/>
      <c r="W256" s="56"/>
      <c r="X256" s="56"/>
      <c r="Y256" s="56"/>
      <c r="Z256" s="56"/>
      <c r="AA256" s="57" t="str">
        <f>AVERAGE(B256:Z256)</f>
        <v>#DIV/0!</v>
      </c>
      <c r="AB256" s="58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59"/>
      <c r="AB257" s="59"/>
      <c r="AC257" s="2"/>
    </row>
    <row r="258">
      <c r="A258" s="71" t="s">
        <v>54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5" t="s">
        <v>37</v>
      </c>
      <c r="AB258" s="16" t="s">
        <v>38</v>
      </c>
      <c r="AC258" s="2"/>
    </row>
    <row r="259">
      <c r="A259" s="17" t="s">
        <v>39</v>
      </c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20">
        <f t="shared" ref="AA259:AA263" si="89">SUM(B259:Z259)</f>
        <v>0</v>
      </c>
      <c r="AB259" s="21" t="str">
        <f t="shared" ref="AB259:AB262" si="90">AA259/(COUNT(B259:Z259)*1)</f>
        <v>#DIV/0!</v>
      </c>
      <c r="AC259" s="2"/>
    </row>
    <row r="260">
      <c r="A260" s="17" t="s">
        <v>40</v>
      </c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20">
        <f t="shared" si="89"/>
        <v>0</v>
      </c>
      <c r="AB260" s="21" t="str">
        <f t="shared" si="90"/>
        <v>#DIV/0!</v>
      </c>
      <c r="AC260" s="2"/>
    </row>
    <row r="261">
      <c r="A261" s="17" t="s">
        <v>41</v>
      </c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20">
        <f t="shared" si="89"/>
        <v>0</v>
      </c>
      <c r="AB261" s="21" t="str">
        <f t="shared" si="90"/>
        <v>#DIV/0!</v>
      </c>
      <c r="AC261" s="2"/>
    </row>
    <row r="262">
      <c r="A262" s="17" t="s">
        <v>42</v>
      </c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20">
        <f t="shared" si="89"/>
        <v>0</v>
      </c>
      <c r="AB262" s="21" t="str">
        <f t="shared" si="90"/>
        <v>#DIV/0!</v>
      </c>
      <c r="AC262" s="2"/>
    </row>
    <row r="263">
      <c r="A263" s="17" t="s">
        <v>43</v>
      </c>
      <c r="B263" s="22">
        <f t="shared" ref="B263:Z263" si="91">SUM(B259:B262)</f>
        <v>0</v>
      </c>
      <c r="C263" s="22">
        <f t="shared" si="91"/>
        <v>0</v>
      </c>
      <c r="D263" s="22">
        <f t="shared" si="91"/>
        <v>0</v>
      </c>
      <c r="E263" s="22">
        <f t="shared" si="91"/>
        <v>0</v>
      </c>
      <c r="F263" s="22">
        <f t="shared" si="91"/>
        <v>0</v>
      </c>
      <c r="G263" s="22">
        <f t="shared" si="91"/>
        <v>0</v>
      </c>
      <c r="H263" s="22">
        <f t="shared" si="91"/>
        <v>0</v>
      </c>
      <c r="I263" s="22">
        <f t="shared" si="91"/>
        <v>0</v>
      </c>
      <c r="J263" s="22">
        <f t="shared" si="91"/>
        <v>0</v>
      </c>
      <c r="K263" s="22">
        <f t="shared" si="91"/>
        <v>0</v>
      </c>
      <c r="L263" s="22">
        <f t="shared" si="91"/>
        <v>0</v>
      </c>
      <c r="M263" s="22">
        <f t="shared" si="91"/>
        <v>0</v>
      </c>
      <c r="N263" s="22">
        <f t="shared" si="91"/>
        <v>0</v>
      </c>
      <c r="O263" s="22">
        <f t="shared" si="91"/>
        <v>0</v>
      </c>
      <c r="P263" s="22">
        <f t="shared" si="91"/>
        <v>0</v>
      </c>
      <c r="Q263" s="22">
        <f t="shared" si="91"/>
        <v>0</v>
      </c>
      <c r="R263" s="22">
        <f t="shared" si="91"/>
        <v>0</v>
      </c>
      <c r="S263" s="22">
        <f t="shared" si="91"/>
        <v>0</v>
      </c>
      <c r="T263" s="22">
        <f t="shared" si="91"/>
        <v>0</v>
      </c>
      <c r="U263" s="22">
        <f t="shared" si="91"/>
        <v>0</v>
      </c>
      <c r="V263" s="22">
        <f t="shared" si="91"/>
        <v>0</v>
      </c>
      <c r="W263" s="22">
        <f t="shared" si="91"/>
        <v>0</v>
      </c>
      <c r="X263" s="22">
        <f t="shared" si="91"/>
        <v>0</v>
      </c>
      <c r="Y263" s="22">
        <f t="shared" si="91"/>
        <v>0</v>
      </c>
      <c r="Z263" s="22">
        <f t="shared" si="91"/>
        <v>0</v>
      </c>
      <c r="AA263" s="20">
        <f t="shared" si="89"/>
        <v>0</v>
      </c>
      <c r="AB263" s="23"/>
      <c r="AC263" s="2"/>
    </row>
    <row r="264">
      <c r="A264" s="17" t="s">
        <v>38</v>
      </c>
      <c r="B264" s="24" t="str">
        <f t="shared" ref="B264:Z264" si="92">B263/(COUNT(B259:B262)*1)</f>
        <v>#DIV/0!</v>
      </c>
      <c r="C264" s="24" t="str">
        <f t="shared" si="92"/>
        <v>#DIV/0!</v>
      </c>
      <c r="D264" s="24" t="str">
        <f t="shared" si="92"/>
        <v>#DIV/0!</v>
      </c>
      <c r="E264" s="24" t="str">
        <f t="shared" si="92"/>
        <v>#DIV/0!</v>
      </c>
      <c r="F264" s="24" t="str">
        <f t="shared" si="92"/>
        <v>#DIV/0!</v>
      </c>
      <c r="G264" s="24" t="str">
        <f t="shared" si="92"/>
        <v>#DIV/0!</v>
      </c>
      <c r="H264" s="24" t="str">
        <f t="shared" si="92"/>
        <v>#DIV/0!</v>
      </c>
      <c r="I264" s="24" t="str">
        <f t="shared" si="92"/>
        <v>#DIV/0!</v>
      </c>
      <c r="J264" s="24" t="str">
        <f t="shared" si="92"/>
        <v>#DIV/0!</v>
      </c>
      <c r="K264" s="24" t="str">
        <f t="shared" si="92"/>
        <v>#DIV/0!</v>
      </c>
      <c r="L264" s="24" t="str">
        <f t="shared" si="92"/>
        <v>#DIV/0!</v>
      </c>
      <c r="M264" s="24" t="str">
        <f t="shared" si="92"/>
        <v>#DIV/0!</v>
      </c>
      <c r="N264" s="24" t="str">
        <f t="shared" si="92"/>
        <v>#DIV/0!</v>
      </c>
      <c r="O264" s="24" t="str">
        <f t="shared" si="92"/>
        <v>#DIV/0!</v>
      </c>
      <c r="P264" s="24" t="str">
        <f t="shared" si="92"/>
        <v>#DIV/0!</v>
      </c>
      <c r="Q264" s="24" t="str">
        <f t="shared" si="92"/>
        <v>#DIV/0!</v>
      </c>
      <c r="R264" s="24" t="str">
        <f t="shared" si="92"/>
        <v>#DIV/0!</v>
      </c>
      <c r="S264" s="24" t="str">
        <f t="shared" si="92"/>
        <v>#DIV/0!</v>
      </c>
      <c r="T264" s="24" t="str">
        <f t="shared" si="92"/>
        <v>#DIV/0!</v>
      </c>
      <c r="U264" s="24" t="str">
        <f t="shared" si="92"/>
        <v>#DIV/0!</v>
      </c>
      <c r="V264" s="24" t="str">
        <f t="shared" si="92"/>
        <v>#DIV/0!</v>
      </c>
      <c r="W264" s="24" t="str">
        <f t="shared" si="92"/>
        <v>#DIV/0!</v>
      </c>
      <c r="X264" s="24" t="str">
        <f t="shared" si="92"/>
        <v>#DIV/0!</v>
      </c>
      <c r="Y264" s="24" t="str">
        <f t="shared" si="92"/>
        <v>#DIV/0!</v>
      </c>
      <c r="Z264" s="24" t="str">
        <f t="shared" si="92"/>
        <v>#DIV/0!</v>
      </c>
      <c r="AA264" s="25"/>
      <c r="AB264" s="26" t="str">
        <f>SUM(AB259:AB262)/4</f>
        <v>#DIV/0!</v>
      </c>
      <c r="AC264" s="2"/>
    </row>
    <row r="265">
      <c r="A265" s="27" t="s">
        <v>44</v>
      </c>
      <c r="B265" s="28"/>
      <c r="C265" s="29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30">
        <f t="shared" ref="AA265:AA267" si="93">SUM(B265:Z265)</f>
        <v>0</v>
      </c>
      <c r="AB265" s="31"/>
      <c r="AC265" s="2"/>
    </row>
    <row r="266">
      <c r="A266" s="32" t="s">
        <v>45</v>
      </c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28"/>
      <c r="W266" s="28"/>
      <c r="X266" s="28"/>
      <c r="Y266" s="28"/>
      <c r="Z266" s="28"/>
      <c r="AA266" s="30">
        <f t="shared" si="93"/>
        <v>0</v>
      </c>
      <c r="AB266" s="31"/>
      <c r="AC266" s="9"/>
    </row>
    <row r="267">
      <c r="A267" s="34" t="s">
        <v>46</v>
      </c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28"/>
      <c r="W267" s="28"/>
      <c r="X267" s="28"/>
      <c r="Y267" s="28"/>
      <c r="Z267" s="28"/>
      <c r="AA267" s="30">
        <f t="shared" si="93"/>
        <v>0</v>
      </c>
      <c r="AB267" s="31"/>
      <c r="AC267" s="9"/>
    </row>
    <row r="268">
      <c r="A268" s="35" t="s">
        <v>47</v>
      </c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7"/>
      <c r="AA268" s="38"/>
      <c r="AB268" s="39"/>
      <c r="AC268" s="2"/>
    </row>
    <row r="269">
      <c r="A269" s="40" t="s">
        <v>48</v>
      </c>
      <c r="B269" s="41"/>
      <c r="C269" s="42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3"/>
      <c r="W269" s="43"/>
      <c r="X269" s="43"/>
      <c r="Y269" s="43"/>
      <c r="Z269" s="43"/>
      <c r="AA269" s="44">
        <f t="shared" ref="AA269:AA270" si="94">SUM(B269:Z269)</f>
        <v>0</v>
      </c>
      <c r="AB269" s="31"/>
      <c r="AC269" s="2"/>
    </row>
    <row r="270">
      <c r="A270" s="40" t="s">
        <v>49</v>
      </c>
      <c r="B270" s="41"/>
      <c r="C270" s="42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3"/>
      <c r="W270" s="43"/>
      <c r="X270" s="43"/>
      <c r="Y270" s="43"/>
      <c r="Z270" s="43"/>
      <c r="AA270" s="44">
        <f t="shared" si="94"/>
        <v>0</v>
      </c>
      <c r="AB270" s="31"/>
      <c r="AC270" s="2"/>
    </row>
    <row r="271">
      <c r="A271" s="40" t="s">
        <v>50</v>
      </c>
      <c r="B271" s="42"/>
      <c r="C271" s="42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3"/>
      <c r="W271" s="43"/>
      <c r="X271" s="43"/>
      <c r="Y271" s="43"/>
      <c r="Z271" s="43"/>
      <c r="AA271" s="44" t="str">
        <f>AVERAGE(B271:Z271)</f>
        <v>#DIV/0!</v>
      </c>
      <c r="AB271" s="31"/>
      <c r="AC271" s="2"/>
    </row>
    <row r="272">
      <c r="A272" s="45" t="s">
        <v>51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7"/>
      <c r="AA272" s="46"/>
      <c r="AB272" s="39"/>
      <c r="AC272" s="2"/>
    </row>
    <row r="273">
      <c r="A273" s="47" t="s">
        <v>48</v>
      </c>
      <c r="B273" s="48"/>
      <c r="C273" s="49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50"/>
      <c r="W273" s="50"/>
      <c r="X273" s="50"/>
      <c r="Y273" s="50"/>
      <c r="Z273" s="50"/>
      <c r="AA273" s="51">
        <f t="shared" ref="AA273:AA274" si="95">SUM(B273:Z273)</f>
        <v>0</v>
      </c>
      <c r="AB273" s="31"/>
      <c r="AC273" s="2"/>
    </row>
    <row r="274">
      <c r="A274" s="47" t="s">
        <v>49</v>
      </c>
      <c r="B274" s="48"/>
      <c r="C274" s="49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50"/>
      <c r="W274" s="50"/>
      <c r="X274" s="50"/>
      <c r="Y274" s="50"/>
      <c r="Z274" s="50"/>
      <c r="AA274" s="51">
        <f t="shared" si="95"/>
        <v>0</v>
      </c>
      <c r="AB274" s="31"/>
      <c r="AC274" s="2"/>
    </row>
    <row r="275">
      <c r="A275" s="47" t="s">
        <v>50</v>
      </c>
      <c r="B275" s="49"/>
      <c r="C275" s="49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50"/>
      <c r="W275" s="50"/>
      <c r="X275" s="50"/>
      <c r="Y275" s="50"/>
      <c r="Z275" s="50"/>
      <c r="AA275" s="51" t="str">
        <f>AVERAGE(B275:Z275)</f>
        <v>#DIV/0!</v>
      </c>
      <c r="AB275" s="31"/>
      <c r="AC275" s="2"/>
    </row>
    <row r="276">
      <c r="A276" s="52" t="s">
        <v>53</v>
      </c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7"/>
      <c r="AA276" s="38"/>
      <c r="AB276" s="39"/>
      <c r="AC276" s="2"/>
    </row>
    <row r="277">
      <c r="A277" s="40" t="s">
        <v>48</v>
      </c>
      <c r="B277" s="41"/>
      <c r="C277" s="42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3"/>
      <c r="W277" s="43"/>
      <c r="X277" s="43"/>
      <c r="Y277" s="43"/>
      <c r="Z277" s="43"/>
      <c r="AA277" s="44">
        <f t="shared" ref="AA277:AA278" si="96">SUM(B277:Z277)</f>
        <v>0</v>
      </c>
      <c r="AB277" s="31"/>
      <c r="AC277" s="2"/>
    </row>
    <row r="278">
      <c r="A278" s="40" t="s">
        <v>49</v>
      </c>
      <c r="B278" s="41"/>
      <c r="C278" s="42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3"/>
      <c r="W278" s="43"/>
      <c r="X278" s="43"/>
      <c r="Y278" s="43"/>
      <c r="Z278" s="43"/>
      <c r="AA278" s="44">
        <f t="shared" si="96"/>
        <v>0</v>
      </c>
      <c r="AB278" s="31"/>
      <c r="AC278" s="2"/>
    </row>
    <row r="279">
      <c r="A279" s="53" t="s">
        <v>50</v>
      </c>
      <c r="B279" s="54"/>
      <c r="C279" s="54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6"/>
      <c r="W279" s="56"/>
      <c r="X279" s="56"/>
      <c r="Y279" s="56"/>
      <c r="Z279" s="56"/>
      <c r="AA279" s="57" t="str">
        <f>AVERAGE(B279:Z279)</f>
        <v>#DIV/0!</v>
      </c>
      <c r="AB279" s="58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59"/>
      <c r="AB280" s="59"/>
      <c r="AC280" s="2"/>
    </row>
    <row r="281">
      <c r="A281" s="71" t="s">
        <v>54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5" t="s">
        <v>37</v>
      </c>
      <c r="AB281" s="16" t="s">
        <v>38</v>
      </c>
      <c r="AC281" s="2"/>
    </row>
    <row r="282">
      <c r="A282" s="17" t="s">
        <v>39</v>
      </c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20">
        <f t="shared" ref="AA282:AA286" si="97">SUM(B282:Z282)</f>
        <v>0</v>
      </c>
      <c r="AB282" s="21" t="str">
        <f t="shared" ref="AB282:AB285" si="98">AA282/(COUNT(B282:Z282)*1)</f>
        <v>#DIV/0!</v>
      </c>
      <c r="AC282" s="2"/>
    </row>
    <row r="283">
      <c r="A283" s="17" t="s">
        <v>40</v>
      </c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20">
        <f t="shared" si="97"/>
        <v>0</v>
      </c>
      <c r="AB283" s="21" t="str">
        <f t="shared" si="98"/>
        <v>#DIV/0!</v>
      </c>
      <c r="AC283" s="2"/>
    </row>
    <row r="284">
      <c r="A284" s="17" t="s">
        <v>41</v>
      </c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20">
        <f t="shared" si="97"/>
        <v>0</v>
      </c>
      <c r="AB284" s="21" t="str">
        <f t="shared" si="98"/>
        <v>#DIV/0!</v>
      </c>
      <c r="AC284" s="2"/>
    </row>
    <row r="285">
      <c r="A285" s="17" t="s">
        <v>42</v>
      </c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20">
        <f t="shared" si="97"/>
        <v>0</v>
      </c>
      <c r="AB285" s="21" t="str">
        <f t="shared" si="98"/>
        <v>#DIV/0!</v>
      </c>
      <c r="AC285" s="2"/>
    </row>
    <row r="286">
      <c r="A286" s="17" t="s">
        <v>43</v>
      </c>
      <c r="B286" s="22">
        <f t="shared" ref="B286:Z286" si="99">SUM(B282:B285)</f>
        <v>0</v>
      </c>
      <c r="C286" s="22">
        <f t="shared" si="99"/>
        <v>0</v>
      </c>
      <c r="D286" s="22">
        <f t="shared" si="99"/>
        <v>0</v>
      </c>
      <c r="E286" s="22">
        <f t="shared" si="99"/>
        <v>0</v>
      </c>
      <c r="F286" s="22">
        <f t="shared" si="99"/>
        <v>0</v>
      </c>
      <c r="G286" s="22">
        <f t="shared" si="99"/>
        <v>0</v>
      </c>
      <c r="H286" s="22">
        <f t="shared" si="99"/>
        <v>0</v>
      </c>
      <c r="I286" s="22">
        <f t="shared" si="99"/>
        <v>0</v>
      </c>
      <c r="J286" s="22">
        <f t="shared" si="99"/>
        <v>0</v>
      </c>
      <c r="K286" s="22">
        <f t="shared" si="99"/>
        <v>0</v>
      </c>
      <c r="L286" s="22">
        <f t="shared" si="99"/>
        <v>0</v>
      </c>
      <c r="M286" s="22">
        <f t="shared" si="99"/>
        <v>0</v>
      </c>
      <c r="N286" s="22">
        <f t="shared" si="99"/>
        <v>0</v>
      </c>
      <c r="O286" s="22">
        <f t="shared" si="99"/>
        <v>0</v>
      </c>
      <c r="P286" s="22">
        <f t="shared" si="99"/>
        <v>0</v>
      </c>
      <c r="Q286" s="22">
        <f t="shared" si="99"/>
        <v>0</v>
      </c>
      <c r="R286" s="22">
        <f t="shared" si="99"/>
        <v>0</v>
      </c>
      <c r="S286" s="22">
        <f t="shared" si="99"/>
        <v>0</v>
      </c>
      <c r="T286" s="22">
        <f t="shared" si="99"/>
        <v>0</v>
      </c>
      <c r="U286" s="22">
        <f t="shared" si="99"/>
        <v>0</v>
      </c>
      <c r="V286" s="22">
        <f t="shared" si="99"/>
        <v>0</v>
      </c>
      <c r="W286" s="22">
        <f t="shared" si="99"/>
        <v>0</v>
      </c>
      <c r="X286" s="22">
        <f t="shared" si="99"/>
        <v>0</v>
      </c>
      <c r="Y286" s="22">
        <f t="shared" si="99"/>
        <v>0</v>
      </c>
      <c r="Z286" s="22">
        <f t="shared" si="99"/>
        <v>0</v>
      </c>
      <c r="AA286" s="20">
        <f t="shared" si="97"/>
        <v>0</v>
      </c>
      <c r="AB286" s="23"/>
      <c r="AC286" s="2"/>
    </row>
    <row r="287">
      <c r="A287" s="17" t="s">
        <v>38</v>
      </c>
      <c r="B287" s="24" t="str">
        <f t="shared" ref="B287:Z287" si="100">B286/(COUNT(B282:B285)*1)</f>
        <v>#DIV/0!</v>
      </c>
      <c r="C287" s="24" t="str">
        <f t="shared" si="100"/>
        <v>#DIV/0!</v>
      </c>
      <c r="D287" s="24" t="str">
        <f t="shared" si="100"/>
        <v>#DIV/0!</v>
      </c>
      <c r="E287" s="24" t="str">
        <f t="shared" si="100"/>
        <v>#DIV/0!</v>
      </c>
      <c r="F287" s="24" t="str">
        <f t="shared" si="100"/>
        <v>#DIV/0!</v>
      </c>
      <c r="G287" s="24" t="str">
        <f t="shared" si="100"/>
        <v>#DIV/0!</v>
      </c>
      <c r="H287" s="24" t="str">
        <f t="shared" si="100"/>
        <v>#DIV/0!</v>
      </c>
      <c r="I287" s="24" t="str">
        <f t="shared" si="100"/>
        <v>#DIV/0!</v>
      </c>
      <c r="J287" s="24" t="str">
        <f t="shared" si="100"/>
        <v>#DIV/0!</v>
      </c>
      <c r="K287" s="24" t="str">
        <f t="shared" si="100"/>
        <v>#DIV/0!</v>
      </c>
      <c r="L287" s="24" t="str">
        <f t="shared" si="100"/>
        <v>#DIV/0!</v>
      </c>
      <c r="M287" s="24" t="str">
        <f t="shared" si="100"/>
        <v>#DIV/0!</v>
      </c>
      <c r="N287" s="24" t="str">
        <f t="shared" si="100"/>
        <v>#DIV/0!</v>
      </c>
      <c r="O287" s="24" t="str">
        <f t="shared" si="100"/>
        <v>#DIV/0!</v>
      </c>
      <c r="P287" s="24" t="str">
        <f t="shared" si="100"/>
        <v>#DIV/0!</v>
      </c>
      <c r="Q287" s="24" t="str">
        <f t="shared" si="100"/>
        <v>#DIV/0!</v>
      </c>
      <c r="R287" s="24" t="str">
        <f t="shared" si="100"/>
        <v>#DIV/0!</v>
      </c>
      <c r="S287" s="24" t="str">
        <f t="shared" si="100"/>
        <v>#DIV/0!</v>
      </c>
      <c r="T287" s="24" t="str">
        <f t="shared" si="100"/>
        <v>#DIV/0!</v>
      </c>
      <c r="U287" s="24" t="str">
        <f t="shared" si="100"/>
        <v>#DIV/0!</v>
      </c>
      <c r="V287" s="24" t="str">
        <f t="shared" si="100"/>
        <v>#DIV/0!</v>
      </c>
      <c r="W287" s="24" t="str">
        <f t="shared" si="100"/>
        <v>#DIV/0!</v>
      </c>
      <c r="X287" s="24" t="str">
        <f t="shared" si="100"/>
        <v>#DIV/0!</v>
      </c>
      <c r="Y287" s="24" t="str">
        <f t="shared" si="100"/>
        <v>#DIV/0!</v>
      </c>
      <c r="Z287" s="24" t="str">
        <f t="shared" si="100"/>
        <v>#DIV/0!</v>
      </c>
      <c r="AA287" s="25"/>
      <c r="AB287" s="26" t="str">
        <f>SUM(AB282:AB285)/4</f>
        <v>#DIV/0!</v>
      </c>
      <c r="AC287" s="2"/>
    </row>
    <row r="288">
      <c r="A288" s="27" t="s">
        <v>44</v>
      </c>
      <c r="B288" s="28"/>
      <c r="C288" s="29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30">
        <f t="shared" ref="AA288:AA290" si="101">SUM(B288:Z288)</f>
        <v>0</v>
      </c>
      <c r="AB288" s="31"/>
      <c r="AC288" s="2"/>
    </row>
    <row r="289">
      <c r="A289" s="32" t="s">
        <v>45</v>
      </c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28"/>
      <c r="W289" s="28"/>
      <c r="X289" s="28"/>
      <c r="Y289" s="28"/>
      <c r="Z289" s="28"/>
      <c r="AA289" s="30">
        <f t="shared" si="101"/>
        <v>0</v>
      </c>
      <c r="AB289" s="31"/>
      <c r="AC289" s="9"/>
    </row>
    <row r="290">
      <c r="A290" s="34" t="s">
        <v>46</v>
      </c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28"/>
      <c r="W290" s="28"/>
      <c r="X290" s="28"/>
      <c r="Y290" s="28"/>
      <c r="Z290" s="28"/>
      <c r="AA290" s="30">
        <f t="shared" si="101"/>
        <v>0</v>
      </c>
      <c r="AB290" s="31"/>
      <c r="AC290" s="9"/>
    </row>
    <row r="291">
      <c r="A291" s="35" t="s">
        <v>47</v>
      </c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7"/>
      <c r="AA291" s="38"/>
      <c r="AB291" s="39"/>
      <c r="AC291" s="2"/>
    </row>
    <row r="292">
      <c r="A292" s="40" t="s">
        <v>48</v>
      </c>
      <c r="B292" s="41"/>
      <c r="C292" s="42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3"/>
      <c r="W292" s="43"/>
      <c r="X292" s="43"/>
      <c r="Y292" s="43"/>
      <c r="Z292" s="43"/>
      <c r="AA292" s="44">
        <f t="shared" ref="AA292:AA293" si="102">SUM(B292:Z292)</f>
        <v>0</v>
      </c>
      <c r="AB292" s="31"/>
      <c r="AC292" s="2"/>
    </row>
    <row r="293">
      <c r="A293" s="40" t="s">
        <v>49</v>
      </c>
      <c r="B293" s="41"/>
      <c r="C293" s="42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3"/>
      <c r="W293" s="43"/>
      <c r="X293" s="43"/>
      <c r="Y293" s="43"/>
      <c r="Z293" s="43"/>
      <c r="AA293" s="44">
        <f t="shared" si="102"/>
        <v>0</v>
      </c>
      <c r="AB293" s="31"/>
      <c r="AC293" s="2"/>
    </row>
    <row r="294">
      <c r="A294" s="40" t="s">
        <v>50</v>
      </c>
      <c r="B294" s="42"/>
      <c r="C294" s="42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3"/>
      <c r="W294" s="43"/>
      <c r="X294" s="43"/>
      <c r="Y294" s="43"/>
      <c r="Z294" s="43"/>
      <c r="AA294" s="44" t="str">
        <f>AVERAGE(B294:Z294)</f>
        <v>#DIV/0!</v>
      </c>
      <c r="AB294" s="31"/>
      <c r="AC294" s="2"/>
    </row>
    <row r="295">
      <c r="A295" s="45" t="s">
        <v>51</v>
      </c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7"/>
      <c r="AA295" s="46"/>
      <c r="AB295" s="39"/>
      <c r="AC295" s="2"/>
    </row>
    <row r="296">
      <c r="A296" s="47" t="s">
        <v>48</v>
      </c>
      <c r="B296" s="48"/>
      <c r="C296" s="49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50"/>
      <c r="W296" s="50"/>
      <c r="X296" s="50"/>
      <c r="Y296" s="50"/>
      <c r="Z296" s="50"/>
      <c r="AA296" s="51">
        <f t="shared" ref="AA296:AA297" si="103">SUM(B296:Z296)</f>
        <v>0</v>
      </c>
      <c r="AB296" s="31"/>
      <c r="AC296" s="2"/>
    </row>
    <row r="297">
      <c r="A297" s="47" t="s">
        <v>49</v>
      </c>
      <c r="B297" s="48"/>
      <c r="C297" s="49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50"/>
      <c r="W297" s="50"/>
      <c r="X297" s="50"/>
      <c r="Y297" s="50"/>
      <c r="Z297" s="50"/>
      <c r="AA297" s="51">
        <f t="shared" si="103"/>
        <v>0</v>
      </c>
      <c r="AB297" s="31"/>
      <c r="AC297" s="2"/>
    </row>
    <row r="298">
      <c r="A298" s="47" t="s">
        <v>50</v>
      </c>
      <c r="B298" s="49"/>
      <c r="C298" s="49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50"/>
      <c r="W298" s="50"/>
      <c r="X298" s="50"/>
      <c r="Y298" s="50"/>
      <c r="Z298" s="50"/>
      <c r="AA298" s="51" t="str">
        <f>AVERAGE(B298:Z298)</f>
        <v>#DIV/0!</v>
      </c>
      <c r="AB298" s="31"/>
      <c r="AC298" s="2"/>
    </row>
    <row r="299">
      <c r="A299" s="52" t="s">
        <v>53</v>
      </c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7"/>
      <c r="AA299" s="38"/>
      <c r="AB299" s="39"/>
      <c r="AC299" s="2"/>
    </row>
    <row r="300">
      <c r="A300" s="40" t="s">
        <v>48</v>
      </c>
      <c r="B300" s="41"/>
      <c r="C300" s="42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3"/>
      <c r="W300" s="43"/>
      <c r="X300" s="43"/>
      <c r="Y300" s="43"/>
      <c r="Z300" s="43"/>
      <c r="AA300" s="44">
        <f t="shared" ref="AA300:AA301" si="104">SUM(B300:Z300)</f>
        <v>0</v>
      </c>
      <c r="AB300" s="31"/>
      <c r="AC300" s="2"/>
    </row>
    <row r="301">
      <c r="A301" s="40" t="s">
        <v>49</v>
      </c>
      <c r="B301" s="41"/>
      <c r="C301" s="42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3"/>
      <c r="W301" s="43"/>
      <c r="X301" s="43"/>
      <c r="Y301" s="43"/>
      <c r="Z301" s="43"/>
      <c r="AA301" s="44">
        <f t="shared" si="104"/>
        <v>0</v>
      </c>
      <c r="AB301" s="31"/>
      <c r="AC301" s="2"/>
    </row>
    <row r="302">
      <c r="A302" s="53" t="s">
        <v>50</v>
      </c>
      <c r="B302" s="54"/>
      <c r="C302" s="54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6"/>
      <c r="W302" s="56"/>
      <c r="X302" s="56"/>
      <c r="Y302" s="56"/>
      <c r="Z302" s="56"/>
      <c r="AA302" s="57" t="str">
        <f>AVERAGE(B302:Z302)</f>
        <v>#DIV/0!</v>
      </c>
      <c r="AB302" s="58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59"/>
      <c r="AB303" s="59"/>
      <c r="AC303" s="2"/>
    </row>
    <row r="304">
      <c r="A304" s="71" t="s">
        <v>54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5" t="s">
        <v>37</v>
      </c>
      <c r="AB304" s="16" t="s">
        <v>38</v>
      </c>
      <c r="AC304" s="2"/>
    </row>
    <row r="305">
      <c r="A305" s="17" t="s">
        <v>39</v>
      </c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20">
        <f t="shared" ref="AA305:AA309" si="105">SUM(B305:Z305)</f>
        <v>0</v>
      </c>
      <c r="AB305" s="21" t="str">
        <f t="shared" ref="AB305:AB308" si="106">AA305/(COUNT(B305:Z305)*1)</f>
        <v>#DIV/0!</v>
      </c>
      <c r="AC305" s="2"/>
    </row>
    <row r="306">
      <c r="A306" s="17" t="s">
        <v>40</v>
      </c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20">
        <f t="shared" si="105"/>
        <v>0</v>
      </c>
      <c r="AB306" s="21" t="str">
        <f t="shared" si="106"/>
        <v>#DIV/0!</v>
      </c>
      <c r="AC306" s="2"/>
    </row>
    <row r="307">
      <c r="A307" s="17" t="s">
        <v>41</v>
      </c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20">
        <f t="shared" si="105"/>
        <v>0</v>
      </c>
      <c r="AB307" s="21" t="str">
        <f t="shared" si="106"/>
        <v>#DIV/0!</v>
      </c>
      <c r="AC307" s="2"/>
    </row>
    <row r="308">
      <c r="A308" s="17" t="s">
        <v>42</v>
      </c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20">
        <f t="shared" si="105"/>
        <v>0</v>
      </c>
      <c r="AB308" s="21" t="str">
        <f t="shared" si="106"/>
        <v>#DIV/0!</v>
      </c>
      <c r="AC308" s="2"/>
    </row>
    <row r="309">
      <c r="A309" s="17" t="s">
        <v>43</v>
      </c>
      <c r="B309" s="22">
        <f t="shared" ref="B309:Z309" si="107">SUM(B305:B308)</f>
        <v>0</v>
      </c>
      <c r="C309" s="22">
        <f t="shared" si="107"/>
        <v>0</v>
      </c>
      <c r="D309" s="22">
        <f t="shared" si="107"/>
        <v>0</v>
      </c>
      <c r="E309" s="22">
        <f t="shared" si="107"/>
        <v>0</v>
      </c>
      <c r="F309" s="22">
        <f t="shared" si="107"/>
        <v>0</v>
      </c>
      <c r="G309" s="22">
        <f t="shared" si="107"/>
        <v>0</v>
      </c>
      <c r="H309" s="22">
        <f t="shared" si="107"/>
        <v>0</v>
      </c>
      <c r="I309" s="22">
        <f t="shared" si="107"/>
        <v>0</v>
      </c>
      <c r="J309" s="22">
        <f t="shared" si="107"/>
        <v>0</v>
      </c>
      <c r="K309" s="22">
        <f t="shared" si="107"/>
        <v>0</v>
      </c>
      <c r="L309" s="22">
        <f t="shared" si="107"/>
        <v>0</v>
      </c>
      <c r="M309" s="22">
        <f t="shared" si="107"/>
        <v>0</v>
      </c>
      <c r="N309" s="22">
        <f t="shared" si="107"/>
        <v>0</v>
      </c>
      <c r="O309" s="22">
        <f t="shared" si="107"/>
        <v>0</v>
      </c>
      <c r="P309" s="22">
        <f t="shared" si="107"/>
        <v>0</v>
      </c>
      <c r="Q309" s="22">
        <f t="shared" si="107"/>
        <v>0</v>
      </c>
      <c r="R309" s="22">
        <f t="shared" si="107"/>
        <v>0</v>
      </c>
      <c r="S309" s="22">
        <f t="shared" si="107"/>
        <v>0</v>
      </c>
      <c r="T309" s="22">
        <f t="shared" si="107"/>
        <v>0</v>
      </c>
      <c r="U309" s="22">
        <f t="shared" si="107"/>
        <v>0</v>
      </c>
      <c r="V309" s="22">
        <f t="shared" si="107"/>
        <v>0</v>
      </c>
      <c r="W309" s="22">
        <f t="shared" si="107"/>
        <v>0</v>
      </c>
      <c r="X309" s="22">
        <f t="shared" si="107"/>
        <v>0</v>
      </c>
      <c r="Y309" s="22">
        <f t="shared" si="107"/>
        <v>0</v>
      </c>
      <c r="Z309" s="22">
        <f t="shared" si="107"/>
        <v>0</v>
      </c>
      <c r="AA309" s="20">
        <f t="shared" si="105"/>
        <v>0</v>
      </c>
      <c r="AB309" s="23"/>
      <c r="AC309" s="2"/>
    </row>
    <row r="310">
      <c r="A310" s="17" t="s">
        <v>38</v>
      </c>
      <c r="B310" s="24" t="str">
        <f t="shared" ref="B310:Z310" si="108">B309/(COUNT(B305:B308)*1)</f>
        <v>#DIV/0!</v>
      </c>
      <c r="C310" s="24" t="str">
        <f t="shared" si="108"/>
        <v>#DIV/0!</v>
      </c>
      <c r="D310" s="24" t="str">
        <f t="shared" si="108"/>
        <v>#DIV/0!</v>
      </c>
      <c r="E310" s="24" t="str">
        <f t="shared" si="108"/>
        <v>#DIV/0!</v>
      </c>
      <c r="F310" s="24" t="str">
        <f t="shared" si="108"/>
        <v>#DIV/0!</v>
      </c>
      <c r="G310" s="24" t="str">
        <f t="shared" si="108"/>
        <v>#DIV/0!</v>
      </c>
      <c r="H310" s="24" t="str">
        <f t="shared" si="108"/>
        <v>#DIV/0!</v>
      </c>
      <c r="I310" s="24" t="str">
        <f t="shared" si="108"/>
        <v>#DIV/0!</v>
      </c>
      <c r="J310" s="24" t="str">
        <f t="shared" si="108"/>
        <v>#DIV/0!</v>
      </c>
      <c r="K310" s="24" t="str">
        <f t="shared" si="108"/>
        <v>#DIV/0!</v>
      </c>
      <c r="L310" s="24" t="str">
        <f t="shared" si="108"/>
        <v>#DIV/0!</v>
      </c>
      <c r="M310" s="24" t="str">
        <f t="shared" si="108"/>
        <v>#DIV/0!</v>
      </c>
      <c r="N310" s="24" t="str">
        <f t="shared" si="108"/>
        <v>#DIV/0!</v>
      </c>
      <c r="O310" s="24" t="str">
        <f t="shared" si="108"/>
        <v>#DIV/0!</v>
      </c>
      <c r="P310" s="24" t="str">
        <f t="shared" si="108"/>
        <v>#DIV/0!</v>
      </c>
      <c r="Q310" s="24" t="str">
        <f t="shared" si="108"/>
        <v>#DIV/0!</v>
      </c>
      <c r="R310" s="24" t="str">
        <f t="shared" si="108"/>
        <v>#DIV/0!</v>
      </c>
      <c r="S310" s="24" t="str">
        <f t="shared" si="108"/>
        <v>#DIV/0!</v>
      </c>
      <c r="T310" s="24" t="str">
        <f t="shared" si="108"/>
        <v>#DIV/0!</v>
      </c>
      <c r="U310" s="24" t="str">
        <f t="shared" si="108"/>
        <v>#DIV/0!</v>
      </c>
      <c r="V310" s="24" t="str">
        <f t="shared" si="108"/>
        <v>#DIV/0!</v>
      </c>
      <c r="W310" s="24" t="str">
        <f t="shared" si="108"/>
        <v>#DIV/0!</v>
      </c>
      <c r="X310" s="24" t="str">
        <f t="shared" si="108"/>
        <v>#DIV/0!</v>
      </c>
      <c r="Y310" s="24" t="str">
        <f t="shared" si="108"/>
        <v>#DIV/0!</v>
      </c>
      <c r="Z310" s="24" t="str">
        <f t="shared" si="108"/>
        <v>#DIV/0!</v>
      </c>
      <c r="AA310" s="25"/>
      <c r="AB310" s="26" t="str">
        <f>SUM(AB305:AB308)/4</f>
        <v>#DIV/0!</v>
      </c>
      <c r="AC310" s="2"/>
    </row>
    <row r="311">
      <c r="A311" s="27" t="s">
        <v>44</v>
      </c>
      <c r="B311" s="28"/>
      <c r="C311" s="29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30">
        <f t="shared" ref="AA311:AA313" si="109">SUM(B311:Z311)</f>
        <v>0</v>
      </c>
      <c r="AB311" s="31"/>
      <c r="AC311" s="2"/>
    </row>
    <row r="312">
      <c r="A312" s="32" t="s">
        <v>45</v>
      </c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28"/>
      <c r="W312" s="28"/>
      <c r="X312" s="28"/>
      <c r="Y312" s="28"/>
      <c r="Z312" s="28"/>
      <c r="AA312" s="30">
        <f t="shared" si="109"/>
        <v>0</v>
      </c>
      <c r="AB312" s="31"/>
      <c r="AC312" s="9"/>
    </row>
    <row r="313">
      <c r="A313" s="34" t="s">
        <v>46</v>
      </c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28"/>
      <c r="W313" s="28"/>
      <c r="X313" s="28"/>
      <c r="Y313" s="28"/>
      <c r="Z313" s="28"/>
      <c r="AA313" s="30">
        <f t="shared" si="109"/>
        <v>0</v>
      </c>
      <c r="AB313" s="31"/>
      <c r="AC313" s="9"/>
    </row>
    <row r="314">
      <c r="A314" s="35" t="s">
        <v>47</v>
      </c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7"/>
      <c r="AA314" s="38"/>
      <c r="AB314" s="39"/>
      <c r="AC314" s="2"/>
    </row>
    <row r="315">
      <c r="A315" s="40" t="s">
        <v>48</v>
      </c>
      <c r="B315" s="41"/>
      <c r="C315" s="42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3"/>
      <c r="W315" s="43"/>
      <c r="X315" s="43"/>
      <c r="Y315" s="43"/>
      <c r="Z315" s="43"/>
      <c r="AA315" s="44">
        <f t="shared" ref="AA315:AA316" si="110">SUM(B315:Z315)</f>
        <v>0</v>
      </c>
      <c r="AB315" s="31"/>
      <c r="AC315" s="2"/>
    </row>
    <row r="316">
      <c r="A316" s="40" t="s">
        <v>49</v>
      </c>
      <c r="B316" s="41"/>
      <c r="C316" s="42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3"/>
      <c r="W316" s="43"/>
      <c r="X316" s="43"/>
      <c r="Y316" s="43"/>
      <c r="Z316" s="43"/>
      <c r="AA316" s="44">
        <f t="shared" si="110"/>
        <v>0</v>
      </c>
      <c r="AB316" s="31"/>
      <c r="AC316" s="2"/>
    </row>
    <row r="317">
      <c r="A317" s="40" t="s">
        <v>50</v>
      </c>
      <c r="B317" s="42"/>
      <c r="C317" s="42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3"/>
      <c r="W317" s="43"/>
      <c r="X317" s="43"/>
      <c r="Y317" s="43"/>
      <c r="Z317" s="43"/>
      <c r="AA317" s="44" t="str">
        <f>AVERAGE(B317:Z317)</f>
        <v>#DIV/0!</v>
      </c>
      <c r="AB317" s="31"/>
      <c r="AC317" s="2"/>
    </row>
    <row r="318">
      <c r="A318" s="45" t="s">
        <v>51</v>
      </c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7"/>
      <c r="AA318" s="46"/>
      <c r="AB318" s="39"/>
      <c r="AC318" s="2"/>
    </row>
    <row r="319">
      <c r="A319" s="47" t="s">
        <v>48</v>
      </c>
      <c r="B319" s="48"/>
      <c r="C319" s="49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50"/>
      <c r="W319" s="50"/>
      <c r="X319" s="50"/>
      <c r="Y319" s="50"/>
      <c r="Z319" s="50"/>
      <c r="AA319" s="51">
        <f t="shared" ref="AA319:AA320" si="111">SUM(B319:Z319)</f>
        <v>0</v>
      </c>
      <c r="AB319" s="31"/>
      <c r="AC319" s="2"/>
    </row>
    <row r="320">
      <c r="A320" s="47" t="s">
        <v>49</v>
      </c>
      <c r="B320" s="48"/>
      <c r="C320" s="49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50"/>
      <c r="W320" s="50"/>
      <c r="X320" s="50"/>
      <c r="Y320" s="50"/>
      <c r="Z320" s="50"/>
      <c r="AA320" s="51">
        <f t="shared" si="111"/>
        <v>0</v>
      </c>
      <c r="AB320" s="31"/>
      <c r="AC320" s="2"/>
    </row>
    <row r="321">
      <c r="A321" s="47" t="s">
        <v>50</v>
      </c>
      <c r="B321" s="49"/>
      <c r="C321" s="49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50"/>
      <c r="W321" s="50"/>
      <c r="X321" s="50"/>
      <c r="Y321" s="50"/>
      <c r="Z321" s="50"/>
      <c r="AA321" s="51" t="str">
        <f>AVERAGE(B321:Z321)</f>
        <v>#DIV/0!</v>
      </c>
      <c r="AB321" s="31"/>
      <c r="AC321" s="2"/>
    </row>
    <row r="322">
      <c r="A322" s="52" t="s">
        <v>53</v>
      </c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7"/>
      <c r="AA322" s="38"/>
      <c r="AB322" s="39"/>
      <c r="AC322" s="2"/>
    </row>
    <row r="323">
      <c r="A323" s="40" t="s">
        <v>48</v>
      </c>
      <c r="B323" s="41"/>
      <c r="C323" s="42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3"/>
      <c r="W323" s="43"/>
      <c r="X323" s="43"/>
      <c r="Y323" s="43"/>
      <c r="Z323" s="43"/>
      <c r="AA323" s="44">
        <f t="shared" ref="AA323:AA324" si="112">SUM(B323:Z323)</f>
        <v>0</v>
      </c>
      <c r="AB323" s="31"/>
      <c r="AC323" s="2"/>
    </row>
    <row r="324">
      <c r="A324" s="40" t="s">
        <v>49</v>
      </c>
      <c r="B324" s="41"/>
      <c r="C324" s="42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3"/>
      <c r="W324" s="43"/>
      <c r="X324" s="43"/>
      <c r="Y324" s="43"/>
      <c r="Z324" s="43"/>
      <c r="AA324" s="44">
        <f t="shared" si="112"/>
        <v>0</v>
      </c>
      <c r="AB324" s="31"/>
      <c r="AC324" s="2"/>
    </row>
    <row r="325">
      <c r="A325" s="53" t="s">
        <v>50</v>
      </c>
      <c r="B325" s="54"/>
      <c r="C325" s="54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6"/>
      <c r="W325" s="56"/>
      <c r="X325" s="56"/>
      <c r="Y325" s="56"/>
      <c r="Z325" s="56"/>
      <c r="AA325" s="57" t="str">
        <f>AVERAGE(B325:Z325)</f>
        <v>#DIV/0!</v>
      </c>
      <c r="AB325" s="58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59"/>
      <c r="AB326" s="59"/>
      <c r="AC326" s="2"/>
    </row>
    <row r="327">
      <c r="A327" s="71" t="s">
        <v>54</v>
      </c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 t="s">
        <v>37</v>
      </c>
      <c r="AB327" s="16" t="s">
        <v>38</v>
      </c>
      <c r="AC327" s="2"/>
    </row>
    <row r="328">
      <c r="A328" s="17" t="s">
        <v>39</v>
      </c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20">
        <f t="shared" ref="AA328:AA332" si="113">SUM(B328:Z328)</f>
        <v>0</v>
      </c>
      <c r="AB328" s="21" t="str">
        <f t="shared" ref="AB328:AB331" si="114">AA328/(COUNT(B328:Z328)*1)</f>
        <v>#DIV/0!</v>
      </c>
      <c r="AC328" s="2"/>
    </row>
    <row r="329">
      <c r="A329" s="17" t="s">
        <v>40</v>
      </c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20">
        <f t="shared" si="113"/>
        <v>0</v>
      </c>
      <c r="AB329" s="21" t="str">
        <f t="shared" si="114"/>
        <v>#DIV/0!</v>
      </c>
      <c r="AC329" s="2"/>
    </row>
    <row r="330">
      <c r="A330" s="17" t="s">
        <v>41</v>
      </c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20">
        <f t="shared" si="113"/>
        <v>0</v>
      </c>
      <c r="AB330" s="21" t="str">
        <f t="shared" si="114"/>
        <v>#DIV/0!</v>
      </c>
      <c r="AC330" s="2"/>
    </row>
    <row r="331">
      <c r="A331" s="17" t="s">
        <v>42</v>
      </c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20">
        <f t="shared" si="113"/>
        <v>0</v>
      </c>
      <c r="AB331" s="21" t="str">
        <f t="shared" si="114"/>
        <v>#DIV/0!</v>
      </c>
      <c r="AC331" s="2"/>
    </row>
    <row r="332">
      <c r="A332" s="17" t="s">
        <v>43</v>
      </c>
      <c r="B332" s="22">
        <f t="shared" ref="B332:Z332" si="115">SUM(B328:B331)</f>
        <v>0</v>
      </c>
      <c r="C332" s="22">
        <f t="shared" si="115"/>
        <v>0</v>
      </c>
      <c r="D332" s="22">
        <f t="shared" si="115"/>
        <v>0</v>
      </c>
      <c r="E332" s="22">
        <f t="shared" si="115"/>
        <v>0</v>
      </c>
      <c r="F332" s="22">
        <f t="shared" si="115"/>
        <v>0</v>
      </c>
      <c r="G332" s="22">
        <f t="shared" si="115"/>
        <v>0</v>
      </c>
      <c r="H332" s="22">
        <f t="shared" si="115"/>
        <v>0</v>
      </c>
      <c r="I332" s="22">
        <f t="shared" si="115"/>
        <v>0</v>
      </c>
      <c r="J332" s="22">
        <f t="shared" si="115"/>
        <v>0</v>
      </c>
      <c r="K332" s="22">
        <f t="shared" si="115"/>
        <v>0</v>
      </c>
      <c r="L332" s="22">
        <f t="shared" si="115"/>
        <v>0</v>
      </c>
      <c r="M332" s="22">
        <f t="shared" si="115"/>
        <v>0</v>
      </c>
      <c r="N332" s="22">
        <f t="shared" si="115"/>
        <v>0</v>
      </c>
      <c r="O332" s="22">
        <f t="shared" si="115"/>
        <v>0</v>
      </c>
      <c r="P332" s="22">
        <f t="shared" si="115"/>
        <v>0</v>
      </c>
      <c r="Q332" s="22">
        <f t="shared" si="115"/>
        <v>0</v>
      </c>
      <c r="R332" s="22">
        <f t="shared" si="115"/>
        <v>0</v>
      </c>
      <c r="S332" s="22">
        <f t="shared" si="115"/>
        <v>0</v>
      </c>
      <c r="T332" s="22">
        <f t="shared" si="115"/>
        <v>0</v>
      </c>
      <c r="U332" s="22">
        <f t="shared" si="115"/>
        <v>0</v>
      </c>
      <c r="V332" s="22">
        <f t="shared" si="115"/>
        <v>0</v>
      </c>
      <c r="W332" s="22">
        <f t="shared" si="115"/>
        <v>0</v>
      </c>
      <c r="X332" s="22">
        <f t="shared" si="115"/>
        <v>0</v>
      </c>
      <c r="Y332" s="22">
        <f t="shared" si="115"/>
        <v>0</v>
      </c>
      <c r="Z332" s="22">
        <f t="shared" si="115"/>
        <v>0</v>
      </c>
      <c r="AA332" s="20">
        <f t="shared" si="113"/>
        <v>0</v>
      </c>
      <c r="AB332" s="23"/>
      <c r="AC332" s="2"/>
    </row>
    <row r="333">
      <c r="A333" s="17" t="s">
        <v>38</v>
      </c>
      <c r="B333" s="24" t="str">
        <f t="shared" ref="B333:Z333" si="116">B332/(COUNT(B328:B331)*1)</f>
        <v>#DIV/0!</v>
      </c>
      <c r="C333" s="24" t="str">
        <f t="shared" si="116"/>
        <v>#DIV/0!</v>
      </c>
      <c r="D333" s="24" t="str">
        <f t="shared" si="116"/>
        <v>#DIV/0!</v>
      </c>
      <c r="E333" s="24" t="str">
        <f t="shared" si="116"/>
        <v>#DIV/0!</v>
      </c>
      <c r="F333" s="24" t="str">
        <f t="shared" si="116"/>
        <v>#DIV/0!</v>
      </c>
      <c r="G333" s="24" t="str">
        <f t="shared" si="116"/>
        <v>#DIV/0!</v>
      </c>
      <c r="H333" s="24" t="str">
        <f t="shared" si="116"/>
        <v>#DIV/0!</v>
      </c>
      <c r="I333" s="24" t="str">
        <f t="shared" si="116"/>
        <v>#DIV/0!</v>
      </c>
      <c r="J333" s="24" t="str">
        <f t="shared" si="116"/>
        <v>#DIV/0!</v>
      </c>
      <c r="K333" s="24" t="str">
        <f t="shared" si="116"/>
        <v>#DIV/0!</v>
      </c>
      <c r="L333" s="24" t="str">
        <f t="shared" si="116"/>
        <v>#DIV/0!</v>
      </c>
      <c r="M333" s="24" t="str">
        <f t="shared" si="116"/>
        <v>#DIV/0!</v>
      </c>
      <c r="N333" s="24" t="str">
        <f t="shared" si="116"/>
        <v>#DIV/0!</v>
      </c>
      <c r="O333" s="24" t="str">
        <f t="shared" si="116"/>
        <v>#DIV/0!</v>
      </c>
      <c r="P333" s="24" t="str">
        <f t="shared" si="116"/>
        <v>#DIV/0!</v>
      </c>
      <c r="Q333" s="24" t="str">
        <f t="shared" si="116"/>
        <v>#DIV/0!</v>
      </c>
      <c r="R333" s="24" t="str">
        <f t="shared" si="116"/>
        <v>#DIV/0!</v>
      </c>
      <c r="S333" s="24" t="str">
        <f t="shared" si="116"/>
        <v>#DIV/0!</v>
      </c>
      <c r="T333" s="24" t="str">
        <f t="shared" si="116"/>
        <v>#DIV/0!</v>
      </c>
      <c r="U333" s="24" t="str">
        <f t="shared" si="116"/>
        <v>#DIV/0!</v>
      </c>
      <c r="V333" s="24" t="str">
        <f t="shared" si="116"/>
        <v>#DIV/0!</v>
      </c>
      <c r="W333" s="24" t="str">
        <f t="shared" si="116"/>
        <v>#DIV/0!</v>
      </c>
      <c r="X333" s="24" t="str">
        <f t="shared" si="116"/>
        <v>#DIV/0!</v>
      </c>
      <c r="Y333" s="24" t="str">
        <f t="shared" si="116"/>
        <v>#DIV/0!</v>
      </c>
      <c r="Z333" s="24" t="str">
        <f t="shared" si="116"/>
        <v>#DIV/0!</v>
      </c>
      <c r="AA333" s="25"/>
      <c r="AB333" s="26" t="str">
        <f>SUM(AB328:AB331)/4</f>
        <v>#DIV/0!</v>
      </c>
      <c r="AC333" s="2"/>
    </row>
    <row r="334">
      <c r="A334" s="27" t="s">
        <v>44</v>
      </c>
      <c r="B334" s="28"/>
      <c r="C334" s="29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30">
        <f t="shared" ref="AA334:AA336" si="117">SUM(B334:Z334)</f>
        <v>0</v>
      </c>
      <c r="AB334" s="31"/>
      <c r="AC334" s="2"/>
    </row>
    <row r="335">
      <c r="A335" s="32" t="s">
        <v>45</v>
      </c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28"/>
      <c r="W335" s="28"/>
      <c r="X335" s="28"/>
      <c r="Y335" s="28"/>
      <c r="Z335" s="28"/>
      <c r="AA335" s="30">
        <f t="shared" si="117"/>
        <v>0</v>
      </c>
      <c r="AB335" s="31"/>
      <c r="AC335" s="9"/>
    </row>
    <row r="336">
      <c r="A336" s="34" t="s">
        <v>46</v>
      </c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28"/>
      <c r="W336" s="28"/>
      <c r="X336" s="28"/>
      <c r="Y336" s="28"/>
      <c r="Z336" s="28"/>
      <c r="AA336" s="30">
        <f t="shared" si="117"/>
        <v>0</v>
      </c>
      <c r="AB336" s="31"/>
      <c r="AC336" s="9"/>
    </row>
    <row r="337">
      <c r="A337" s="35" t="s">
        <v>47</v>
      </c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7"/>
      <c r="AA337" s="38"/>
      <c r="AB337" s="39"/>
      <c r="AC337" s="2"/>
    </row>
    <row r="338">
      <c r="A338" s="40" t="s">
        <v>48</v>
      </c>
      <c r="B338" s="41"/>
      <c r="C338" s="42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3"/>
      <c r="W338" s="43"/>
      <c r="X338" s="43"/>
      <c r="Y338" s="43"/>
      <c r="Z338" s="43"/>
      <c r="AA338" s="44">
        <f t="shared" ref="AA338:AA339" si="118">SUM(B338:Z338)</f>
        <v>0</v>
      </c>
      <c r="AB338" s="31"/>
      <c r="AC338" s="2"/>
    </row>
    <row r="339">
      <c r="A339" s="40" t="s">
        <v>49</v>
      </c>
      <c r="B339" s="41"/>
      <c r="C339" s="42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3"/>
      <c r="W339" s="43"/>
      <c r="X339" s="43"/>
      <c r="Y339" s="43"/>
      <c r="Z339" s="43"/>
      <c r="AA339" s="44">
        <f t="shared" si="118"/>
        <v>0</v>
      </c>
      <c r="AB339" s="31"/>
      <c r="AC339" s="2"/>
    </row>
    <row r="340">
      <c r="A340" s="40" t="s">
        <v>50</v>
      </c>
      <c r="B340" s="42"/>
      <c r="C340" s="42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3"/>
      <c r="W340" s="43"/>
      <c r="X340" s="43"/>
      <c r="Y340" s="43"/>
      <c r="Z340" s="43"/>
      <c r="AA340" s="44" t="str">
        <f>AVERAGE(B340:Z340)</f>
        <v>#DIV/0!</v>
      </c>
      <c r="AB340" s="31"/>
      <c r="AC340" s="2"/>
    </row>
    <row r="341">
      <c r="A341" s="45" t="s">
        <v>51</v>
      </c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7"/>
      <c r="AA341" s="46"/>
      <c r="AB341" s="39"/>
      <c r="AC341" s="2"/>
    </row>
    <row r="342">
      <c r="A342" s="47" t="s">
        <v>48</v>
      </c>
      <c r="B342" s="48"/>
      <c r="C342" s="49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50"/>
      <c r="W342" s="50"/>
      <c r="X342" s="50"/>
      <c r="Y342" s="50"/>
      <c r="Z342" s="50"/>
      <c r="AA342" s="51">
        <f t="shared" ref="AA342:AA343" si="119">SUM(B342:Z342)</f>
        <v>0</v>
      </c>
      <c r="AB342" s="31"/>
      <c r="AC342" s="2"/>
    </row>
    <row r="343">
      <c r="A343" s="47" t="s">
        <v>49</v>
      </c>
      <c r="B343" s="48"/>
      <c r="C343" s="49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50"/>
      <c r="W343" s="50"/>
      <c r="X343" s="50"/>
      <c r="Y343" s="50"/>
      <c r="Z343" s="50"/>
      <c r="AA343" s="51">
        <f t="shared" si="119"/>
        <v>0</v>
      </c>
      <c r="AB343" s="31"/>
      <c r="AC343" s="2"/>
    </row>
    <row r="344">
      <c r="A344" s="47" t="s">
        <v>50</v>
      </c>
      <c r="B344" s="49"/>
      <c r="C344" s="49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50"/>
      <c r="W344" s="50"/>
      <c r="X344" s="50"/>
      <c r="Y344" s="50"/>
      <c r="Z344" s="50"/>
      <c r="AA344" s="51" t="str">
        <f>AVERAGE(B344:Z344)</f>
        <v>#DIV/0!</v>
      </c>
      <c r="AB344" s="31"/>
      <c r="AC344" s="2"/>
    </row>
    <row r="345">
      <c r="A345" s="52" t="s">
        <v>53</v>
      </c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7"/>
      <c r="AA345" s="38"/>
      <c r="AB345" s="39"/>
      <c r="AC345" s="2"/>
    </row>
    <row r="346">
      <c r="A346" s="40" t="s">
        <v>48</v>
      </c>
      <c r="B346" s="41"/>
      <c r="C346" s="42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3"/>
      <c r="W346" s="43"/>
      <c r="X346" s="43"/>
      <c r="Y346" s="43"/>
      <c r="Z346" s="43"/>
      <c r="AA346" s="44">
        <f t="shared" ref="AA346:AA347" si="120">SUM(B346:Z346)</f>
        <v>0</v>
      </c>
      <c r="AB346" s="31"/>
      <c r="AC346" s="2"/>
    </row>
    <row r="347">
      <c r="A347" s="40" t="s">
        <v>49</v>
      </c>
      <c r="B347" s="41"/>
      <c r="C347" s="42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3"/>
      <c r="W347" s="43"/>
      <c r="X347" s="43"/>
      <c r="Y347" s="43"/>
      <c r="Z347" s="43"/>
      <c r="AA347" s="44">
        <f t="shared" si="120"/>
        <v>0</v>
      </c>
      <c r="AB347" s="31"/>
      <c r="AC347" s="2"/>
    </row>
    <row r="348">
      <c r="A348" s="53" t="s">
        <v>50</v>
      </c>
      <c r="B348" s="54"/>
      <c r="C348" s="54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6"/>
      <c r="W348" s="56"/>
      <c r="X348" s="56"/>
      <c r="Y348" s="56"/>
      <c r="Z348" s="56"/>
      <c r="AA348" s="57" t="str">
        <f>AVERAGE(B348:Z348)</f>
        <v>#DIV/0!</v>
      </c>
      <c r="AB348" s="58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59"/>
      <c r="AB349" s="59"/>
      <c r="AC349" s="2"/>
    </row>
    <row r="350">
      <c r="A350" s="71" t="s">
        <v>54</v>
      </c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5" t="s">
        <v>37</v>
      </c>
      <c r="AB350" s="16" t="s">
        <v>38</v>
      </c>
      <c r="AC350" s="2"/>
    </row>
    <row r="351">
      <c r="A351" s="17" t="s">
        <v>39</v>
      </c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20">
        <f t="shared" ref="AA351:AA355" si="121">SUM(B351:Z351)</f>
        <v>0</v>
      </c>
      <c r="AB351" s="21" t="str">
        <f t="shared" ref="AB351:AB354" si="122">AA351/(COUNT(B351:Z351)*1)</f>
        <v>#DIV/0!</v>
      </c>
      <c r="AC351" s="2"/>
    </row>
    <row r="352">
      <c r="A352" s="17" t="s">
        <v>40</v>
      </c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20">
        <f t="shared" si="121"/>
        <v>0</v>
      </c>
      <c r="AB352" s="21" t="str">
        <f t="shared" si="122"/>
        <v>#DIV/0!</v>
      </c>
      <c r="AC352" s="2"/>
    </row>
    <row r="353">
      <c r="A353" s="17" t="s">
        <v>41</v>
      </c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20">
        <f t="shared" si="121"/>
        <v>0</v>
      </c>
      <c r="AB353" s="21" t="str">
        <f t="shared" si="122"/>
        <v>#DIV/0!</v>
      </c>
      <c r="AC353" s="2"/>
    </row>
    <row r="354">
      <c r="A354" s="17" t="s">
        <v>42</v>
      </c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20">
        <f t="shared" si="121"/>
        <v>0</v>
      </c>
      <c r="AB354" s="21" t="str">
        <f t="shared" si="122"/>
        <v>#DIV/0!</v>
      </c>
      <c r="AC354" s="2"/>
    </row>
    <row r="355">
      <c r="A355" s="17" t="s">
        <v>43</v>
      </c>
      <c r="B355" s="22">
        <f t="shared" ref="B355:Z355" si="123">SUM(B351:B354)</f>
        <v>0</v>
      </c>
      <c r="C355" s="22">
        <f t="shared" si="123"/>
        <v>0</v>
      </c>
      <c r="D355" s="22">
        <f t="shared" si="123"/>
        <v>0</v>
      </c>
      <c r="E355" s="22">
        <f t="shared" si="123"/>
        <v>0</v>
      </c>
      <c r="F355" s="22">
        <f t="shared" si="123"/>
        <v>0</v>
      </c>
      <c r="G355" s="22">
        <f t="shared" si="123"/>
        <v>0</v>
      </c>
      <c r="H355" s="22">
        <f t="shared" si="123"/>
        <v>0</v>
      </c>
      <c r="I355" s="22">
        <f t="shared" si="123"/>
        <v>0</v>
      </c>
      <c r="J355" s="22">
        <f t="shared" si="123"/>
        <v>0</v>
      </c>
      <c r="K355" s="22">
        <f t="shared" si="123"/>
        <v>0</v>
      </c>
      <c r="L355" s="22">
        <f t="shared" si="123"/>
        <v>0</v>
      </c>
      <c r="M355" s="22">
        <f t="shared" si="123"/>
        <v>0</v>
      </c>
      <c r="N355" s="22">
        <f t="shared" si="123"/>
        <v>0</v>
      </c>
      <c r="O355" s="22">
        <f t="shared" si="123"/>
        <v>0</v>
      </c>
      <c r="P355" s="22">
        <f t="shared" si="123"/>
        <v>0</v>
      </c>
      <c r="Q355" s="22">
        <f t="shared" si="123"/>
        <v>0</v>
      </c>
      <c r="R355" s="22">
        <f t="shared" si="123"/>
        <v>0</v>
      </c>
      <c r="S355" s="22">
        <f t="shared" si="123"/>
        <v>0</v>
      </c>
      <c r="T355" s="22">
        <f t="shared" si="123"/>
        <v>0</v>
      </c>
      <c r="U355" s="22">
        <f t="shared" si="123"/>
        <v>0</v>
      </c>
      <c r="V355" s="22">
        <f t="shared" si="123"/>
        <v>0</v>
      </c>
      <c r="W355" s="22">
        <f t="shared" si="123"/>
        <v>0</v>
      </c>
      <c r="X355" s="22">
        <f t="shared" si="123"/>
        <v>0</v>
      </c>
      <c r="Y355" s="22">
        <f t="shared" si="123"/>
        <v>0</v>
      </c>
      <c r="Z355" s="22">
        <f t="shared" si="123"/>
        <v>0</v>
      </c>
      <c r="AA355" s="20">
        <f t="shared" si="121"/>
        <v>0</v>
      </c>
      <c r="AB355" s="23"/>
      <c r="AC355" s="2"/>
    </row>
    <row r="356">
      <c r="A356" s="17" t="s">
        <v>38</v>
      </c>
      <c r="B356" s="24" t="str">
        <f t="shared" ref="B356:Z356" si="124">B355/(COUNT(B351:B354)*1)</f>
        <v>#DIV/0!</v>
      </c>
      <c r="C356" s="24" t="str">
        <f t="shared" si="124"/>
        <v>#DIV/0!</v>
      </c>
      <c r="D356" s="24" t="str">
        <f t="shared" si="124"/>
        <v>#DIV/0!</v>
      </c>
      <c r="E356" s="24" t="str">
        <f t="shared" si="124"/>
        <v>#DIV/0!</v>
      </c>
      <c r="F356" s="24" t="str">
        <f t="shared" si="124"/>
        <v>#DIV/0!</v>
      </c>
      <c r="G356" s="24" t="str">
        <f t="shared" si="124"/>
        <v>#DIV/0!</v>
      </c>
      <c r="H356" s="24" t="str">
        <f t="shared" si="124"/>
        <v>#DIV/0!</v>
      </c>
      <c r="I356" s="24" t="str">
        <f t="shared" si="124"/>
        <v>#DIV/0!</v>
      </c>
      <c r="J356" s="24" t="str">
        <f t="shared" si="124"/>
        <v>#DIV/0!</v>
      </c>
      <c r="K356" s="24" t="str">
        <f t="shared" si="124"/>
        <v>#DIV/0!</v>
      </c>
      <c r="L356" s="24" t="str">
        <f t="shared" si="124"/>
        <v>#DIV/0!</v>
      </c>
      <c r="M356" s="24" t="str">
        <f t="shared" si="124"/>
        <v>#DIV/0!</v>
      </c>
      <c r="N356" s="24" t="str">
        <f t="shared" si="124"/>
        <v>#DIV/0!</v>
      </c>
      <c r="O356" s="24" t="str">
        <f t="shared" si="124"/>
        <v>#DIV/0!</v>
      </c>
      <c r="P356" s="24" t="str">
        <f t="shared" si="124"/>
        <v>#DIV/0!</v>
      </c>
      <c r="Q356" s="24" t="str">
        <f t="shared" si="124"/>
        <v>#DIV/0!</v>
      </c>
      <c r="R356" s="24" t="str">
        <f t="shared" si="124"/>
        <v>#DIV/0!</v>
      </c>
      <c r="S356" s="24" t="str">
        <f t="shared" si="124"/>
        <v>#DIV/0!</v>
      </c>
      <c r="T356" s="24" t="str">
        <f t="shared" si="124"/>
        <v>#DIV/0!</v>
      </c>
      <c r="U356" s="24" t="str">
        <f t="shared" si="124"/>
        <v>#DIV/0!</v>
      </c>
      <c r="V356" s="24" t="str">
        <f t="shared" si="124"/>
        <v>#DIV/0!</v>
      </c>
      <c r="W356" s="24" t="str">
        <f t="shared" si="124"/>
        <v>#DIV/0!</v>
      </c>
      <c r="X356" s="24" t="str">
        <f t="shared" si="124"/>
        <v>#DIV/0!</v>
      </c>
      <c r="Y356" s="24" t="str">
        <f t="shared" si="124"/>
        <v>#DIV/0!</v>
      </c>
      <c r="Z356" s="24" t="str">
        <f t="shared" si="124"/>
        <v>#DIV/0!</v>
      </c>
      <c r="AA356" s="25"/>
      <c r="AB356" s="26" t="str">
        <f>SUM(AB351:AB354)/4</f>
        <v>#DIV/0!</v>
      </c>
      <c r="AC356" s="2"/>
    </row>
    <row r="357">
      <c r="A357" s="27" t="s">
        <v>44</v>
      </c>
      <c r="B357" s="28"/>
      <c r="C357" s="29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30">
        <f t="shared" ref="AA357:AA359" si="125">SUM(B357:Z357)</f>
        <v>0</v>
      </c>
      <c r="AB357" s="31"/>
      <c r="AC357" s="2"/>
    </row>
    <row r="358">
      <c r="A358" s="32" t="s">
        <v>45</v>
      </c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28"/>
      <c r="W358" s="28"/>
      <c r="X358" s="28"/>
      <c r="Y358" s="28"/>
      <c r="Z358" s="28"/>
      <c r="AA358" s="30">
        <f t="shared" si="125"/>
        <v>0</v>
      </c>
      <c r="AB358" s="31"/>
      <c r="AC358" s="9"/>
    </row>
    <row r="359">
      <c r="A359" s="34" t="s">
        <v>46</v>
      </c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28"/>
      <c r="W359" s="28"/>
      <c r="X359" s="28"/>
      <c r="Y359" s="28"/>
      <c r="Z359" s="28"/>
      <c r="AA359" s="30">
        <f t="shared" si="125"/>
        <v>0</v>
      </c>
      <c r="AB359" s="31"/>
      <c r="AC359" s="9"/>
    </row>
    <row r="360">
      <c r="A360" s="35" t="s">
        <v>47</v>
      </c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7"/>
      <c r="AA360" s="38"/>
      <c r="AB360" s="39"/>
      <c r="AC360" s="2"/>
    </row>
    <row r="361">
      <c r="A361" s="40" t="s">
        <v>48</v>
      </c>
      <c r="B361" s="41"/>
      <c r="C361" s="42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3"/>
      <c r="W361" s="43"/>
      <c r="X361" s="43"/>
      <c r="Y361" s="43"/>
      <c r="Z361" s="43"/>
      <c r="AA361" s="44">
        <f t="shared" ref="AA361:AA362" si="126">SUM(B361:Z361)</f>
        <v>0</v>
      </c>
      <c r="AB361" s="31"/>
      <c r="AC361" s="2"/>
    </row>
    <row r="362">
      <c r="A362" s="40" t="s">
        <v>49</v>
      </c>
      <c r="B362" s="41"/>
      <c r="C362" s="42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3"/>
      <c r="W362" s="43"/>
      <c r="X362" s="43"/>
      <c r="Y362" s="43"/>
      <c r="Z362" s="43"/>
      <c r="AA362" s="44">
        <f t="shared" si="126"/>
        <v>0</v>
      </c>
      <c r="AB362" s="31"/>
      <c r="AC362" s="2"/>
    </row>
    <row r="363">
      <c r="A363" s="40" t="s">
        <v>50</v>
      </c>
      <c r="B363" s="42"/>
      <c r="C363" s="42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3"/>
      <c r="W363" s="43"/>
      <c r="X363" s="43"/>
      <c r="Y363" s="43"/>
      <c r="Z363" s="43"/>
      <c r="AA363" s="44" t="str">
        <f>AVERAGE(B363:Z363)</f>
        <v>#DIV/0!</v>
      </c>
      <c r="AB363" s="31"/>
      <c r="AC363" s="2"/>
    </row>
    <row r="364">
      <c r="A364" s="45" t="s">
        <v>51</v>
      </c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7"/>
      <c r="AA364" s="46"/>
      <c r="AB364" s="39"/>
      <c r="AC364" s="2"/>
    </row>
    <row r="365">
      <c r="A365" s="47" t="s">
        <v>48</v>
      </c>
      <c r="B365" s="48"/>
      <c r="C365" s="49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50"/>
      <c r="W365" s="50"/>
      <c r="X365" s="50"/>
      <c r="Y365" s="50"/>
      <c r="Z365" s="50"/>
      <c r="AA365" s="51">
        <f t="shared" ref="AA365:AA366" si="127">SUM(B365:Z365)</f>
        <v>0</v>
      </c>
      <c r="AB365" s="31"/>
      <c r="AC365" s="2"/>
    </row>
    <row r="366">
      <c r="A366" s="47" t="s">
        <v>49</v>
      </c>
      <c r="B366" s="48"/>
      <c r="C366" s="49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50"/>
      <c r="W366" s="50"/>
      <c r="X366" s="50"/>
      <c r="Y366" s="50"/>
      <c r="Z366" s="50"/>
      <c r="AA366" s="51">
        <f t="shared" si="127"/>
        <v>0</v>
      </c>
      <c r="AB366" s="31"/>
      <c r="AC366" s="2"/>
    </row>
    <row r="367">
      <c r="A367" s="47" t="s">
        <v>50</v>
      </c>
      <c r="B367" s="49"/>
      <c r="C367" s="49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50"/>
      <c r="W367" s="50"/>
      <c r="X367" s="50"/>
      <c r="Y367" s="50"/>
      <c r="Z367" s="50"/>
      <c r="AA367" s="51" t="str">
        <f>AVERAGE(B367:Z367)</f>
        <v>#DIV/0!</v>
      </c>
      <c r="AB367" s="31"/>
      <c r="AC367" s="2"/>
    </row>
    <row r="368">
      <c r="A368" s="52" t="s">
        <v>53</v>
      </c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8"/>
      <c r="AB368" s="39"/>
      <c r="AC368" s="2"/>
    </row>
    <row r="369">
      <c r="A369" s="40" t="s">
        <v>48</v>
      </c>
      <c r="B369" s="41"/>
      <c r="C369" s="42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3"/>
      <c r="W369" s="43"/>
      <c r="X369" s="43"/>
      <c r="Y369" s="43"/>
      <c r="Z369" s="43"/>
      <c r="AA369" s="44">
        <f t="shared" ref="AA369:AA370" si="128">SUM(B369:Z369)</f>
        <v>0</v>
      </c>
      <c r="AB369" s="31"/>
      <c r="AC369" s="2"/>
    </row>
    <row r="370">
      <c r="A370" s="40" t="s">
        <v>49</v>
      </c>
      <c r="B370" s="41"/>
      <c r="C370" s="42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3"/>
      <c r="W370" s="43"/>
      <c r="X370" s="43"/>
      <c r="Y370" s="43"/>
      <c r="Z370" s="43"/>
      <c r="AA370" s="44">
        <f t="shared" si="128"/>
        <v>0</v>
      </c>
      <c r="AB370" s="31"/>
      <c r="AC370" s="2"/>
    </row>
    <row r="371">
      <c r="A371" s="53" t="s">
        <v>50</v>
      </c>
      <c r="B371" s="54"/>
      <c r="C371" s="54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6"/>
      <c r="W371" s="56"/>
      <c r="X371" s="56"/>
      <c r="Y371" s="56"/>
      <c r="Z371" s="56"/>
      <c r="AA371" s="57" t="str">
        <f>AVERAGE(B371:Z371)</f>
        <v>#DIV/0!</v>
      </c>
      <c r="AB371" s="58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59"/>
      <c r="AB372" s="59"/>
      <c r="AC372" s="2"/>
    </row>
    <row r="373">
      <c r="A373" s="71" t="s">
        <v>54</v>
      </c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5" t="s">
        <v>37</v>
      </c>
      <c r="AB373" s="16" t="s">
        <v>38</v>
      </c>
      <c r="AC373" s="2"/>
    </row>
    <row r="374">
      <c r="A374" s="17" t="s">
        <v>39</v>
      </c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20">
        <f t="shared" ref="AA374:AA378" si="129">SUM(B374:Z374)</f>
        <v>0</v>
      </c>
      <c r="AB374" s="21" t="str">
        <f t="shared" ref="AB374:AB377" si="130">AA374/(COUNT(B374:Z374)*1)</f>
        <v>#DIV/0!</v>
      </c>
      <c r="AC374" s="2"/>
    </row>
    <row r="375">
      <c r="A375" s="17" t="s">
        <v>40</v>
      </c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20">
        <f t="shared" si="129"/>
        <v>0</v>
      </c>
      <c r="AB375" s="21" t="str">
        <f t="shared" si="130"/>
        <v>#DIV/0!</v>
      </c>
      <c r="AC375" s="2"/>
    </row>
    <row r="376">
      <c r="A376" s="17" t="s">
        <v>41</v>
      </c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20">
        <f t="shared" si="129"/>
        <v>0</v>
      </c>
      <c r="AB376" s="21" t="str">
        <f t="shared" si="130"/>
        <v>#DIV/0!</v>
      </c>
      <c r="AC376" s="2"/>
    </row>
    <row r="377">
      <c r="A377" s="17" t="s">
        <v>42</v>
      </c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20">
        <f t="shared" si="129"/>
        <v>0</v>
      </c>
      <c r="AB377" s="21" t="str">
        <f t="shared" si="130"/>
        <v>#DIV/0!</v>
      </c>
      <c r="AC377" s="2"/>
    </row>
    <row r="378">
      <c r="A378" s="17" t="s">
        <v>43</v>
      </c>
      <c r="B378" s="22">
        <f t="shared" ref="B378:Z378" si="131">SUM(B374:B377)</f>
        <v>0</v>
      </c>
      <c r="C378" s="22">
        <f t="shared" si="131"/>
        <v>0</v>
      </c>
      <c r="D378" s="22">
        <f t="shared" si="131"/>
        <v>0</v>
      </c>
      <c r="E378" s="22">
        <f t="shared" si="131"/>
        <v>0</v>
      </c>
      <c r="F378" s="22">
        <f t="shared" si="131"/>
        <v>0</v>
      </c>
      <c r="G378" s="22">
        <f t="shared" si="131"/>
        <v>0</v>
      </c>
      <c r="H378" s="22">
        <f t="shared" si="131"/>
        <v>0</v>
      </c>
      <c r="I378" s="22">
        <f t="shared" si="131"/>
        <v>0</v>
      </c>
      <c r="J378" s="22">
        <f t="shared" si="131"/>
        <v>0</v>
      </c>
      <c r="K378" s="22">
        <f t="shared" si="131"/>
        <v>0</v>
      </c>
      <c r="L378" s="22">
        <f t="shared" si="131"/>
        <v>0</v>
      </c>
      <c r="M378" s="22">
        <f t="shared" si="131"/>
        <v>0</v>
      </c>
      <c r="N378" s="22">
        <f t="shared" si="131"/>
        <v>0</v>
      </c>
      <c r="O378" s="22">
        <f t="shared" si="131"/>
        <v>0</v>
      </c>
      <c r="P378" s="22">
        <f t="shared" si="131"/>
        <v>0</v>
      </c>
      <c r="Q378" s="22">
        <f t="shared" si="131"/>
        <v>0</v>
      </c>
      <c r="R378" s="22">
        <f t="shared" si="131"/>
        <v>0</v>
      </c>
      <c r="S378" s="22">
        <f t="shared" si="131"/>
        <v>0</v>
      </c>
      <c r="T378" s="22">
        <f t="shared" si="131"/>
        <v>0</v>
      </c>
      <c r="U378" s="22">
        <f t="shared" si="131"/>
        <v>0</v>
      </c>
      <c r="V378" s="22">
        <f t="shared" si="131"/>
        <v>0</v>
      </c>
      <c r="W378" s="22">
        <f t="shared" si="131"/>
        <v>0</v>
      </c>
      <c r="X378" s="22">
        <f t="shared" si="131"/>
        <v>0</v>
      </c>
      <c r="Y378" s="22">
        <f t="shared" si="131"/>
        <v>0</v>
      </c>
      <c r="Z378" s="22">
        <f t="shared" si="131"/>
        <v>0</v>
      </c>
      <c r="AA378" s="20">
        <f t="shared" si="129"/>
        <v>0</v>
      </c>
      <c r="AB378" s="23"/>
      <c r="AC378" s="2"/>
    </row>
    <row r="379">
      <c r="A379" s="17" t="s">
        <v>38</v>
      </c>
      <c r="B379" s="24" t="str">
        <f t="shared" ref="B379:Z379" si="132">B378/(COUNT(B374:B377)*1)</f>
        <v>#DIV/0!</v>
      </c>
      <c r="C379" s="24" t="str">
        <f t="shared" si="132"/>
        <v>#DIV/0!</v>
      </c>
      <c r="D379" s="24" t="str">
        <f t="shared" si="132"/>
        <v>#DIV/0!</v>
      </c>
      <c r="E379" s="24" t="str">
        <f t="shared" si="132"/>
        <v>#DIV/0!</v>
      </c>
      <c r="F379" s="24" t="str">
        <f t="shared" si="132"/>
        <v>#DIV/0!</v>
      </c>
      <c r="G379" s="24" t="str">
        <f t="shared" si="132"/>
        <v>#DIV/0!</v>
      </c>
      <c r="H379" s="24" t="str">
        <f t="shared" si="132"/>
        <v>#DIV/0!</v>
      </c>
      <c r="I379" s="24" t="str">
        <f t="shared" si="132"/>
        <v>#DIV/0!</v>
      </c>
      <c r="J379" s="24" t="str">
        <f t="shared" si="132"/>
        <v>#DIV/0!</v>
      </c>
      <c r="K379" s="24" t="str">
        <f t="shared" si="132"/>
        <v>#DIV/0!</v>
      </c>
      <c r="L379" s="24" t="str">
        <f t="shared" si="132"/>
        <v>#DIV/0!</v>
      </c>
      <c r="M379" s="24" t="str">
        <f t="shared" si="132"/>
        <v>#DIV/0!</v>
      </c>
      <c r="N379" s="24" t="str">
        <f t="shared" si="132"/>
        <v>#DIV/0!</v>
      </c>
      <c r="O379" s="24" t="str">
        <f t="shared" si="132"/>
        <v>#DIV/0!</v>
      </c>
      <c r="P379" s="24" t="str">
        <f t="shared" si="132"/>
        <v>#DIV/0!</v>
      </c>
      <c r="Q379" s="24" t="str">
        <f t="shared" si="132"/>
        <v>#DIV/0!</v>
      </c>
      <c r="R379" s="24" t="str">
        <f t="shared" si="132"/>
        <v>#DIV/0!</v>
      </c>
      <c r="S379" s="24" t="str">
        <f t="shared" si="132"/>
        <v>#DIV/0!</v>
      </c>
      <c r="T379" s="24" t="str">
        <f t="shared" si="132"/>
        <v>#DIV/0!</v>
      </c>
      <c r="U379" s="24" t="str">
        <f t="shared" si="132"/>
        <v>#DIV/0!</v>
      </c>
      <c r="V379" s="24" t="str">
        <f t="shared" si="132"/>
        <v>#DIV/0!</v>
      </c>
      <c r="W379" s="24" t="str">
        <f t="shared" si="132"/>
        <v>#DIV/0!</v>
      </c>
      <c r="X379" s="24" t="str">
        <f t="shared" si="132"/>
        <v>#DIV/0!</v>
      </c>
      <c r="Y379" s="24" t="str">
        <f t="shared" si="132"/>
        <v>#DIV/0!</v>
      </c>
      <c r="Z379" s="24" t="str">
        <f t="shared" si="132"/>
        <v>#DIV/0!</v>
      </c>
      <c r="AA379" s="25"/>
      <c r="AB379" s="26" t="str">
        <f>SUM(AB374:AB377)/4</f>
        <v>#DIV/0!</v>
      </c>
      <c r="AC379" s="2"/>
    </row>
    <row r="380">
      <c r="A380" s="27" t="s">
        <v>44</v>
      </c>
      <c r="B380" s="28"/>
      <c r="C380" s="29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30">
        <f t="shared" ref="AA380:AA382" si="133">SUM(B380:Z380)</f>
        <v>0</v>
      </c>
      <c r="AB380" s="31"/>
      <c r="AC380" s="2"/>
    </row>
    <row r="381">
      <c r="A381" s="32" t="s">
        <v>45</v>
      </c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28"/>
      <c r="W381" s="28"/>
      <c r="X381" s="28"/>
      <c r="Y381" s="28"/>
      <c r="Z381" s="28"/>
      <c r="AA381" s="30">
        <f t="shared" si="133"/>
        <v>0</v>
      </c>
      <c r="AB381" s="31"/>
      <c r="AC381" s="9"/>
    </row>
    <row r="382">
      <c r="A382" s="34" t="s">
        <v>46</v>
      </c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28"/>
      <c r="W382" s="28"/>
      <c r="X382" s="28"/>
      <c r="Y382" s="28"/>
      <c r="Z382" s="28"/>
      <c r="AA382" s="30">
        <f t="shared" si="133"/>
        <v>0</v>
      </c>
      <c r="AB382" s="31"/>
      <c r="AC382" s="9"/>
    </row>
    <row r="383">
      <c r="A383" s="35" t="s">
        <v>47</v>
      </c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7"/>
      <c r="AA383" s="38"/>
      <c r="AB383" s="39"/>
      <c r="AC383" s="2"/>
    </row>
    <row r="384">
      <c r="A384" s="40" t="s">
        <v>48</v>
      </c>
      <c r="B384" s="41"/>
      <c r="C384" s="42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3"/>
      <c r="W384" s="43"/>
      <c r="X384" s="43"/>
      <c r="Y384" s="43"/>
      <c r="Z384" s="43"/>
      <c r="AA384" s="44">
        <f t="shared" ref="AA384:AA385" si="134">SUM(B384:Z384)</f>
        <v>0</v>
      </c>
      <c r="AB384" s="31"/>
      <c r="AC384" s="2"/>
    </row>
    <row r="385">
      <c r="A385" s="40" t="s">
        <v>49</v>
      </c>
      <c r="B385" s="41"/>
      <c r="C385" s="42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3"/>
      <c r="W385" s="43"/>
      <c r="X385" s="43"/>
      <c r="Y385" s="43"/>
      <c r="Z385" s="43"/>
      <c r="AA385" s="44">
        <f t="shared" si="134"/>
        <v>0</v>
      </c>
      <c r="AB385" s="31"/>
      <c r="AC385" s="2"/>
    </row>
    <row r="386">
      <c r="A386" s="40" t="s">
        <v>50</v>
      </c>
      <c r="B386" s="42"/>
      <c r="C386" s="42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3"/>
      <c r="W386" s="43"/>
      <c r="X386" s="43"/>
      <c r="Y386" s="43"/>
      <c r="Z386" s="43"/>
      <c r="AA386" s="44" t="str">
        <f>AVERAGE(B386:Z386)</f>
        <v>#DIV/0!</v>
      </c>
      <c r="AB386" s="31"/>
      <c r="AC386" s="2"/>
    </row>
    <row r="387">
      <c r="A387" s="45" t="s">
        <v>51</v>
      </c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7"/>
      <c r="AA387" s="46"/>
      <c r="AB387" s="39"/>
      <c r="AC387" s="2"/>
    </row>
    <row r="388">
      <c r="A388" s="47" t="s">
        <v>48</v>
      </c>
      <c r="B388" s="48"/>
      <c r="C388" s="49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50"/>
      <c r="W388" s="50"/>
      <c r="X388" s="50"/>
      <c r="Y388" s="50"/>
      <c r="Z388" s="50"/>
      <c r="AA388" s="51">
        <f t="shared" ref="AA388:AA389" si="135">SUM(B388:Z388)</f>
        <v>0</v>
      </c>
      <c r="AB388" s="31"/>
      <c r="AC388" s="2"/>
    </row>
    <row r="389">
      <c r="A389" s="47" t="s">
        <v>49</v>
      </c>
      <c r="B389" s="48"/>
      <c r="C389" s="49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50"/>
      <c r="W389" s="50"/>
      <c r="X389" s="50"/>
      <c r="Y389" s="50"/>
      <c r="Z389" s="50"/>
      <c r="AA389" s="51">
        <f t="shared" si="135"/>
        <v>0</v>
      </c>
      <c r="AB389" s="31"/>
      <c r="AC389" s="2"/>
    </row>
    <row r="390">
      <c r="A390" s="47" t="s">
        <v>50</v>
      </c>
      <c r="B390" s="49"/>
      <c r="C390" s="49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50"/>
      <c r="W390" s="50"/>
      <c r="X390" s="50"/>
      <c r="Y390" s="50"/>
      <c r="Z390" s="50"/>
      <c r="AA390" s="51" t="str">
        <f>AVERAGE(B390:Z390)</f>
        <v>#DIV/0!</v>
      </c>
      <c r="AB390" s="31"/>
      <c r="AC390" s="2"/>
    </row>
    <row r="391">
      <c r="A391" s="52" t="s">
        <v>53</v>
      </c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7"/>
      <c r="AA391" s="38"/>
      <c r="AB391" s="39"/>
      <c r="AC391" s="2"/>
    </row>
    <row r="392">
      <c r="A392" s="40" t="s">
        <v>48</v>
      </c>
      <c r="B392" s="41"/>
      <c r="C392" s="42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3"/>
      <c r="W392" s="43"/>
      <c r="X392" s="43"/>
      <c r="Y392" s="43"/>
      <c r="Z392" s="43"/>
      <c r="AA392" s="44">
        <f t="shared" ref="AA392:AA393" si="136">SUM(B392:Z392)</f>
        <v>0</v>
      </c>
      <c r="AB392" s="31"/>
      <c r="AC392" s="2"/>
    </row>
    <row r="393">
      <c r="A393" s="40" t="s">
        <v>49</v>
      </c>
      <c r="B393" s="41"/>
      <c r="C393" s="42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3"/>
      <c r="W393" s="43"/>
      <c r="X393" s="43"/>
      <c r="Y393" s="43"/>
      <c r="Z393" s="43"/>
      <c r="AA393" s="44">
        <f t="shared" si="136"/>
        <v>0</v>
      </c>
      <c r="AB393" s="31"/>
      <c r="AC393" s="2"/>
    </row>
    <row r="394">
      <c r="A394" s="53" t="s">
        <v>50</v>
      </c>
      <c r="B394" s="54"/>
      <c r="C394" s="54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6"/>
      <c r="W394" s="56"/>
      <c r="X394" s="56"/>
      <c r="Y394" s="56"/>
      <c r="Z394" s="56"/>
      <c r="AA394" s="57" t="str">
        <f>AVERAGE(B394:Z394)</f>
        <v>#DIV/0!</v>
      </c>
      <c r="AB394" s="58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59"/>
      <c r="AB395" s="59"/>
      <c r="AC395" s="2"/>
    </row>
    <row r="396">
      <c r="A396" s="71" t="s">
        <v>54</v>
      </c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5" t="s">
        <v>37</v>
      </c>
      <c r="AB396" s="16" t="s">
        <v>38</v>
      </c>
      <c r="AC396" s="2"/>
    </row>
    <row r="397">
      <c r="A397" s="17" t="s">
        <v>39</v>
      </c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20">
        <f t="shared" ref="AA397:AA401" si="137">SUM(B397:Z397)</f>
        <v>0</v>
      </c>
      <c r="AB397" s="21" t="str">
        <f t="shared" ref="AB397:AB400" si="138">AA397/(COUNT(B397:Z397)*1)</f>
        <v>#DIV/0!</v>
      </c>
      <c r="AC397" s="2"/>
    </row>
    <row r="398">
      <c r="A398" s="17" t="s">
        <v>40</v>
      </c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20">
        <f t="shared" si="137"/>
        <v>0</v>
      </c>
      <c r="AB398" s="21" t="str">
        <f t="shared" si="138"/>
        <v>#DIV/0!</v>
      </c>
      <c r="AC398" s="2"/>
    </row>
    <row r="399">
      <c r="A399" s="17" t="s">
        <v>41</v>
      </c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20">
        <f t="shared" si="137"/>
        <v>0</v>
      </c>
      <c r="AB399" s="21" t="str">
        <f t="shared" si="138"/>
        <v>#DIV/0!</v>
      </c>
      <c r="AC399" s="2"/>
    </row>
    <row r="400">
      <c r="A400" s="17" t="s">
        <v>42</v>
      </c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20">
        <f t="shared" si="137"/>
        <v>0</v>
      </c>
      <c r="AB400" s="21" t="str">
        <f t="shared" si="138"/>
        <v>#DIV/0!</v>
      </c>
      <c r="AC400" s="2"/>
    </row>
    <row r="401">
      <c r="A401" s="17" t="s">
        <v>43</v>
      </c>
      <c r="B401" s="22">
        <f t="shared" ref="B401:Z401" si="139">SUM(B397:B400)</f>
        <v>0</v>
      </c>
      <c r="C401" s="22">
        <f t="shared" si="139"/>
        <v>0</v>
      </c>
      <c r="D401" s="22">
        <f t="shared" si="139"/>
        <v>0</v>
      </c>
      <c r="E401" s="22">
        <f t="shared" si="139"/>
        <v>0</v>
      </c>
      <c r="F401" s="22">
        <f t="shared" si="139"/>
        <v>0</v>
      </c>
      <c r="G401" s="22">
        <f t="shared" si="139"/>
        <v>0</v>
      </c>
      <c r="H401" s="22">
        <f t="shared" si="139"/>
        <v>0</v>
      </c>
      <c r="I401" s="22">
        <f t="shared" si="139"/>
        <v>0</v>
      </c>
      <c r="J401" s="22">
        <f t="shared" si="139"/>
        <v>0</v>
      </c>
      <c r="K401" s="22">
        <f t="shared" si="139"/>
        <v>0</v>
      </c>
      <c r="L401" s="22">
        <f t="shared" si="139"/>
        <v>0</v>
      </c>
      <c r="M401" s="22">
        <f t="shared" si="139"/>
        <v>0</v>
      </c>
      <c r="N401" s="22">
        <f t="shared" si="139"/>
        <v>0</v>
      </c>
      <c r="O401" s="22">
        <f t="shared" si="139"/>
        <v>0</v>
      </c>
      <c r="P401" s="22">
        <f t="shared" si="139"/>
        <v>0</v>
      </c>
      <c r="Q401" s="22">
        <f t="shared" si="139"/>
        <v>0</v>
      </c>
      <c r="R401" s="22">
        <f t="shared" si="139"/>
        <v>0</v>
      </c>
      <c r="S401" s="22">
        <f t="shared" si="139"/>
        <v>0</v>
      </c>
      <c r="T401" s="22">
        <f t="shared" si="139"/>
        <v>0</v>
      </c>
      <c r="U401" s="22">
        <f t="shared" si="139"/>
        <v>0</v>
      </c>
      <c r="V401" s="22">
        <f t="shared" si="139"/>
        <v>0</v>
      </c>
      <c r="W401" s="22">
        <f t="shared" si="139"/>
        <v>0</v>
      </c>
      <c r="X401" s="22">
        <f t="shared" si="139"/>
        <v>0</v>
      </c>
      <c r="Y401" s="22">
        <f t="shared" si="139"/>
        <v>0</v>
      </c>
      <c r="Z401" s="22">
        <f t="shared" si="139"/>
        <v>0</v>
      </c>
      <c r="AA401" s="20">
        <f t="shared" si="137"/>
        <v>0</v>
      </c>
      <c r="AB401" s="23"/>
      <c r="AC401" s="2"/>
    </row>
    <row r="402">
      <c r="A402" s="17" t="s">
        <v>38</v>
      </c>
      <c r="B402" s="24" t="str">
        <f t="shared" ref="B402:Z402" si="140">B401/(COUNT(B397:B400)*1)</f>
        <v>#DIV/0!</v>
      </c>
      <c r="C402" s="24" t="str">
        <f t="shared" si="140"/>
        <v>#DIV/0!</v>
      </c>
      <c r="D402" s="24" t="str">
        <f t="shared" si="140"/>
        <v>#DIV/0!</v>
      </c>
      <c r="E402" s="24" t="str">
        <f t="shared" si="140"/>
        <v>#DIV/0!</v>
      </c>
      <c r="F402" s="24" t="str">
        <f t="shared" si="140"/>
        <v>#DIV/0!</v>
      </c>
      <c r="G402" s="24" t="str">
        <f t="shared" si="140"/>
        <v>#DIV/0!</v>
      </c>
      <c r="H402" s="24" t="str">
        <f t="shared" si="140"/>
        <v>#DIV/0!</v>
      </c>
      <c r="I402" s="24" t="str">
        <f t="shared" si="140"/>
        <v>#DIV/0!</v>
      </c>
      <c r="J402" s="24" t="str">
        <f t="shared" si="140"/>
        <v>#DIV/0!</v>
      </c>
      <c r="K402" s="24" t="str">
        <f t="shared" si="140"/>
        <v>#DIV/0!</v>
      </c>
      <c r="L402" s="24" t="str">
        <f t="shared" si="140"/>
        <v>#DIV/0!</v>
      </c>
      <c r="M402" s="24" t="str">
        <f t="shared" si="140"/>
        <v>#DIV/0!</v>
      </c>
      <c r="N402" s="24" t="str">
        <f t="shared" si="140"/>
        <v>#DIV/0!</v>
      </c>
      <c r="O402" s="24" t="str">
        <f t="shared" si="140"/>
        <v>#DIV/0!</v>
      </c>
      <c r="P402" s="24" t="str">
        <f t="shared" si="140"/>
        <v>#DIV/0!</v>
      </c>
      <c r="Q402" s="24" t="str">
        <f t="shared" si="140"/>
        <v>#DIV/0!</v>
      </c>
      <c r="R402" s="24" t="str">
        <f t="shared" si="140"/>
        <v>#DIV/0!</v>
      </c>
      <c r="S402" s="24" t="str">
        <f t="shared" si="140"/>
        <v>#DIV/0!</v>
      </c>
      <c r="T402" s="24" t="str">
        <f t="shared" si="140"/>
        <v>#DIV/0!</v>
      </c>
      <c r="U402" s="24" t="str">
        <f t="shared" si="140"/>
        <v>#DIV/0!</v>
      </c>
      <c r="V402" s="24" t="str">
        <f t="shared" si="140"/>
        <v>#DIV/0!</v>
      </c>
      <c r="W402" s="24" t="str">
        <f t="shared" si="140"/>
        <v>#DIV/0!</v>
      </c>
      <c r="X402" s="24" t="str">
        <f t="shared" si="140"/>
        <v>#DIV/0!</v>
      </c>
      <c r="Y402" s="24" t="str">
        <f t="shared" si="140"/>
        <v>#DIV/0!</v>
      </c>
      <c r="Z402" s="24" t="str">
        <f t="shared" si="140"/>
        <v>#DIV/0!</v>
      </c>
      <c r="AA402" s="25"/>
      <c r="AB402" s="26" t="str">
        <f>SUM(AB397:AB400)/4</f>
        <v>#DIV/0!</v>
      </c>
      <c r="AC402" s="2"/>
    </row>
    <row r="403">
      <c r="A403" s="27" t="s">
        <v>44</v>
      </c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30">
        <f t="shared" ref="AA403:AA405" si="141">SUM(B403:Z403)</f>
        <v>0</v>
      </c>
      <c r="AB403" s="31"/>
      <c r="AC403" s="2"/>
    </row>
    <row r="404">
      <c r="A404" s="32" t="s">
        <v>45</v>
      </c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28"/>
      <c r="W404" s="28"/>
      <c r="X404" s="28"/>
      <c r="Y404" s="28"/>
      <c r="Z404" s="28"/>
      <c r="AA404" s="30">
        <f t="shared" si="141"/>
        <v>0</v>
      </c>
      <c r="AB404" s="31"/>
      <c r="AC404" s="9"/>
    </row>
    <row r="405">
      <c r="A405" s="34" t="s">
        <v>46</v>
      </c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28"/>
      <c r="W405" s="28"/>
      <c r="X405" s="28"/>
      <c r="Y405" s="28"/>
      <c r="Z405" s="28"/>
      <c r="AA405" s="30">
        <f t="shared" si="141"/>
        <v>0</v>
      </c>
      <c r="AB405" s="31"/>
      <c r="AC405" s="9"/>
    </row>
    <row r="406">
      <c r="A406" s="35" t="s">
        <v>47</v>
      </c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8"/>
      <c r="AB406" s="39"/>
      <c r="AC406" s="2"/>
    </row>
    <row r="407">
      <c r="A407" s="40" t="s">
        <v>48</v>
      </c>
      <c r="B407" s="41"/>
      <c r="C407" s="42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3"/>
      <c r="W407" s="43"/>
      <c r="X407" s="43"/>
      <c r="Y407" s="43"/>
      <c r="Z407" s="43"/>
      <c r="AA407" s="44">
        <f t="shared" ref="AA407:AA408" si="142">SUM(B407:Z407)</f>
        <v>0</v>
      </c>
      <c r="AB407" s="31"/>
      <c r="AC407" s="2"/>
    </row>
    <row r="408">
      <c r="A408" s="40" t="s">
        <v>49</v>
      </c>
      <c r="B408" s="41"/>
      <c r="C408" s="42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3"/>
      <c r="W408" s="43"/>
      <c r="X408" s="43"/>
      <c r="Y408" s="43"/>
      <c r="Z408" s="43"/>
      <c r="AA408" s="44">
        <f t="shared" si="142"/>
        <v>0</v>
      </c>
      <c r="AB408" s="31"/>
      <c r="AC408" s="2"/>
    </row>
    <row r="409">
      <c r="A409" s="40" t="s">
        <v>50</v>
      </c>
      <c r="B409" s="42"/>
      <c r="C409" s="42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3"/>
      <c r="W409" s="43"/>
      <c r="X409" s="43"/>
      <c r="Y409" s="43"/>
      <c r="Z409" s="43"/>
      <c r="AA409" s="44" t="str">
        <f>AVERAGE(B409:Z409)</f>
        <v>#DIV/0!</v>
      </c>
      <c r="AB409" s="31"/>
      <c r="AC409" s="2"/>
    </row>
    <row r="410">
      <c r="A410" s="45" t="s">
        <v>51</v>
      </c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7"/>
      <c r="AA410" s="46"/>
      <c r="AB410" s="39"/>
      <c r="AC410" s="2"/>
    </row>
    <row r="411">
      <c r="A411" s="47" t="s">
        <v>48</v>
      </c>
      <c r="B411" s="48"/>
      <c r="C411" s="49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50"/>
      <c r="W411" s="50"/>
      <c r="X411" s="50"/>
      <c r="Y411" s="50"/>
      <c r="Z411" s="50"/>
      <c r="AA411" s="51">
        <f t="shared" ref="AA411:AA412" si="143">SUM(B411:Z411)</f>
        <v>0</v>
      </c>
      <c r="AB411" s="31"/>
      <c r="AC411" s="2"/>
    </row>
    <row r="412">
      <c r="A412" s="47" t="s">
        <v>49</v>
      </c>
      <c r="B412" s="48"/>
      <c r="C412" s="49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50"/>
      <c r="W412" s="50"/>
      <c r="X412" s="50"/>
      <c r="Y412" s="50"/>
      <c r="Z412" s="50"/>
      <c r="AA412" s="51">
        <f t="shared" si="143"/>
        <v>0</v>
      </c>
      <c r="AB412" s="31"/>
      <c r="AC412" s="2"/>
    </row>
    <row r="413">
      <c r="A413" s="47" t="s">
        <v>50</v>
      </c>
      <c r="B413" s="49"/>
      <c r="C413" s="49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50"/>
      <c r="W413" s="50"/>
      <c r="X413" s="50"/>
      <c r="Y413" s="50"/>
      <c r="Z413" s="50"/>
      <c r="AA413" s="51" t="str">
        <f>AVERAGE(B413:Z413)</f>
        <v>#DIV/0!</v>
      </c>
      <c r="AB413" s="31"/>
      <c r="AC413" s="2"/>
    </row>
    <row r="414">
      <c r="A414" s="52" t="s">
        <v>53</v>
      </c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7"/>
      <c r="AA414" s="38"/>
      <c r="AB414" s="39"/>
      <c r="AC414" s="2"/>
    </row>
    <row r="415">
      <c r="A415" s="40" t="s">
        <v>48</v>
      </c>
      <c r="B415" s="41"/>
      <c r="C415" s="42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3"/>
      <c r="W415" s="43"/>
      <c r="X415" s="43"/>
      <c r="Y415" s="43"/>
      <c r="Z415" s="43"/>
      <c r="AA415" s="44">
        <f t="shared" ref="AA415:AA416" si="144">SUM(B415:Z415)</f>
        <v>0</v>
      </c>
      <c r="AB415" s="31"/>
      <c r="AC415" s="2"/>
    </row>
    <row r="416">
      <c r="A416" s="40" t="s">
        <v>49</v>
      </c>
      <c r="B416" s="41"/>
      <c r="C416" s="42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3"/>
      <c r="W416" s="43"/>
      <c r="X416" s="43"/>
      <c r="Y416" s="43"/>
      <c r="Z416" s="43"/>
      <c r="AA416" s="44">
        <f t="shared" si="144"/>
        <v>0</v>
      </c>
      <c r="AB416" s="31"/>
      <c r="AC416" s="2"/>
    </row>
    <row r="417">
      <c r="A417" s="53" t="s">
        <v>50</v>
      </c>
      <c r="B417" s="54"/>
      <c r="C417" s="54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6"/>
      <c r="W417" s="56"/>
      <c r="X417" s="56"/>
      <c r="Y417" s="56"/>
      <c r="Z417" s="56"/>
      <c r="AA417" s="57" t="str">
        <f>AVERAGE(B417:Z417)</f>
        <v>#DIV/0!</v>
      </c>
      <c r="AB417" s="58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59"/>
      <c r="AB418" s="59"/>
      <c r="AC418" s="2"/>
    </row>
    <row r="419">
      <c r="A419" s="71" t="s">
        <v>54</v>
      </c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5" t="s">
        <v>37</v>
      </c>
      <c r="AB419" s="16" t="s">
        <v>38</v>
      </c>
      <c r="AC419" s="2"/>
    </row>
    <row r="420">
      <c r="A420" s="17" t="s">
        <v>39</v>
      </c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20">
        <f t="shared" ref="AA420:AA424" si="145">SUM(B420:Z420)</f>
        <v>0</v>
      </c>
      <c r="AB420" s="21" t="str">
        <f t="shared" ref="AB420:AB423" si="146">AA420/(COUNT(B420:Z420)*1)</f>
        <v>#DIV/0!</v>
      </c>
      <c r="AC420" s="2"/>
    </row>
    <row r="421">
      <c r="A421" s="17" t="s">
        <v>40</v>
      </c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20">
        <f t="shared" si="145"/>
        <v>0</v>
      </c>
      <c r="AB421" s="21" t="str">
        <f t="shared" si="146"/>
        <v>#DIV/0!</v>
      </c>
      <c r="AC421" s="2"/>
    </row>
    <row r="422">
      <c r="A422" s="17" t="s">
        <v>41</v>
      </c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20">
        <f t="shared" si="145"/>
        <v>0</v>
      </c>
      <c r="AB422" s="21" t="str">
        <f t="shared" si="146"/>
        <v>#DIV/0!</v>
      </c>
      <c r="AC422" s="2"/>
    </row>
    <row r="423">
      <c r="A423" s="17" t="s">
        <v>42</v>
      </c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20">
        <f t="shared" si="145"/>
        <v>0</v>
      </c>
      <c r="AB423" s="21" t="str">
        <f t="shared" si="146"/>
        <v>#DIV/0!</v>
      </c>
      <c r="AC423" s="2"/>
    </row>
    <row r="424">
      <c r="A424" s="17" t="s">
        <v>43</v>
      </c>
      <c r="B424" s="22">
        <f t="shared" ref="B424:Z424" si="147">SUM(B420:B423)</f>
        <v>0</v>
      </c>
      <c r="C424" s="22">
        <f t="shared" si="147"/>
        <v>0</v>
      </c>
      <c r="D424" s="22">
        <f t="shared" si="147"/>
        <v>0</v>
      </c>
      <c r="E424" s="22">
        <f t="shared" si="147"/>
        <v>0</v>
      </c>
      <c r="F424" s="22">
        <f t="shared" si="147"/>
        <v>0</v>
      </c>
      <c r="G424" s="22">
        <f t="shared" si="147"/>
        <v>0</v>
      </c>
      <c r="H424" s="22">
        <f t="shared" si="147"/>
        <v>0</v>
      </c>
      <c r="I424" s="22">
        <f t="shared" si="147"/>
        <v>0</v>
      </c>
      <c r="J424" s="22">
        <f t="shared" si="147"/>
        <v>0</v>
      </c>
      <c r="K424" s="22">
        <f t="shared" si="147"/>
        <v>0</v>
      </c>
      <c r="L424" s="22">
        <f t="shared" si="147"/>
        <v>0</v>
      </c>
      <c r="M424" s="22">
        <f t="shared" si="147"/>
        <v>0</v>
      </c>
      <c r="N424" s="22">
        <f t="shared" si="147"/>
        <v>0</v>
      </c>
      <c r="O424" s="22">
        <f t="shared" si="147"/>
        <v>0</v>
      </c>
      <c r="P424" s="22">
        <f t="shared" si="147"/>
        <v>0</v>
      </c>
      <c r="Q424" s="22">
        <f t="shared" si="147"/>
        <v>0</v>
      </c>
      <c r="R424" s="22">
        <f t="shared" si="147"/>
        <v>0</v>
      </c>
      <c r="S424" s="22">
        <f t="shared" si="147"/>
        <v>0</v>
      </c>
      <c r="T424" s="22">
        <f t="shared" si="147"/>
        <v>0</v>
      </c>
      <c r="U424" s="22">
        <f t="shared" si="147"/>
        <v>0</v>
      </c>
      <c r="V424" s="22">
        <f t="shared" si="147"/>
        <v>0</v>
      </c>
      <c r="W424" s="22">
        <f t="shared" si="147"/>
        <v>0</v>
      </c>
      <c r="X424" s="22">
        <f t="shared" si="147"/>
        <v>0</v>
      </c>
      <c r="Y424" s="22">
        <f t="shared" si="147"/>
        <v>0</v>
      </c>
      <c r="Z424" s="22">
        <f t="shared" si="147"/>
        <v>0</v>
      </c>
      <c r="AA424" s="20">
        <f t="shared" si="145"/>
        <v>0</v>
      </c>
      <c r="AB424" s="23"/>
      <c r="AC424" s="2"/>
    </row>
    <row r="425">
      <c r="A425" s="17" t="s">
        <v>38</v>
      </c>
      <c r="B425" s="24" t="str">
        <f t="shared" ref="B425:Z425" si="148">B424/(COUNT(B420:B423)*1)</f>
        <v>#DIV/0!</v>
      </c>
      <c r="C425" s="24" t="str">
        <f t="shared" si="148"/>
        <v>#DIV/0!</v>
      </c>
      <c r="D425" s="24" t="str">
        <f t="shared" si="148"/>
        <v>#DIV/0!</v>
      </c>
      <c r="E425" s="24" t="str">
        <f t="shared" si="148"/>
        <v>#DIV/0!</v>
      </c>
      <c r="F425" s="24" t="str">
        <f t="shared" si="148"/>
        <v>#DIV/0!</v>
      </c>
      <c r="G425" s="24" t="str">
        <f t="shared" si="148"/>
        <v>#DIV/0!</v>
      </c>
      <c r="H425" s="24" t="str">
        <f t="shared" si="148"/>
        <v>#DIV/0!</v>
      </c>
      <c r="I425" s="24" t="str">
        <f t="shared" si="148"/>
        <v>#DIV/0!</v>
      </c>
      <c r="J425" s="24" t="str">
        <f t="shared" si="148"/>
        <v>#DIV/0!</v>
      </c>
      <c r="K425" s="24" t="str">
        <f t="shared" si="148"/>
        <v>#DIV/0!</v>
      </c>
      <c r="L425" s="24" t="str">
        <f t="shared" si="148"/>
        <v>#DIV/0!</v>
      </c>
      <c r="M425" s="24" t="str">
        <f t="shared" si="148"/>
        <v>#DIV/0!</v>
      </c>
      <c r="N425" s="24" t="str">
        <f t="shared" si="148"/>
        <v>#DIV/0!</v>
      </c>
      <c r="O425" s="24" t="str">
        <f t="shared" si="148"/>
        <v>#DIV/0!</v>
      </c>
      <c r="P425" s="24" t="str">
        <f t="shared" si="148"/>
        <v>#DIV/0!</v>
      </c>
      <c r="Q425" s="24" t="str">
        <f t="shared" si="148"/>
        <v>#DIV/0!</v>
      </c>
      <c r="R425" s="24" t="str">
        <f t="shared" si="148"/>
        <v>#DIV/0!</v>
      </c>
      <c r="S425" s="24" t="str">
        <f t="shared" si="148"/>
        <v>#DIV/0!</v>
      </c>
      <c r="T425" s="24" t="str">
        <f t="shared" si="148"/>
        <v>#DIV/0!</v>
      </c>
      <c r="U425" s="24" t="str">
        <f t="shared" si="148"/>
        <v>#DIV/0!</v>
      </c>
      <c r="V425" s="24" t="str">
        <f t="shared" si="148"/>
        <v>#DIV/0!</v>
      </c>
      <c r="W425" s="24" t="str">
        <f t="shared" si="148"/>
        <v>#DIV/0!</v>
      </c>
      <c r="X425" s="24" t="str">
        <f t="shared" si="148"/>
        <v>#DIV/0!</v>
      </c>
      <c r="Y425" s="24" t="str">
        <f t="shared" si="148"/>
        <v>#DIV/0!</v>
      </c>
      <c r="Z425" s="24" t="str">
        <f t="shared" si="148"/>
        <v>#DIV/0!</v>
      </c>
      <c r="AA425" s="25"/>
      <c r="AB425" s="26" t="str">
        <f>SUM(AB420:AB423)/4</f>
        <v>#DIV/0!</v>
      </c>
      <c r="AC425" s="2"/>
    </row>
    <row r="426">
      <c r="A426" s="27" t="s">
        <v>44</v>
      </c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30">
        <f t="shared" ref="AA426:AA428" si="149">SUM(B426:Z426)</f>
        <v>0</v>
      </c>
      <c r="AB426" s="31"/>
      <c r="AC426" s="2"/>
    </row>
    <row r="427">
      <c r="A427" s="32" t="s">
        <v>45</v>
      </c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28"/>
      <c r="W427" s="28"/>
      <c r="X427" s="28"/>
      <c r="Y427" s="28"/>
      <c r="Z427" s="28"/>
      <c r="AA427" s="30">
        <f t="shared" si="149"/>
        <v>0</v>
      </c>
      <c r="AB427" s="31"/>
      <c r="AC427" s="9"/>
    </row>
    <row r="428">
      <c r="A428" s="34" t="s">
        <v>46</v>
      </c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28"/>
      <c r="W428" s="28"/>
      <c r="X428" s="28"/>
      <c r="Y428" s="28"/>
      <c r="Z428" s="28"/>
      <c r="AA428" s="30">
        <f t="shared" si="149"/>
        <v>0</v>
      </c>
      <c r="AB428" s="31"/>
      <c r="AC428" s="9"/>
    </row>
    <row r="429">
      <c r="A429" s="35" t="s">
        <v>47</v>
      </c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7"/>
      <c r="AA429" s="38"/>
      <c r="AB429" s="39"/>
      <c r="AC429" s="2"/>
    </row>
    <row r="430">
      <c r="A430" s="40" t="s">
        <v>48</v>
      </c>
      <c r="B430" s="41"/>
      <c r="C430" s="42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3"/>
      <c r="W430" s="43"/>
      <c r="X430" s="43"/>
      <c r="Y430" s="43"/>
      <c r="Z430" s="43"/>
      <c r="AA430" s="44">
        <f t="shared" ref="AA430:AA431" si="150">SUM(B430:Z430)</f>
        <v>0</v>
      </c>
      <c r="AB430" s="31"/>
      <c r="AC430" s="2"/>
    </row>
    <row r="431">
      <c r="A431" s="40" t="s">
        <v>49</v>
      </c>
      <c r="B431" s="41"/>
      <c r="C431" s="42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3"/>
      <c r="W431" s="43"/>
      <c r="X431" s="43"/>
      <c r="Y431" s="43"/>
      <c r="Z431" s="43"/>
      <c r="AA431" s="44">
        <f t="shared" si="150"/>
        <v>0</v>
      </c>
      <c r="AB431" s="31"/>
      <c r="AC431" s="2"/>
    </row>
    <row r="432">
      <c r="A432" s="40" t="s">
        <v>50</v>
      </c>
      <c r="B432" s="42"/>
      <c r="C432" s="42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3"/>
      <c r="W432" s="43"/>
      <c r="X432" s="43"/>
      <c r="Y432" s="43"/>
      <c r="Z432" s="43"/>
      <c r="AA432" s="44" t="str">
        <f>AVERAGE(B432:Z432)</f>
        <v>#DIV/0!</v>
      </c>
      <c r="AB432" s="31"/>
      <c r="AC432" s="2"/>
    </row>
    <row r="433">
      <c r="A433" s="45" t="s">
        <v>51</v>
      </c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7"/>
      <c r="AA433" s="46"/>
      <c r="AB433" s="39"/>
      <c r="AC433" s="2"/>
    </row>
    <row r="434">
      <c r="A434" s="47" t="s">
        <v>48</v>
      </c>
      <c r="B434" s="48"/>
      <c r="C434" s="49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50"/>
      <c r="W434" s="50"/>
      <c r="X434" s="50"/>
      <c r="Y434" s="50"/>
      <c r="Z434" s="50"/>
      <c r="AA434" s="51">
        <f t="shared" ref="AA434:AA435" si="151">SUM(B434:Z434)</f>
        <v>0</v>
      </c>
      <c r="AB434" s="31"/>
      <c r="AC434" s="2"/>
    </row>
    <row r="435">
      <c r="A435" s="47" t="s">
        <v>49</v>
      </c>
      <c r="B435" s="48"/>
      <c r="C435" s="49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50"/>
      <c r="W435" s="50"/>
      <c r="X435" s="50"/>
      <c r="Y435" s="50"/>
      <c r="Z435" s="50"/>
      <c r="AA435" s="51">
        <f t="shared" si="151"/>
        <v>0</v>
      </c>
      <c r="AB435" s="31"/>
      <c r="AC435" s="2"/>
    </row>
    <row r="436">
      <c r="A436" s="47" t="s">
        <v>50</v>
      </c>
      <c r="B436" s="49"/>
      <c r="C436" s="49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50"/>
      <c r="W436" s="50"/>
      <c r="X436" s="50"/>
      <c r="Y436" s="50"/>
      <c r="Z436" s="50"/>
      <c r="AA436" s="51" t="str">
        <f>AVERAGE(B436:Z436)</f>
        <v>#DIV/0!</v>
      </c>
      <c r="AB436" s="31"/>
      <c r="AC436" s="2"/>
    </row>
    <row r="437">
      <c r="A437" s="52" t="s">
        <v>53</v>
      </c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7"/>
      <c r="AA437" s="38"/>
      <c r="AB437" s="39"/>
      <c r="AC437" s="2"/>
    </row>
    <row r="438">
      <c r="A438" s="40" t="s">
        <v>48</v>
      </c>
      <c r="B438" s="41"/>
      <c r="C438" s="42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3"/>
      <c r="W438" s="43"/>
      <c r="X438" s="43"/>
      <c r="Y438" s="43"/>
      <c r="Z438" s="43"/>
      <c r="AA438" s="44">
        <f t="shared" ref="AA438:AA439" si="152">SUM(B438:Z438)</f>
        <v>0</v>
      </c>
      <c r="AB438" s="31"/>
      <c r="AC438" s="2"/>
    </row>
    <row r="439">
      <c r="A439" s="40" t="s">
        <v>49</v>
      </c>
      <c r="B439" s="41"/>
      <c r="C439" s="42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3"/>
      <c r="W439" s="43"/>
      <c r="X439" s="43"/>
      <c r="Y439" s="43"/>
      <c r="Z439" s="43"/>
      <c r="AA439" s="44">
        <f t="shared" si="152"/>
        <v>0</v>
      </c>
      <c r="AB439" s="31"/>
      <c r="AC439" s="2"/>
    </row>
    <row r="440">
      <c r="A440" s="53" t="s">
        <v>50</v>
      </c>
      <c r="B440" s="54"/>
      <c r="C440" s="54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6"/>
      <c r="W440" s="56"/>
      <c r="X440" s="56"/>
      <c r="Y440" s="56"/>
      <c r="Z440" s="56"/>
      <c r="AA440" s="57" t="str">
        <f>AVERAGE(B440:Z440)</f>
        <v>#DIV/0!</v>
      </c>
      <c r="AB440" s="58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59"/>
      <c r="AB441" s="59"/>
      <c r="AC441" s="2"/>
    </row>
    <row r="442">
      <c r="A442" s="71" t="s">
        <v>54</v>
      </c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5" t="s">
        <v>37</v>
      </c>
      <c r="AB442" s="16" t="s">
        <v>38</v>
      </c>
      <c r="AC442" s="2"/>
    </row>
    <row r="443">
      <c r="A443" s="17" t="s">
        <v>39</v>
      </c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20">
        <f t="shared" ref="AA443:AA447" si="153">SUM(B443:Z443)</f>
        <v>0</v>
      </c>
      <c r="AB443" s="21" t="str">
        <f t="shared" ref="AB443:AB446" si="154">AA443/(COUNT(B443:Z443)*1)</f>
        <v>#DIV/0!</v>
      </c>
      <c r="AC443" s="2"/>
    </row>
    <row r="444">
      <c r="A444" s="17" t="s">
        <v>40</v>
      </c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20">
        <f t="shared" si="153"/>
        <v>0</v>
      </c>
      <c r="AB444" s="21" t="str">
        <f t="shared" si="154"/>
        <v>#DIV/0!</v>
      </c>
      <c r="AC444" s="2"/>
    </row>
    <row r="445">
      <c r="A445" s="17" t="s">
        <v>41</v>
      </c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20">
        <f t="shared" si="153"/>
        <v>0</v>
      </c>
      <c r="AB445" s="21" t="str">
        <f t="shared" si="154"/>
        <v>#DIV/0!</v>
      </c>
      <c r="AC445" s="2"/>
    </row>
    <row r="446">
      <c r="A446" s="17" t="s">
        <v>42</v>
      </c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20">
        <f t="shared" si="153"/>
        <v>0</v>
      </c>
      <c r="AB446" s="21" t="str">
        <f t="shared" si="154"/>
        <v>#DIV/0!</v>
      </c>
      <c r="AC446" s="2"/>
    </row>
    <row r="447">
      <c r="A447" s="17" t="s">
        <v>43</v>
      </c>
      <c r="B447" s="22">
        <f t="shared" ref="B447:Z447" si="155">SUM(B443:B446)</f>
        <v>0</v>
      </c>
      <c r="C447" s="22">
        <f t="shared" si="155"/>
        <v>0</v>
      </c>
      <c r="D447" s="22">
        <f t="shared" si="155"/>
        <v>0</v>
      </c>
      <c r="E447" s="22">
        <f t="shared" si="155"/>
        <v>0</v>
      </c>
      <c r="F447" s="22">
        <f t="shared" si="155"/>
        <v>0</v>
      </c>
      <c r="G447" s="22">
        <f t="shared" si="155"/>
        <v>0</v>
      </c>
      <c r="H447" s="22">
        <f t="shared" si="155"/>
        <v>0</v>
      </c>
      <c r="I447" s="22">
        <f t="shared" si="155"/>
        <v>0</v>
      </c>
      <c r="J447" s="22">
        <f t="shared" si="155"/>
        <v>0</v>
      </c>
      <c r="K447" s="22">
        <f t="shared" si="155"/>
        <v>0</v>
      </c>
      <c r="L447" s="22">
        <f t="shared" si="155"/>
        <v>0</v>
      </c>
      <c r="M447" s="22">
        <f t="shared" si="155"/>
        <v>0</v>
      </c>
      <c r="N447" s="22">
        <f t="shared" si="155"/>
        <v>0</v>
      </c>
      <c r="O447" s="22">
        <f t="shared" si="155"/>
        <v>0</v>
      </c>
      <c r="P447" s="22">
        <f t="shared" si="155"/>
        <v>0</v>
      </c>
      <c r="Q447" s="22">
        <f t="shared" si="155"/>
        <v>0</v>
      </c>
      <c r="R447" s="22">
        <f t="shared" si="155"/>
        <v>0</v>
      </c>
      <c r="S447" s="22">
        <f t="shared" si="155"/>
        <v>0</v>
      </c>
      <c r="T447" s="22">
        <f t="shared" si="155"/>
        <v>0</v>
      </c>
      <c r="U447" s="22">
        <f t="shared" si="155"/>
        <v>0</v>
      </c>
      <c r="V447" s="22">
        <f t="shared" si="155"/>
        <v>0</v>
      </c>
      <c r="W447" s="22">
        <f t="shared" si="155"/>
        <v>0</v>
      </c>
      <c r="X447" s="22">
        <f t="shared" si="155"/>
        <v>0</v>
      </c>
      <c r="Y447" s="22">
        <f t="shared" si="155"/>
        <v>0</v>
      </c>
      <c r="Z447" s="22">
        <f t="shared" si="155"/>
        <v>0</v>
      </c>
      <c r="AA447" s="20">
        <f t="shared" si="153"/>
        <v>0</v>
      </c>
      <c r="AB447" s="23"/>
      <c r="AC447" s="2"/>
    </row>
    <row r="448">
      <c r="A448" s="17" t="s">
        <v>38</v>
      </c>
      <c r="B448" s="24" t="str">
        <f t="shared" ref="B448:Z448" si="156">B447/(COUNT(B443:B446)*1)</f>
        <v>#DIV/0!</v>
      </c>
      <c r="C448" s="24" t="str">
        <f t="shared" si="156"/>
        <v>#DIV/0!</v>
      </c>
      <c r="D448" s="24" t="str">
        <f t="shared" si="156"/>
        <v>#DIV/0!</v>
      </c>
      <c r="E448" s="24" t="str">
        <f t="shared" si="156"/>
        <v>#DIV/0!</v>
      </c>
      <c r="F448" s="24" t="str">
        <f t="shared" si="156"/>
        <v>#DIV/0!</v>
      </c>
      <c r="G448" s="24" t="str">
        <f t="shared" si="156"/>
        <v>#DIV/0!</v>
      </c>
      <c r="H448" s="24" t="str">
        <f t="shared" si="156"/>
        <v>#DIV/0!</v>
      </c>
      <c r="I448" s="24" t="str">
        <f t="shared" si="156"/>
        <v>#DIV/0!</v>
      </c>
      <c r="J448" s="24" t="str">
        <f t="shared" si="156"/>
        <v>#DIV/0!</v>
      </c>
      <c r="K448" s="24" t="str">
        <f t="shared" si="156"/>
        <v>#DIV/0!</v>
      </c>
      <c r="L448" s="24" t="str">
        <f t="shared" si="156"/>
        <v>#DIV/0!</v>
      </c>
      <c r="M448" s="24" t="str">
        <f t="shared" si="156"/>
        <v>#DIV/0!</v>
      </c>
      <c r="N448" s="24" t="str">
        <f t="shared" si="156"/>
        <v>#DIV/0!</v>
      </c>
      <c r="O448" s="24" t="str">
        <f t="shared" si="156"/>
        <v>#DIV/0!</v>
      </c>
      <c r="P448" s="24" t="str">
        <f t="shared" si="156"/>
        <v>#DIV/0!</v>
      </c>
      <c r="Q448" s="24" t="str">
        <f t="shared" si="156"/>
        <v>#DIV/0!</v>
      </c>
      <c r="R448" s="24" t="str">
        <f t="shared" si="156"/>
        <v>#DIV/0!</v>
      </c>
      <c r="S448" s="24" t="str">
        <f t="shared" si="156"/>
        <v>#DIV/0!</v>
      </c>
      <c r="T448" s="24" t="str">
        <f t="shared" si="156"/>
        <v>#DIV/0!</v>
      </c>
      <c r="U448" s="24" t="str">
        <f t="shared" si="156"/>
        <v>#DIV/0!</v>
      </c>
      <c r="V448" s="24" t="str">
        <f t="shared" si="156"/>
        <v>#DIV/0!</v>
      </c>
      <c r="W448" s="24" t="str">
        <f t="shared" si="156"/>
        <v>#DIV/0!</v>
      </c>
      <c r="X448" s="24" t="str">
        <f t="shared" si="156"/>
        <v>#DIV/0!</v>
      </c>
      <c r="Y448" s="24" t="str">
        <f t="shared" si="156"/>
        <v>#DIV/0!</v>
      </c>
      <c r="Z448" s="24" t="str">
        <f t="shared" si="156"/>
        <v>#DIV/0!</v>
      </c>
      <c r="AA448" s="25"/>
      <c r="AB448" s="26" t="str">
        <f>SUM(AB443:AB446)/4</f>
        <v>#DIV/0!</v>
      </c>
      <c r="AC448" s="2"/>
    </row>
    <row r="449">
      <c r="A449" s="27" t="s">
        <v>44</v>
      </c>
      <c r="B449" s="28"/>
      <c r="C449" s="29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30">
        <f t="shared" ref="AA449:AA451" si="157">SUM(B449:Z449)</f>
        <v>0</v>
      </c>
      <c r="AB449" s="31"/>
      <c r="AC449" s="2"/>
    </row>
    <row r="450">
      <c r="A450" s="32" t="s">
        <v>45</v>
      </c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28"/>
      <c r="W450" s="28"/>
      <c r="X450" s="28"/>
      <c r="Y450" s="28"/>
      <c r="Z450" s="28"/>
      <c r="AA450" s="30">
        <f t="shared" si="157"/>
        <v>0</v>
      </c>
      <c r="AB450" s="31"/>
      <c r="AC450" s="9"/>
    </row>
    <row r="451">
      <c r="A451" s="34" t="s">
        <v>46</v>
      </c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28"/>
      <c r="W451" s="28"/>
      <c r="X451" s="28"/>
      <c r="Y451" s="28"/>
      <c r="Z451" s="28"/>
      <c r="AA451" s="30">
        <f t="shared" si="157"/>
        <v>0</v>
      </c>
      <c r="AB451" s="31"/>
      <c r="AC451" s="9"/>
    </row>
    <row r="452">
      <c r="A452" s="35" t="s">
        <v>47</v>
      </c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7"/>
      <c r="AA452" s="38"/>
      <c r="AB452" s="39"/>
      <c r="AC452" s="2"/>
    </row>
    <row r="453">
      <c r="A453" s="40" t="s">
        <v>48</v>
      </c>
      <c r="B453" s="41"/>
      <c r="C453" s="42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3"/>
      <c r="W453" s="43"/>
      <c r="X453" s="43"/>
      <c r="Y453" s="43"/>
      <c r="Z453" s="43"/>
      <c r="AA453" s="44">
        <f t="shared" ref="AA453:AA454" si="158">SUM(B453:Z453)</f>
        <v>0</v>
      </c>
      <c r="AB453" s="31"/>
      <c r="AC453" s="2"/>
    </row>
    <row r="454">
      <c r="A454" s="40" t="s">
        <v>49</v>
      </c>
      <c r="B454" s="41"/>
      <c r="C454" s="42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3"/>
      <c r="W454" s="43"/>
      <c r="X454" s="43"/>
      <c r="Y454" s="43"/>
      <c r="Z454" s="43"/>
      <c r="AA454" s="44">
        <f t="shared" si="158"/>
        <v>0</v>
      </c>
      <c r="AB454" s="31"/>
      <c r="AC454" s="2"/>
    </row>
    <row r="455">
      <c r="A455" s="40" t="s">
        <v>50</v>
      </c>
      <c r="B455" s="42"/>
      <c r="C455" s="42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3"/>
      <c r="W455" s="43"/>
      <c r="X455" s="43"/>
      <c r="Y455" s="43"/>
      <c r="Z455" s="43"/>
      <c r="AA455" s="44" t="str">
        <f>AVERAGE(B455:Z455)</f>
        <v>#DIV/0!</v>
      </c>
      <c r="AB455" s="31"/>
      <c r="AC455" s="2"/>
    </row>
    <row r="456">
      <c r="A456" s="45" t="s">
        <v>51</v>
      </c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7"/>
      <c r="AA456" s="46"/>
      <c r="AB456" s="39"/>
      <c r="AC456" s="2"/>
    </row>
    <row r="457">
      <c r="A457" s="47" t="s">
        <v>48</v>
      </c>
      <c r="B457" s="48"/>
      <c r="C457" s="49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50"/>
      <c r="W457" s="50"/>
      <c r="X457" s="50"/>
      <c r="Y457" s="50"/>
      <c r="Z457" s="50"/>
      <c r="AA457" s="51">
        <f t="shared" ref="AA457:AA458" si="159">SUM(B457:Z457)</f>
        <v>0</v>
      </c>
      <c r="AB457" s="31"/>
      <c r="AC457" s="2"/>
    </row>
    <row r="458">
      <c r="A458" s="47" t="s">
        <v>49</v>
      </c>
      <c r="B458" s="48"/>
      <c r="C458" s="49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50"/>
      <c r="W458" s="50"/>
      <c r="X458" s="50"/>
      <c r="Y458" s="50"/>
      <c r="Z458" s="50"/>
      <c r="AA458" s="51">
        <f t="shared" si="159"/>
        <v>0</v>
      </c>
      <c r="AB458" s="31"/>
      <c r="AC458" s="2"/>
    </row>
    <row r="459">
      <c r="A459" s="47" t="s">
        <v>50</v>
      </c>
      <c r="B459" s="49"/>
      <c r="C459" s="49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50"/>
      <c r="W459" s="50"/>
      <c r="X459" s="50"/>
      <c r="Y459" s="50"/>
      <c r="Z459" s="50"/>
      <c r="AA459" s="51" t="str">
        <f>AVERAGE(B459:Z459)</f>
        <v>#DIV/0!</v>
      </c>
      <c r="AB459" s="31"/>
      <c r="AC459" s="2"/>
    </row>
    <row r="460">
      <c r="A460" s="52" t="s">
        <v>53</v>
      </c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7"/>
      <c r="AA460" s="38"/>
      <c r="AB460" s="39"/>
      <c r="AC460" s="2"/>
    </row>
    <row r="461">
      <c r="A461" s="40" t="s">
        <v>48</v>
      </c>
      <c r="B461" s="41"/>
      <c r="C461" s="42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3"/>
      <c r="W461" s="43"/>
      <c r="X461" s="43"/>
      <c r="Y461" s="43"/>
      <c r="Z461" s="43"/>
      <c r="AA461" s="44">
        <f t="shared" ref="AA461:AA462" si="160">SUM(B461:Z461)</f>
        <v>0</v>
      </c>
      <c r="AB461" s="31"/>
      <c r="AC461" s="2"/>
    </row>
    <row r="462">
      <c r="A462" s="40" t="s">
        <v>49</v>
      </c>
      <c r="B462" s="41"/>
      <c r="C462" s="42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3"/>
      <c r="W462" s="43"/>
      <c r="X462" s="43"/>
      <c r="Y462" s="43"/>
      <c r="Z462" s="43"/>
      <c r="AA462" s="44">
        <f t="shared" si="160"/>
        <v>0</v>
      </c>
      <c r="AB462" s="31"/>
      <c r="AC462" s="2"/>
    </row>
    <row r="463">
      <c r="A463" s="53" t="s">
        <v>50</v>
      </c>
      <c r="B463" s="54"/>
      <c r="C463" s="54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6"/>
      <c r="W463" s="56"/>
      <c r="X463" s="56"/>
      <c r="Y463" s="56"/>
      <c r="Z463" s="56"/>
      <c r="AA463" s="57" t="str">
        <f>AVERAGE(B463:Z463)</f>
        <v>#DIV/0!</v>
      </c>
      <c r="AB463" s="58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59"/>
      <c r="AB464" s="59"/>
      <c r="AC464" s="2"/>
    </row>
    <row r="465">
      <c r="A465" s="71" t="s">
        <v>54</v>
      </c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 t="s">
        <v>37</v>
      </c>
      <c r="AB465" s="16" t="s">
        <v>38</v>
      </c>
      <c r="AC465" s="2"/>
    </row>
    <row r="466">
      <c r="A466" s="17" t="s">
        <v>39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20">
        <f t="shared" ref="AA466:AA470" si="161">SUM(B466:Z466)</f>
        <v>0</v>
      </c>
      <c r="AB466" s="21" t="str">
        <f t="shared" ref="AB466:AB469" si="162">AA466/(COUNT(B466:Z466)*1)</f>
        <v>#DIV/0!</v>
      </c>
      <c r="AC466" s="2"/>
    </row>
    <row r="467">
      <c r="A467" s="17" t="s">
        <v>40</v>
      </c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20">
        <f t="shared" si="161"/>
        <v>0</v>
      </c>
      <c r="AB467" s="21" t="str">
        <f t="shared" si="162"/>
        <v>#DIV/0!</v>
      </c>
      <c r="AC467" s="2"/>
    </row>
    <row r="468">
      <c r="A468" s="17" t="s">
        <v>41</v>
      </c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20">
        <f t="shared" si="161"/>
        <v>0</v>
      </c>
      <c r="AB468" s="21" t="str">
        <f t="shared" si="162"/>
        <v>#DIV/0!</v>
      </c>
      <c r="AC468" s="2"/>
    </row>
    <row r="469">
      <c r="A469" s="17" t="s">
        <v>42</v>
      </c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20">
        <f t="shared" si="161"/>
        <v>0</v>
      </c>
      <c r="AB469" s="21" t="str">
        <f t="shared" si="162"/>
        <v>#DIV/0!</v>
      </c>
      <c r="AC469" s="2"/>
    </row>
    <row r="470">
      <c r="A470" s="17" t="s">
        <v>43</v>
      </c>
      <c r="B470" s="22">
        <f t="shared" ref="B470:Z470" si="163">SUM(B466:B469)</f>
        <v>0</v>
      </c>
      <c r="C470" s="22">
        <f t="shared" si="163"/>
        <v>0</v>
      </c>
      <c r="D470" s="22">
        <f t="shared" si="163"/>
        <v>0</v>
      </c>
      <c r="E470" s="22">
        <f t="shared" si="163"/>
        <v>0</v>
      </c>
      <c r="F470" s="22">
        <f t="shared" si="163"/>
        <v>0</v>
      </c>
      <c r="G470" s="22">
        <f t="shared" si="163"/>
        <v>0</v>
      </c>
      <c r="H470" s="22">
        <f t="shared" si="163"/>
        <v>0</v>
      </c>
      <c r="I470" s="22">
        <f t="shared" si="163"/>
        <v>0</v>
      </c>
      <c r="J470" s="22">
        <f t="shared" si="163"/>
        <v>0</v>
      </c>
      <c r="K470" s="22">
        <f t="shared" si="163"/>
        <v>0</v>
      </c>
      <c r="L470" s="22">
        <f t="shared" si="163"/>
        <v>0</v>
      </c>
      <c r="M470" s="22">
        <f t="shared" si="163"/>
        <v>0</v>
      </c>
      <c r="N470" s="22">
        <f t="shared" si="163"/>
        <v>0</v>
      </c>
      <c r="O470" s="22">
        <f t="shared" si="163"/>
        <v>0</v>
      </c>
      <c r="P470" s="22">
        <f t="shared" si="163"/>
        <v>0</v>
      </c>
      <c r="Q470" s="22">
        <f t="shared" si="163"/>
        <v>0</v>
      </c>
      <c r="R470" s="22">
        <f t="shared" si="163"/>
        <v>0</v>
      </c>
      <c r="S470" s="22">
        <f t="shared" si="163"/>
        <v>0</v>
      </c>
      <c r="T470" s="22">
        <f t="shared" si="163"/>
        <v>0</v>
      </c>
      <c r="U470" s="22">
        <f t="shared" si="163"/>
        <v>0</v>
      </c>
      <c r="V470" s="22">
        <f t="shared" si="163"/>
        <v>0</v>
      </c>
      <c r="W470" s="22">
        <f t="shared" si="163"/>
        <v>0</v>
      </c>
      <c r="X470" s="22">
        <f t="shared" si="163"/>
        <v>0</v>
      </c>
      <c r="Y470" s="22">
        <f t="shared" si="163"/>
        <v>0</v>
      </c>
      <c r="Z470" s="22">
        <f t="shared" si="163"/>
        <v>0</v>
      </c>
      <c r="AA470" s="20">
        <f t="shared" si="161"/>
        <v>0</v>
      </c>
      <c r="AB470" s="23"/>
      <c r="AC470" s="2"/>
    </row>
    <row r="471">
      <c r="A471" s="17" t="s">
        <v>38</v>
      </c>
      <c r="B471" s="24" t="str">
        <f t="shared" ref="B471:Z471" si="164">B470/(COUNT(B466:B469)*1)</f>
        <v>#DIV/0!</v>
      </c>
      <c r="C471" s="24" t="str">
        <f t="shared" si="164"/>
        <v>#DIV/0!</v>
      </c>
      <c r="D471" s="24" t="str">
        <f t="shared" si="164"/>
        <v>#DIV/0!</v>
      </c>
      <c r="E471" s="24" t="str">
        <f t="shared" si="164"/>
        <v>#DIV/0!</v>
      </c>
      <c r="F471" s="24" t="str">
        <f t="shared" si="164"/>
        <v>#DIV/0!</v>
      </c>
      <c r="G471" s="24" t="str">
        <f t="shared" si="164"/>
        <v>#DIV/0!</v>
      </c>
      <c r="H471" s="24" t="str">
        <f t="shared" si="164"/>
        <v>#DIV/0!</v>
      </c>
      <c r="I471" s="24" t="str">
        <f t="shared" si="164"/>
        <v>#DIV/0!</v>
      </c>
      <c r="J471" s="24" t="str">
        <f t="shared" si="164"/>
        <v>#DIV/0!</v>
      </c>
      <c r="K471" s="24" t="str">
        <f t="shared" si="164"/>
        <v>#DIV/0!</v>
      </c>
      <c r="L471" s="24" t="str">
        <f t="shared" si="164"/>
        <v>#DIV/0!</v>
      </c>
      <c r="M471" s="24" t="str">
        <f t="shared" si="164"/>
        <v>#DIV/0!</v>
      </c>
      <c r="N471" s="24" t="str">
        <f t="shared" si="164"/>
        <v>#DIV/0!</v>
      </c>
      <c r="O471" s="24" t="str">
        <f t="shared" si="164"/>
        <v>#DIV/0!</v>
      </c>
      <c r="P471" s="24" t="str">
        <f t="shared" si="164"/>
        <v>#DIV/0!</v>
      </c>
      <c r="Q471" s="24" t="str">
        <f t="shared" si="164"/>
        <v>#DIV/0!</v>
      </c>
      <c r="R471" s="24" t="str">
        <f t="shared" si="164"/>
        <v>#DIV/0!</v>
      </c>
      <c r="S471" s="24" t="str">
        <f t="shared" si="164"/>
        <v>#DIV/0!</v>
      </c>
      <c r="T471" s="24" t="str">
        <f t="shared" si="164"/>
        <v>#DIV/0!</v>
      </c>
      <c r="U471" s="24" t="str">
        <f t="shared" si="164"/>
        <v>#DIV/0!</v>
      </c>
      <c r="V471" s="24" t="str">
        <f t="shared" si="164"/>
        <v>#DIV/0!</v>
      </c>
      <c r="W471" s="24" t="str">
        <f t="shared" si="164"/>
        <v>#DIV/0!</v>
      </c>
      <c r="X471" s="24" t="str">
        <f t="shared" si="164"/>
        <v>#DIV/0!</v>
      </c>
      <c r="Y471" s="24" t="str">
        <f t="shared" si="164"/>
        <v>#DIV/0!</v>
      </c>
      <c r="Z471" s="24" t="str">
        <f t="shared" si="164"/>
        <v>#DIV/0!</v>
      </c>
      <c r="AA471" s="25"/>
      <c r="AB471" s="26" t="str">
        <f>SUM(AB466:AB469)/4</f>
        <v>#DIV/0!</v>
      </c>
      <c r="AC471" s="2"/>
    </row>
    <row r="472">
      <c r="A472" s="27" t="s">
        <v>44</v>
      </c>
      <c r="B472" s="28"/>
      <c r="C472" s="2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30">
        <f t="shared" ref="AA472:AA474" si="165">SUM(B472:Z472)</f>
        <v>0</v>
      </c>
      <c r="AB472" s="31"/>
      <c r="AC472" s="2"/>
    </row>
    <row r="473">
      <c r="A473" s="32" t="s">
        <v>45</v>
      </c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28"/>
      <c r="W473" s="28"/>
      <c r="X473" s="28"/>
      <c r="Y473" s="28"/>
      <c r="Z473" s="28"/>
      <c r="AA473" s="30">
        <f t="shared" si="165"/>
        <v>0</v>
      </c>
      <c r="AB473" s="31"/>
      <c r="AC473" s="9"/>
    </row>
    <row r="474">
      <c r="A474" s="34" t="s">
        <v>46</v>
      </c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28"/>
      <c r="W474" s="28"/>
      <c r="X474" s="28"/>
      <c r="Y474" s="28"/>
      <c r="Z474" s="28"/>
      <c r="AA474" s="30">
        <f t="shared" si="165"/>
        <v>0</v>
      </c>
      <c r="AB474" s="31"/>
      <c r="AC474" s="9"/>
    </row>
    <row r="475">
      <c r="A475" s="35" t="s">
        <v>47</v>
      </c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7"/>
      <c r="AA475" s="38"/>
      <c r="AB475" s="39"/>
      <c r="AC475" s="2"/>
    </row>
    <row r="476">
      <c r="A476" s="40" t="s">
        <v>48</v>
      </c>
      <c r="B476" s="41"/>
      <c r="C476" s="42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3"/>
      <c r="W476" s="43"/>
      <c r="X476" s="43"/>
      <c r="Y476" s="43"/>
      <c r="Z476" s="43"/>
      <c r="AA476" s="44">
        <f t="shared" ref="AA476:AA477" si="166">SUM(B476:Z476)</f>
        <v>0</v>
      </c>
      <c r="AB476" s="31"/>
      <c r="AC476" s="2"/>
    </row>
    <row r="477">
      <c r="A477" s="40" t="s">
        <v>49</v>
      </c>
      <c r="B477" s="41"/>
      <c r="C477" s="42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3"/>
      <c r="W477" s="43"/>
      <c r="X477" s="43"/>
      <c r="Y477" s="43"/>
      <c r="Z477" s="43"/>
      <c r="AA477" s="44">
        <f t="shared" si="166"/>
        <v>0</v>
      </c>
      <c r="AB477" s="31"/>
      <c r="AC477" s="2"/>
    </row>
    <row r="478">
      <c r="A478" s="40" t="s">
        <v>50</v>
      </c>
      <c r="B478" s="42"/>
      <c r="C478" s="42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3"/>
      <c r="W478" s="43"/>
      <c r="X478" s="43"/>
      <c r="Y478" s="43"/>
      <c r="Z478" s="43"/>
      <c r="AA478" s="44" t="str">
        <f>AVERAGE(B478:Z478)</f>
        <v>#DIV/0!</v>
      </c>
      <c r="AB478" s="31"/>
      <c r="AC478" s="2"/>
    </row>
    <row r="479">
      <c r="A479" s="45" t="s">
        <v>51</v>
      </c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7"/>
      <c r="AA479" s="46"/>
      <c r="AB479" s="39"/>
      <c r="AC479" s="2"/>
    </row>
    <row r="480">
      <c r="A480" s="47" t="s">
        <v>48</v>
      </c>
      <c r="B480" s="48"/>
      <c r="C480" s="49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50"/>
      <c r="W480" s="50"/>
      <c r="X480" s="50"/>
      <c r="Y480" s="50"/>
      <c r="Z480" s="50"/>
      <c r="AA480" s="51">
        <f t="shared" ref="AA480:AA481" si="167">SUM(B480:Z480)</f>
        <v>0</v>
      </c>
      <c r="AB480" s="31"/>
      <c r="AC480" s="2"/>
    </row>
    <row r="481">
      <c r="A481" s="47" t="s">
        <v>49</v>
      </c>
      <c r="B481" s="48"/>
      <c r="C481" s="49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50"/>
      <c r="W481" s="50"/>
      <c r="X481" s="50"/>
      <c r="Y481" s="50"/>
      <c r="Z481" s="50"/>
      <c r="AA481" s="51">
        <f t="shared" si="167"/>
        <v>0</v>
      </c>
      <c r="AB481" s="31"/>
      <c r="AC481" s="2"/>
    </row>
    <row r="482">
      <c r="A482" s="47" t="s">
        <v>50</v>
      </c>
      <c r="B482" s="49"/>
      <c r="C482" s="49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50"/>
      <c r="W482" s="50"/>
      <c r="X482" s="50"/>
      <c r="Y482" s="50"/>
      <c r="Z482" s="50"/>
      <c r="AA482" s="51" t="str">
        <f>AVERAGE(B482:Z482)</f>
        <v>#DIV/0!</v>
      </c>
      <c r="AB482" s="31"/>
      <c r="AC482" s="2"/>
    </row>
    <row r="483">
      <c r="A483" s="52" t="s">
        <v>53</v>
      </c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7"/>
      <c r="AA483" s="38"/>
      <c r="AB483" s="39"/>
      <c r="AC483" s="2"/>
    </row>
    <row r="484">
      <c r="A484" s="40" t="s">
        <v>48</v>
      </c>
      <c r="B484" s="41"/>
      <c r="C484" s="42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3"/>
      <c r="W484" s="43"/>
      <c r="X484" s="43"/>
      <c r="Y484" s="43"/>
      <c r="Z484" s="43"/>
      <c r="AA484" s="44">
        <f t="shared" ref="AA484:AA485" si="168">SUM(B484:Z484)</f>
        <v>0</v>
      </c>
      <c r="AB484" s="31"/>
      <c r="AC484" s="2"/>
    </row>
    <row r="485">
      <c r="A485" s="40" t="s">
        <v>49</v>
      </c>
      <c r="B485" s="41"/>
      <c r="C485" s="42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3"/>
      <c r="W485" s="43"/>
      <c r="X485" s="43"/>
      <c r="Y485" s="43"/>
      <c r="Z485" s="43"/>
      <c r="AA485" s="44">
        <f t="shared" si="168"/>
        <v>0</v>
      </c>
      <c r="AB485" s="31"/>
      <c r="AC485" s="2"/>
    </row>
    <row r="486">
      <c r="A486" s="53" t="s">
        <v>50</v>
      </c>
      <c r="B486" s="54"/>
      <c r="C486" s="54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6"/>
      <c r="W486" s="56"/>
      <c r="X486" s="56"/>
      <c r="Y486" s="56"/>
      <c r="Z486" s="56"/>
      <c r="AA486" s="57" t="str">
        <f>AVERAGE(B486:Z486)</f>
        <v>#DIV/0!</v>
      </c>
      <c r="AB486" s="58"/>
      <c r="AC486" s="2"/>
    </row>
    <row r="487">
      <c r="A487" s="9"/>
      <c r="B487" s="9"/>
      <c r="C487" s="9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71" t="s">
        <v>54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5" t="s">
        <v>37</v>
      </c>
      <c r="AB488" s="16" t="s">
        <v>38</v>
      </c>
      <c r="AC488" s="2"/>
    </row>
    <row r="489">
      <c r="A489" s="17" t="s">
        <v>39</v>
      </c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20">
        <f t="shared" ref="AA489:AA493" si="169">SUM(B489:Z489)</f>
        <v>0</v>
      </c>
      <c r="AB489" s="21" t="str">
        <f t="shared" ref="AB489:AB492" si="170">AA489/(COUNT(B489:Z489)*1)</f>
        <v>#DIV/0!</v>
      </c>
      <c r="AC489" s="2"/>
    </row>
    <row r="490">
      <c r="A490" s="17" t="s">
        <v>40</v>
      </c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20">
        <f t="shared" si="169"/>
        <v>0</v>
      </c>
      <c r="AB490" s="21" t="str">
        <f t="shared" si="170"/>
        <v>#DIV/0!</v>
      </c>
      <c r="AC490" s="2"/>
    </row>
    <row r="491">
      <c r="A491" s="17" t="s">
        <v>41</v>
      </c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20">
        <f t="shared" si="169"/>
        <v>0</v>
      </c>
      <c r="AB491" s="21" t="str">
        <f t="shared" si="170"/>
        <v>#DIV/0!</v>
      </c>
      <c r="AC491" s="2"/>
    </row>
    <row r="492">
      <c r="A492" s="17" t="s">
        <v>42</v>
      </c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20">
        <f t="shared" si="169"/>
        <v>0</v>
      </c>
      <c r="AB492" s="21" t="str">
        <f t="shared" si="170"/>
        <v>#DIV/0!</v>
      </c>
      <c r="AC492" s="2"/>
    </row>
    <row r="493">
      <c r="A493" s="17" t="s">
        <v>43</v>
      </c>
      <c r="B493" s="22">
        <f t="shared" ref="B493:Z493" si="171">SUM(B489:B492)</f>
        <v>0</v>
      </c>
      <c r="C493" s="22">
        <f t="shared" si="171"/>
        <v>0</v>
      </c>
      <c r="D493" s="22">
        <f t="shared" si="171"/>
        <v>0</v>
      </c>
      <c r="E493" s="22">
        <f t="shared" si="171"/>
        <v>0</v>
      </c>
      <c r="F493" s="22">
        <f t="shared" si="171"/>
        <v>0</v>
      </c>
      <c r="G493" s="22">
        <f t="shared" si="171"/>
        <v>0</v>
      </c>
      <c r="H493" s="22">
        <f t="shared" si="171"/>
        <v>0</v>
      </c>
      <c r="I493" s="22">
        <f t="shared" si="171"/>
        <v>0</v>
      </c>
      <c r="J493" s="22">
        <f t="shared" si="171"/>
        <v>0</v>
      </c>
      <c r="K493" s="22">
        <f t="shared" si="171"/>
        <v>0</v>
      </c>
      <c r="L493" s="22">
        <f t="shared" si="171"/>
        <v>0</v>
      </c>
      <c r="M493" s="22">
        <f t="shared" si="171"/>
        <v>0</v>
      </c>
      <c r="N493" s="22">
        <f t="shared" si="171"/>
        <v>0</v>
      </c>
      <c r="O493" s="22">
        <f t="shared" si="171"/>
        <v>0</v>
      </c>
      <c r="P493" s="22">
        <f t="shared" si="171"/>
        <v>0</v>
      </c>
      <c r="Q493" s="22">
        <f t="shared" si="171"/>
        <v>0</v>
      </c>
      <c r="R493" s="22">
        <f t="shared" si="171"/>
        <v>0</v>
      </c>
      <c r="S493" s="22">
        <f t="shared" si="171"/>
        <v>0</v>
      </c>
      <c r="T493" s="22">
        <f t="shared" si="171"/>
        <v>0</v>
      </c>
      <c r="U493" s="22">
        <f t="shared" si="171"/>
        <v>0</v>
      </c>
      <c r="V493" s="22">
        <f t="shared" si="171"/>
        <v>0</v>
      </c>
      <c r="W493" s="22">
        <f t="shared" si="171"/>
        <v>0</v>
      </c>
      <c r="X493" s="22">
        <f t="shared" si="171"/>
        <v>0</v>
      </c>
      <c r="Y493" s="22">
        <f t="shared" si="171"/>
        <v>0</v>
      </c>
      <c r="Z493" s="22">
        <f t="shared" si="171"/>
        <v>0</v>
      </c>
      <c r="AA493" s="20">
        <f t="shared" si="169"/>
        <v>0</v>
      </c>
      <c r="AB493" s="23"/>
      <c r="AC493" s="2"/>
    </row>
    <row r="494">
      <c r="A494" s="17" t="s">
        <v>38</v>
      </c>
      <c r="B494" s="24" t="str">
        <f t="shared" ref="B494:Z494" si="172">B493/(COUNT(B489:B492)*1)</f>
        <v>#DIV/0!</v>
      </c>
      <c r="C494" s="24" t="str">
        <f t="shared" si="172"/>
        <v>#DIV/0!</v>
      </c>
      <c r="D494" s="24" t="str">
        <f t="shared" si="172"/>
        <v>#DIV/0!</v>
      </c>
      <c r="E494" s="24" t="str">
        <f t="shared" si="172"/>
        <v>#DIV/0!</v>
      </c>
      <c r="F494" s="24" t="str">
        <f t="shared" si="172"/>
        <v>#DIV/0!</v>
      </c>
      <c r="G494" s="24" t="str">
        <f t="shared" si="172"/>
        <v>#DIV/0!</v>
      </c>
      <c r="H494" s="24" t="str">
        <f t="shared" si="172"/>
        <v>#DIV/0!</v>
      </c>
      <c r="I494" s="24" t="str">
        <f t="shared" si="172"/>
        <v>#DIV/0!</v>
      </c>
      <c r="J494" s="24" t="str">
        <f t="shared" si="172"/>
        <v>#DIV/0!</v>
      </c>
      <c r="K494" s="24" t="str">
        <f t="shared" si="172"/>
        <v>#DIV/0!</v>
      </c>
      <c r="L494" s="24" t="str">
        <f t="shared" si="172"/>
        <v>#DIV/0!</v>
      </c>
      <c r="M494" s="24" t="str">
        <f t="shared" si="172"/>
        <v>#DIV/0!</v>
      </c>
      <c r="N494" s="24" t="str">
        <f t="shared" si="172"/>
        <v>#DIV/0!</v>
      </c>
      <c r="O494" s="24" t="str">
        <f t="shared" si="172"/>
        <v>#DIV/0!</v>
      </c>
      <c r="P494" s="24" t="str">
        <f t="shared" si="172"/>
        <v>#DIV/0!</v>
      </c>
      <c r="Q494" s="24" t="str">
        <f t="shared" si="172"/>
        <v>#DIV/0!</v>
      </c>
      <c r="R494" s="24" t="str">
        <f t="shared" si="172"/>
        <v>#DIV/0!</v>
      </c>
      <c r="S494" s="24" t="str">
        <f t="shared" si="172"/>
        <v>#DIV/0!</v>
      </c>
      <c r="T494" s="24" t="str">
        <f t="shared" si="172"/>
        <v>#DIV/0!</v>
      </c>
      <c r="U494" s="24" t="str">
        <f t="shared" si="172"/>
        <v>#DIV/0!</v>
      </c>
      <c r="V494" s="24" t="str">
        <f t="shared" si="172"/>
        <v>#DIV/0!</v>
      </c>
      <c r="W494" s="24" t="str">
        <f t="shared" si="172"/>
        <v>#DIV/0!</v>
      </c>
      <c r="X494" s="24" t="str">
        <f t="shared" si="172"/>
        <v>#DIV/0!</v>
      </c>
      <c r="Y494" s="24" t="str">
        <f t="shared" si="172"/>
        <v>#DIV/0!</v>
      </c>
      <c r="Z494" s="24" t="str">
        <f t="shared" si="172"/>
        <v>#DIV/0!</v>
      </c>
      <c r="AA494" s="25"/>
      <c r="AB494" s="26" t="str">
        <f>SUM(AB489:AB492)/4</f>
        <v>#DIV/0!</v>
      </c>
      <c r="AC494" s="2"/>
    </row>
    <row r="495">
      <c r="A495" s="27" t="s">
        <v>44</v>
      </c>
      <c r="B495" s="28"/>
      <c r="C495" s="2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30">
        <f t="shared" ref="AA495:AA497" si="173">SUM(B495:Z495)</f>
        <v>0</v>
      </c>
      <c r="AB495" s="31"/>
      <c r="AC495" s="2"/>
    </row>
    <row r="496">
      <c r="A496" s="32" t="s">
        <v>45</v>
      </c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28"/>
      <c r="W496" s="28"/>
      <c r="X496" s="28"/>
      <c r="Y496" s="28"/>
      <c r="Z496" s="28"/>
      <c r="AA496" s="30">
        <f t="shared" si="173"/>
        <v>0</v>
      </c>
      <c r="AB496" s="31"/>
      <c r="AC496" s="9"/>
    </row>
    <row r="497">
      <c r="A497" s="34" t="s">
        <v>46</v>
      </c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28"/>
      <c r="W497" s="28"/>
      <c r="X497" s="28"/>
      <c r="Y497" s="28"/>
      <c r="Z497" s="28"/>
      <c r="AA497" s="30">
        <f t="shared" si="173"/>
        <v>0</v>
      </c>
      <c r="AB497" s="31"/>
      <c r="AC497" s="9"/>
    </row>
    <row r="498">
      <c r="A498" s="35" t="s">
        <v>47</v>
      </c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7"/>
      <c r="AA498" s="38"/>
      <c r="AB498" s="39"/>
      <c r="AC498" s="2"/>
    </row>
    <row r="499">
      <c r="A499" s="40" t="s">
        <v>48</v>
      </c>
      <c r="B499" s="41"/>
      <c r="C499" s="42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3"/>
      <c r="W499" s="43"/>
      <c r="X499" s="43"/>
      <c r="Y499" s="43"/>
      <c r="Z499" s="43"/>
      <c r="AA499" s="44">
        <f t="shared" ref="AA499:AA500" si="174">SUM(B499:Z499)</f>
        <v>0</v>
      </c>
      <c r="AB499" s="31"/>
      <c r="AC499" s="2"/>
    </row>
    <row r="500">
      <c r="A500" s="40" t="s">
        <v>49</v>
      </c>
      <c r="B500" s="41"/>
      <c r="C500" s="42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3"/>
      <c r="W500" s="43"/>
      <c r="X500" s="43"/>
      <c r="Y500" s="43"/>
      <c r="Z500" s="43"/>
      <c r="AA500" s="44">
        <f t="shared" si="174"/>
        <v>0</v>
      </c>
      <c r="AB500" s="31"/>
      <c r="AC500" s="2"/>
    </row>
    <row r="501">
      <c r="A501" s="40" t="s">
        <v>50</v>
      </c>
      <c r="B501" s="42"/>
      <c r="C501" s="42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3"/>
      <c r="W501" s="43"/>
      <c r="X501" s="43"/>
      <c r="Y501" s="43"/>
      <c r="Z501" s="43"/>
      <c r="AA501" s="44" t="str">
        <f>AVERAGE(B501:Z501)</f>
        <v>#DIV/0!</v>
      </c>
      <c r="AB501" s="31"/>
      <c r="AC501" s="2"/>
    </row>
    <row r="502">
      <c r="A502" s="45" t="s">
        <v>51</v>
      </c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7"/>
      <c r="AA502" s="46"/>
      <c r="AB502" s="39"/>
      <c r="AC502" s="2"/>
    </row>
    <row r="503">
      <c r="A503" s="47" t="s">
        <v>48</v>
      </c>
      <c r="B503" s="48"/>
      <c r="C503" s="49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50"/>
      <c r="W503" s="50"/>
      <c r="X503" s="50"/>
      <c r="Y503" s="50"/>
      <c r="Z503" s="50"/>
      <c r="AA503" s="51">
        <f t="shared" ref="AA503:AA504" si="175">SUM(B503:Z503)</f>
        <v>0</v>
      </c>
      <c r="AB503" s="31"/>
      <c r="AC503" s="2"/>
    </row>
    <row r="504">
      <c r="A504" s="47" t="s">
        <v>49</v>
      </c>
      <c r="B504" s="48"/>
      <c r="C504" s="49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50"/>
      <c r="W504" s="50"/>
      <c r="X504" s="50"/>
      <c r="Y504" s="50"/>
      <c r="Z504" s="50"/>
      <c r="AA504" s="51">
        <f t="shared" si="175"/>
        <v>0</v>
      </c>
      <c r="AB504" s="31"/>
      <c r="AC504" s="2"/>
    </row>
    <row r="505">
      <c r="A505" s="47" t="s">
        <v>50</v>
      </c>
      <c r="B505" s="49"/>
      <c r="C505" s="49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50"/>
      <c r="W505" s="50"/>
      <c r="X505" s="50"/>
      <c r="Y505" s="50"/>
      <c r="Z505" s="50"/>
      <c r="AA505" s="51" t="str">
        <f>AVERAGE(B505:Z505)</f>
        <v>#DIV/0!</v>
      </c>
      <c r="AB505" s="31"/>
      <c r="AC505" s="2"/>
    </row>
    <row r="506">
      <c r="A506" s="52" t="s">
        <v>53</v>
      </c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7"/>
      <c r="AA506" s="38"/>
      <c r="AB506" s="39"/>
      <c r="AC506" s="2"/>
    </row>
    <row r="507">
      <c r="A507" s="40" t="s">
        <v>48</v>
      </c>
      <c r="B507" s="41"/>
      <c r="C507" s="42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3"/>
      <c r="W507" s="43"/>
      <c r="X507" s="43"/>
      <c r="Y507" s="43"/>
      <c r="Z507" s="43"/>
      <c r="AA507" s="44">
        <f t="shared" ref="AA507:AA508" si="176">SUM(B507:Z507)</f>
        <v>0</v>
      </c>
      <c r="AB507" s="31"/>
      <c r="AC507" s="2"/>
    </row>
    <row r="508">
      <c r="A508" s="40" t="s">
        <v>49</v>
      </c>
      <c r="B508" s="41"/>
      <c r="C508" s="42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3"/>
      <c r="W508" s="43"/>
      <c r="X508" s="43"/>
      <c r="Y508" s="43"/>
      <c r="Z508" s="43"/>
      <c r="AA508" s="44">
        <f t="shared" si="176"/>
        <v>0</v>
      </c>
      <c r="AB508" s="31"/>
      <c r="AC508" s="2"/>
    </row>
    <row r="509">
      <c r="A509" s="53" t="s">
        <v>50</v>
      </c>
      <c r="B509" s="54"/>
      <c r="C509" s="54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6"/>
      <c r="W509" s="56"/>
      <c r="X509" s="56"/>
      <c r="Y509" s="56"/>
      <c r="Z509" s="56"/>
      <c r="AA509" s="57" t="str">
        <f>AVERAGE(B509:Z509)</f>
        <v>#DIV/0!</v>
      </c>
      <c r="AB509" s="58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9"/>
      <c r="AB511" s="9"/>
      <c r="AC511" s="2"/>
    </row>
    <row r="512" ht="15.75" customHeight="1">
      <c r="A512" s="72" t="s">
        <v>55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73" t="s">
        <v>56</v>
      </c>
      <c r="AB512" s="73" t="s">
        <v>57</v>
      </c>
      <c r="AC512" s="2"/>
    </row>
    <row r="513" ht="15.75" customHeight="1">
      <c r="A513" s="74" t="s">
        <v>39</v>
      </c>
      <c r="B513" s="75">
        <f t="shared" ref="B513:Z513" si="177">B6+B29+B52+B75+B98+B121+B144+B167+B190+B213+B236+B259+B282+B305+B328+B351+B374+B397+B420+B443+B466+B489</f>
        <v>6</v>
      </c>
      <c r="C513" s="75">
        <f t="shared" si="177"/>
        <v>8</v>
      </c>
      <c r="D513" s="75">
        <f t="shared" si="177"/>
        <v>8</v>
      </c>
      <c r="E513" s="75">
        <f t="shared" si="177"/>
        <v>5</v>
      </c>
      <c r="F513" s="75">
        <f t="shared" si="177"/>
        <v>6</v>
      </c>
      <c r="G513" s="75">
        <f t="shared" si="177"/>
        <v>5</v>
      </c>
      <c r="H513" s="75">
        <f t="shared" si="177"/>
        <v>5</v>
      </c>
      <c r="I513" s="75">
        <f t="shared" si="177"/>
        <v>5</v>
      </c>
      <c r="J513" s="75">
        <f t="shared" si="177"/>
        <v>6</v>
      </c>
      <c r="K513" s="75">
        <f t="shared" si="177"/>
        <v>7</v>
      </c>
      <c r="L513" s="75">
        <f t="shared" si="177"/>
        <v>6</v>
      </c>
      <c r="M513" s="75">
        <f t="shared" si="177"/>
        <v>5</v>
      </c>
      <c r="N513" s="75">
        <f t="shared" si="177"/>
        <v>5</v>
      </c>
      <c r="O513" s="75">
        <f t="shared" si="177"/>
        <v>9</v>
      </c>
      <c r="P513" s="75">
        <f t="shared" si="177"/>
        <v>9</v>
      </c>
      <c r="Q513" s="75">
        <f t="shared" si="177"/>
        <v>8</v>
      </c>
      <c r="R513" s="75">
        <f t="shared" si="177"/>
        <v>7</v>
      </c>
      <c r="S513" s="75">
        <f t="shared" si="177"/>
        <v>6</v>
      </c>
      <c r="T513" s="75">
        <f t="shared" si="177"/>
        <v>5</v>
      </c>
      <c r="U513" s="75">
        <f t="shared" si="177"/>
        <v>6</v>
      </c>
      <c r="V513" s="75">
        <f t="shared" si="177"/>
        <v>6</v>
      </c>
      <c r="W513" s="75">
        <f t="shared" si="177"/>
        <v>5</v>
      </c>
      <c r="X513" s="75">
        <f t="shared" si="177"/>
        <v>6</v>
      </c>
      <c r="Y513" s="75">
        <f t="shared" si="177"/>
        <v>3</v>
      </c>
      <c r="Z513" s="75">
        <f t="shared" si="177"/>
        <v>2</v>
      </c>
      <c r="AA513" s="76">
        <f t="shared" ref="AA513:AA521" si="179">SUM(B513:Z513)</f>
        <v>149</v>
      </c>
      <c r="AB513" s="77">
        <f t="shared" ref="AB513:AB516" si="180">AA513/(COUNT(B6:Z6,B29:Z29,B52:Z52,B75:Z75,B98:Z98,B121:Z121,B144:Z144,B167:Z167,B190:Z190,B213:Z213,B236:Z236,B259:Z259,B282:Z282,B305:Z305,B328:Z328,B351:Z351,B374:Z374,B397:Z397,B420:Z420,B443:Z443,B466:Z466,B489:Z489))</f>
        <v>0.7487437186</v>
      </c>
      <c r="AC513" s="78" t="s">
        <v>39</v>
      </c>
    </row>
    <row r="514" ht="15.75" customHeight="1">
      <c r="A514" s="17" t="s">
        <v>40</v>
      </c>
      <c r="B514" s="20">
        <f t="shared" ref="B514:Z514" si="178">B7+B30+B53+B76+B99+B122+B145+B168+B191+B214+B237+B260+B283+B306+B329+B352+B375+B398+B421+B444+B467+B490</f>
        <v>6</v>
      </c>
      <c r="C514" s="20">
        <f t="shared" si="178"/>
        <v>6</v>
      </c>
      <c r="D514" s="20">
        <f t="shared" si="178"/>
        <v>6</v>
      </c>
      <c r="E514" s="20">
        <f t="shared" si="178"/>
        <v>7</v>
      </c>
      <c r="F514" s="20">
        <f t="shared" si="178"/>
        <v>6</v>
      </c>
      <c r="G514" s="20">
        <f t="shared" si="178"/>
        <v>7</v>
      </c>
      <c r="H514" s="20">
        <f t="shared" si="178"/>
        <v>6</v>
      </c>
      <c r="I514" s="20">
        <f t="shared" si="178"/>
        <v>8</v>
      </c>
      <c r="J514" s="20">
        <f t="shared" si="178"/>
        <v>6</v>
      </c>
      <c r="K514" s="20">
        <f t="shared" si="178"/>
        <v>8</v>
      </c>
      <c r="L514" s="20">
        <f t="shared" si="178"/>
        <v>8</v>
      </c>
      <c r="M514" s="20">
        <f t="shared" si="178"/>
        <v>5</v>
      </c>
      <c r="N514" s="20">
        <f t="shared" si="178"/>
        <v>5</v>
      </c>
      <c r="O514" s="20">
        <f t="shared" si="178"/>
        <v>9</v>
      </c>
      <c r="P514" s="20">
        <f t="shared" si="178"/>
        <v>9</v>
      </c>
      <c r="Q514" s="20">
        <f t="shared" si="178"/>
        <v>7</v>
      </c>
      <c r="R514" s="20">
        <f t="shared" si="178"/>
        <v>8</v>
      </c>
      <c r="S514" s="20">
        <f t="shared" si="178"/>
        <v>5</v>
      </c>
      <c r="T514" s="20">
        <f t="shared" si="178"/>
        <v>4</v>
      </c>
      <c r="U514" s="20">
        <f t="shared" si="178"/>
        <v>7</v>
      </c>
      <c r="V514" s="20">
        <f t="shared" si="178"/>
        <v>7</v>
      </c>
      <c r="W514" s="20">
        <f t="shared" si="178"/>
        <v>6</v>
      </c>
      <c r="X514" s="20">
        <f t="shared" si="178"/>
        <v>5</v>
      </c>
      <c r="Y514" s="20">
        <f t="shared" si="178"/>
        <v>3</v>
      </c>
      <c r="Z514" s="20">
        <f t="shared" si="178"/>
        <v>2</v>
      </c>
      <c r="AA514" s="79">
        <f t="shared" si="179"/>
        <v>156</v>
      </c>
      <c r="AB514" s="80">
        <f t="shared" si="180"/>
        <v>0.783919598</v>
      </c>
      <c r="AC514" s="81" t="s">
        <v>40</v>
      </c>
    </row>
    <row r="515" ht="15.75" customHeight="1">
      <c r="A515" s="17" t="s">
        <v>41</v>
      </c>
      <c r="B515" s="20">
        <f t="shared" ref="B515:Z515" si="181">B8+B31+B54+B77+B100+B123+B146+B169+B192+B215+B238+B261+B284+B307+B330+B353+B376+B399+B422+B445+B468+B491</f>
        <v>3</v>
      </c>
      <c r="C515" s="20">
        <f t="shared" si="181"/>
        <v>2</v>
      </c>
      <c r="D515" s="20">
        <f t="shared" si="181"/>
        <v>3</v>
      </c>
      <c r="E515" s="20">
        <f t="shared" si="181"/>
        <v>6</v>
      </c>
      <c r="F515" s="20">
        <f t="shared" si="181"/>
        <v>4</v>
      </c>
      <c r="G515" s="20">
        <f t="shared" si="181"/>
        <v>4</v>
      </c>
      <c r="H515" s="20">
        <f t="shared" si="181"/>
        <v>3</v>
      </c>
      <c r="I515" s="20">
        <f t="shared" si="181"/>
        <v>3</v>
      </c>
      <c r="J515" s="20">
        <f t="shared" si="181"/>
        <v>5</v>
      </c>
      <c r="K515" s="20">
        <f t="shared" si="181"/>
        <v>6</v>
      </c>
      <c r="L515" s="20">
        <f t="shared" si="181"/>
        <v>3</v>
      </c>
      <c r="M515" s="20">
        <f t="shared" si="181"/>
        <v>2</v>
      </c>
      <c r="N515" s="20">
        <f t="shared" si="181"/>
        <v>3</v>
      </c>
      <c r="O515" s="20">
        <f t="shared" si="181"/>
        <v>9</v>
      </c>
      <c r="P515" s="20">
        <f t="shared" si="181"/>
        <v>9</v>
      </c>
      <c r="Q515" s="20">
        <f t="shared" si="181"/>
        <v>8</v>
      </c>
      <c r="R515" s="20">
        <f t="shared" si="181"/>
        <v>8</v>
      </c>
      <c r="S515" s="20">
        <f t="shared" si="181"/>
        <v>3</v>
      </c>
      <c r="T515" s="20">
        <f t="shared" si="181"/>
        <v>3</v>
      </c>
      <c r="U515" s="20">
        <f t="shared" si="181"/>
        <v>5</v>
      </c>
      <c r="V515" s="20">
        <f t="shared" si="181"/>
        <v>5</v>
      </c>
      <c r="W515" s="20">
        <f t="shared" si="181"/>
        <v>3</v>
      </c>
      <c r="X515" s="20">
        <f t="shared" si="181"/>
        <v>3</v>
      </c>
      <c r="Y515" s="20">
        <f t="shared" si="181"/>
        <v>2</v>
      </c>
      <c r="Z515" s="20">
        <f t="shared" si="181"/>
        <v>2</v>
      </c>
      <c r="AA515" s="79">
        <f t="shared" si="179"/>
        <v>107</v>
      </c>
      <c r="AB515" s="80">
        <f t="shared" si="180"/>
        <v>0.5376884422</v>
      </c>
      <c r="AC515" s="81" t="s">
        <v>41</v>
      </c>
    </row>
    <row r="516" ht="15.75" customHeight="1">
      <c r="A516" s="17" t="s">
        <v>42</v>
      </c>
      <c r="B516" s="20">
        <f t="shared" ref="B516:Z516" si="182">B9+B32+B55+B78+B101+B124+B147+B170+B193+B216+B239+B262+B285+B308+B331+B354+B377+B400+B423+B446+B469+B492</f>
        <v>6</v>
      </c>
      <c r="C516" s="20">
        <f t="shared" si="182"/>
        <v>6</v>
      </c>
      <c r="D516" s="20">
        <f t="shared" si="182"/>
        <v>4</v>
      </c>
      <c r="E516" s="20">
        <f t="shared" si="182"/>
        <v>4</v>
      </c>
      <c r="F516" s="20">
        <f t="shared" si="182"/>
        <v>5</v>
      </c>
      <c r="G516" s="20">
        <f t="shared" si="182"/>
        <v>5</v>
      </c>
      <c r="H516" s="20">
        <f t="shared" si="182"/>
        <v>7</v>
      </c>
      <c r="I516" s="20">
        <f t="shared" si="182"/>
        <v>4</v>
      </c>
      <c r="J516" s="20">
        <f t="shared" si="182"/>
        <v>6</v>
      </c>
      <c r="K516" s="20">
        <f t="shared" si="182"/>
        <v>7</v>
      </c>
      <c r="L516" s="20">
        <f t="shared" si="182"/>
        <v>5</v>
      </c>
      <c r="M516" s="20">
        <f t="shared" si="182"/>
        <v>5</v>
      </c>
      <c r="N516" s="20">
        <f t="shared" si="182"/>
        <v>4</v>
      </c>
      <c r="O516" s="20">
        <f t="shared" si="182"/>
        <v>7</v>
      </c>
      <c r="P516" s="20">
        <f t="shared" si="182"/>
        <v>9</v>
      </c>
      <c r="Q516" s="20">
        <f t="shared" si="182"/>
        <v>7</v>
      </c>
      <c r="R516" s="20">
        <f t="shared" si="182"/>
        <v>7</v>
      </c>
      <c r="S516" s="20">
        <f t="shared" si="182"/>
        <v>3</v>
      </c>
      <c r="T516" s="20">
        <f t="shared" si="182"/>
        <v>4</v>
      </c>
      <c r="U516" s="20">
        <f t="shared" si="182"/>
        <v>5</v>
      </c>
      <c r="V516" s="20">
        <f t="shared" si="182"/>
        <v>4</v>
      </c>
      <c r="W516" s="20">
        <f t="shared" si="182"/>
        <v>4</v>
      </c>
      <c r="X516" s="20">
        <f t="shared" si="182"/>
        <v>4</v>
      </c>
      <c r="Y516" s="20">
        <f t="shared" si="182"/>
        <v>3</v>
      </c>
      <c r="Z516" s="20">
        <f t="shared" si="182"/>
        <v>2</v>
      </c>
      <c r="AA516" s="79">
        <f t="shared" si="179"/>
        <v>127</v>
      </c>
      <c r="AB516" s="80">
        <f t="shared" si="180"/>
        <v>0.6381909548</v>
      </c>
      <c r="AC516" s="81" t="s">
        <v>42</v>
      </c>
    </row>
    <row r="517" ht="15.75" hidden="1" customHeight="1">
      <c r="A517" s="82"/>
      <c r="B517" s="20">
        <f t="shared" ref="B517:Z517" si="183">B513+B514+B515+B516</f>
        <v>21</v>
      </c>
      <c r="C517" s="20">
        <f t="shared" si="183"/>
        <v>22</v>
      </c>
      <c r="D517" s="20">
        <f t="shared" si="183"/>
        <v>21</v>
      </c>
      <c r="E517" s="20">
        <f t="shared" si="183"/>
        <v>22</v>
      </c>
      <c r="F517" s="20">
        <f t="shared" si="183"/>
        <v>21</v>
      </c>
      <c r="G517" s="20">
        <f t="shared" si="183"/>
        <v>21</v>
      </c>
      <c r="H517" s="20">
        <f t="shared" si="183"/>
        <v>21</v>
      </c>
      <c r="I517" s="20">
        <f t="shared" si="183"/>
        <v>20</v>
      </c>
      <c r="J517" s="20">
        <f t="shared" si="183"/>
        <v>23</v>
      </c>
      <c r="K517" s="20">
        <f t="shared" si="183"/>
        <v>28</v>
      </c>
      <c r="L517" s="20">
        <f t="shared" si="183"/>
        <v>22</v>
      </c>
      <c r="M517" s="20">
        <f t="shared" si="183"/>
        <v>17</v>
      </c>
      <c r="N517" s="20">
        <f t="shared" si="183"/>
        <v>17</v>
      </c>
      <c r="O517" s="20">
        <f t="shared" si="183"/>
        <v>34</v>
      </c>
      <c r="P517" s="20">
        <f t="shared" si="183"/>
        <v>36</v>
      </c>
      <c r="Q517" s="20">
        <f t="shared" si="183"/>
        <v>30</v>
      </c>
      <c r="R517" s="20">
        <f t="shared" si="183"/>
        <v>30</v>
      </c>
      <c r="S517" s="20">
        <f t="shared" si="183"/>
        <v>17</v>
      </c>
      <c r="T517" s="20">
        <f t="shared" si="183"/>
        <v>16</v>
      </c>
      <c r="U517" s="20">
        <f t="shared" si="183"/>
        <v>23</v>
      </c>
      <c r="V517" s="20">
        <f t="shared" si="183"/>
        <v>22</v>
      </c>
      <c r="W517" s="20">
        <f t="shared" si="183"/>
        <v>18</v>
      </c>
      <c r="X517" s="20">
        <f t="shared" si="183"/>
        <v>18</v>
      </c>
      <c r="Y517" s="20">
        <f t="shared" si="183"/>
        <v>11</v>
      </c>
      <c r="Z517" s="20">
        <f t="shared" si="183"/>
        <v>8</v>
      </c>
      <c r="AA517" s="79">
        <f t="shared" si="179"/>
        <v>539</v>
      </c>
      <c r="AB517" s="83"/>
      <c r="AC517" s="82"/>
    </row>
    <row r="518" ht="15.75" customHeight="1">
      <c r="A518" s="84" t="s">
        <v>58</v>
      </c>
      <c r="B518" s="85">
        <f t="shared" ref="B518:Z518" si="184">B517/(COUNT(B6:B9,B29:B32,B52:B55,B75:B78,B98:B101,B121:B124,B144:B147,B167:B170,B190:B193,B213:B216,B236:B239,B259:B262,B282:B285,B305:B308,B328:B331,B351:B354,B374:B377,B397:B400,B420:B423,B443:B446,B466:B469,B489:B492)*1)</f>
        <v>0.875</v>
      </c>
      <c r="C518" s="85">
        <f t="shared" si="184"/>
        <v>0.6111111111</v>
      </c>
      <c r="D518" s="85">
        <f t="shared" si="184"/>
        <v>0.5833333333</v>
      </c>
      <c r="E518" s="85">
        <f t="shared" si="184"/>
        <v>0.6111111111</v>
      </c>
      <c r="F518" s="85">
        <f t="shared" si="184"/>
        <v>0.5833333333</v>
      </c>
      <c r="G518" s="85">
        <f t="shared" si="184"/>
        <v>0.5833333333</v>
      </c>
      <c r="H518" s="85">
        <f t="shared" si="184"/>
        <v>0.5833333333</v>
      </c>
      <c r="I518" s="85">
        <f t="shared" si="184"/>
        <v>0.5555555556</v>
      </c>
      <c r="J518" s="85">
        <f t="shared" si="184"/>
        <v>0.6388888889</v>
      </c>
      <c r="K518" s="85">
        <f t="shared" si="184"/>
        <v>0.7777777778</v>
      </c>
      <c r="L518" s="85">
        <f t="shared" si="184"/>
        <v>0.6111111111</v>
      </c>
      <c r="M518" s="85">
        <f t="shared" si="184"/>
        <v>0.53125</v>
      </c>
      <c r="N518" s="85">
        <f t="shared" si="184"/>
        <v>0.53125</v>
      </c>
      <c r="O518" s="85">
        <f t="shared" si="184"/>
        <v>0.9444444444</v>
      </c>
      <c r="P518" s="85">
        <f t="shared" si="184"/>
        <v>1</v>
      </c>
      <c r="Q518" s="85">
        <f t="shared" si="184"/>
        <v>0.8333333333</v>
      </c>
      <c r="R518" s="85">
        <f t="shared" si="184"/>
        <v>0.8333333333</v>
      </c>
      <c r="S518" s="85">
        <f t="shared" si="184"/>
        <v>0.4722222222</v>
      </c>
      <c r="T518" s="85">
        <f t="shared" si="184"/>
        <v>0.5</v>
      </c>
      <c r="U518" s="85">
        <f t="shared" si="184"/>
        <v>0.71875</v>
      </c>
      <c r="V518" s="85">
        <f t="shared" si="184"/>
        <v>0.6875</v>
      </c>
      <c r="W518" s="85">
        <f t="shared" si="184"/>
        <v>0.6428571429</v>
      </c>
      <c r="X518" s="85">
        <f t="shared" si="184"/>
        <v>0.75</v>
      </c>
      <c r="Y518" s="85">
        <f t="shared" si="184"/>
        <v>0.9166666667</v>
      </c>
      <c r="Z518" s="85">
        <f t="shared" si="184"/>
        <v>1</v>
      </c>
      <c r="AA518" s="86">
        <f t="shared" si="179"/>
        <v>17.37549603</v>
      </c>
      <c r="AB518" s="80">
        <f>SUM(AB513:AB516)/4</f>
        <v>0.6771356784</v>
      </c>
      <c r="AC518" s="87" t="s">
        <v>58</v>
      </c>
    </row>
    <row r="519">
      <c r="A519" s="27" t="s">
        <v>44</v>
      </c>
      <c r="B519" s="88">
        <f t="shared" ref="B519:Z519" si="185">B12+B35+B58+B81+B104+B127+B150+B173+B196+B219+B242+B265+B288+B311+B334+B357+B380+B403+B426+B449+B472+B495</f>
        <v>0</v>
      </c>
      <c r="C519" s="88">
        <f t="shared" si="185"/>
        <v>0</v>
      </c>
      <c r="D519" s="88">
        <f t="shared" si="185"/>
        <v>0</v>
      </c>
      <c r="E519" s="88">
        <f t="shared" si="185"/>
        <v>0</v>
      </c>
      <c r="F519" s="88">
        <f t="shared" si="185"/>
        <v>0</v>
      </c>
      <c r="G519" s="88">
        <f t="shared" si="185"/>
        <v>0</v>
      </c>
      <c r="H519" s="88">
        <f t="shared" si="185"/>
        <v>0</v>
      </c>
      <c r="I519" s="88">
        <f t="shared" si="185"/>
        <v>20</v>
      </c>
      <c r="J519" s="88">
        <f t="shared" si="185"/>
        <v>0</v>
      </c>
      <c r="K519" s="88">
        <f t="shared" si="185"/>
        <v>0</v>
      </c>
      <c r="L519" s="88">
        <f t="shared" si="185"/>
        <v>0</v>
      </c>
      <c r="M519" s="88">
        <f t="shared" si="185"/>
        <v>0</v>
      </c>
      <c r="N519" s="88">
        <f t="shared" si="185"/>
        <v>0</v>
      </c>
      <c r="O519" s="88">
        <f t="shared" si="185"/>
        <v>0</v>
      </c>
      <c r="P519" s="88">
        <f t="shared" si="185"/>
        <v>0</v>
      </c>
      <c r="Q519" s="88">
        <f t="shared" si="185"/>
        <v>0</v>
      </c>
      <c r="R519" s="88">
        <f t="shared" si="185"/>
        <v>0</v>
      </c>
      <c r="S519" s="88">
        <f t="shared" si="185"/>
        <v>0</v>
      </c>
      <c r="T519" s="88">
        <f t="shared" si="185"/>
        <v>0</v>
      </c>
      <c r="U519" s="88">
        <f t="shared" si="185"/>
        <v>0</v>
      </c>
      <c r="V519" s="88">
        <f t="shared" si="185"/>
        <v>0</v>
      </c>
      <c r="W519" s="88">
        <f t="shared" si="185"/>
        <v>0</v>
      </c>
      <c r="X519" s="88">
        <f t="shared" si="185"/>
        <v>0</v>
      </c>
      <c r="Y519" s="88">
        <f t="shared" si="185"/>
        <v>0</v>
      </c>
      <c r="Z519" s="88">
        <f t="shared" si="185"/>
        <v>0</v>
      </c>
      <c r="AA519" s="89">
        <f t="shared" si="179"/>
        <v>20</v>
      </c>
      <c r="AB519" s="90" t="s">
        <v>59</v>
      </c>
      <c r="AC519" s="91"/>
    </row>
    <row r="520" ht="15.75" customHeight="1">
      <c r="A520" s="32" t="s">
        <v>45</v>
      </c>
      <c r="B520" s="88">
        <f t="shared" ref="B520:Z520" si="186">B13+B36+B59+B82+B105+B128+B151+B174+B197+B220+B243+B266+B289+B312+B335+B358+B381+B404+B427+B450+B473+B496</f>
        <v>0</v>
      </c>
      <c r="C520" s="88">
        <f t="shared" si="186"/>
        <v>0</v>
      </c>
      <c r="D520" s="88">
        <f t="shared" si="186"/>
        <v>0</v>
      </c>
      <c r="E520" s="88">
        <f t="shared" si="186"/>
        <v>0</v>
      </c>
      <c r="F520" s="88">
        <f t="shared" si="186"/>
        <v>0</v>
      </c>
      <c r="G520" s="88">
        <f t="shared" si="186"/>
        <v>0</v>
      </c>
      <c r="H520" s="88">
        <f t="shared" si="186"/>
        <v>0</v>
      </c>
      <c r="I520" s="88">
        <f t="shared" si="186"/>
        <v>0</v>
      </c>
      <c r="J520" s="88">
        <f t="shared" si="186"/>
        <v>0</v>
      </c>
      <c r="K520" s="88">
        <f t="shared" si="186"/>
        <v>0</v>
      </c>
      <c r="L520" s="88">
        <f t="shared" si="186"/>
        <v>0</v>
      </c>
      <c r="M520" s="88">
        <f t="shared" si="186"/>
        <v>0</v>
      </c>
      <c r="N520" s="88">
        <f t="shared" si="186"/>
        <v>0</v>
      </c>
      <c r="O520" s="88">
        <f t="shared" si="186"/>
        <v>0</v>
      </c>
      <c r="P520" s="88">
        <f t="shared" si="186"/>
        <v>0</v>
      </c>
      <c r="Q520" s="88">
        <f t="shared" si="186"/>
        <v>0</v>
      </c>
      <c r="R520" s="88">
        <f t="shared" si="186"/>
        <v>0</v>
      </c>
      <c r="S520" s="88">
        <f t="shared" si="186"/>
        <v>0</v>
      </c>
      <c r="T520" s="88">
        <f t="shared" si="186"/>
        <v>0</v>
      </c>
      <c r="U520" s="88">
        <f t="shared" si="186"/>
        <v>0</v>
      </c>
      <c r="V520" s="88">
        <f t="shared" si="186"/>
        <v>0</v>
      </c>
      <c r="W520" s="88">
        <f t="shared" si="186"/>
        <v>0</v>
      </c>
      <c r="X520" s="88">
        <f t="shared" si="186"/>
        <v>0</v>
      </c>
      <c r="Y520" s="88">
        <f t="shared" si="186"/>
        <v>0</v>
      </c>
      <c r="Z520" s="88">
        <f t="shared" si="186"/>
        <v>0</v>
      </c>
      <c r="AA520" s="89">
        <f t="shared" si="179"/>
        <v>0</v>
      </c>
      <c r="AB520" s="90" t="s">
        <v>59</v>
      </c>
      <c r="AC520" s="92"/>
    </row>
    <row r="521">
      <c r="A521" s="93" t="s">
        <v>46</v>
      </c>
      <c r="B521" s="88">
        <f t="shared" ref="B521:Z521" si="187">B14+B37+B60+B83+B106+B129+B152+B175+B198+B221+B244+B267+B290+B313+B336+B359+B382+B405+B428+B451+B474+B497</f>
        <v>0</v>
      </c>
      <c r="C521" s="88">
        <f t="shared" si="187"/>
        <v>0</v>
      </c>
      <c r="D521" s="88">
        <f t="shared" si="187"/>
        <v>0</v>
      </c>
      <c r="E521" s="88">
        <f t="shared" si="187"/>
        <v>0</v>
      </c>
      <c r="F521" s="88">
        <f t="shared" si="187"/>
        <v>0</v>
      </c>
      <c r="G521" s="88">
        <f t="shared" si="187"/>
        <v>0</v>
      </c>
      <c r="H521" s="88">
        <f t="shared" si="187"/>
        <v>0</v>
      </c>
      <c r="I521" s="88">
        <f t="shared" si="187"/>
        <v>0</v>
      </c>
      <c r="J521" s="88">
        <f t="shared" si="187"/>
        <v>0</v>
      </c>
      <c r="K521" s="88">
        <f t="shared" si="187"/>
        <v>0</v>
      </c>
      <c r="L521" s="88">
        <f t="shared" si="187"/>
        <v>0</v>
      </c>
      <c r="M521" s="88">
        <f t="shared" si="187"/>
        <v>0</v>
      </c>
      <c r="N521" s="88">
        <f t="shared" si="187"/>
        <v>0</v>
      </c>
      <c r="O521" s="88">
        <f t="shared" si="187"/>
        <v>0</v>
      </c>
      <c r="P521" s="88">
        <f t="shared" si="187"/>
        <v>0</v>
      </c>
      <c r="Q521" s="88">
        <f t="shared" si="187"/>
        <v>0</v>
      </c>
      <c r="R521" s="88">
        <f t="shared" si="187"/>
        <v>0</v>
      </c>
      <c r="S521" s="88">
        <f t="shared" si="187"/>
        <v>0</v>
      </c>
      <c r="T521" s="88">
        <f t="shared" si="187"/>
        <v>0</v>
      </c>
      <c r="U521" s="88">
        <f t="shared" si="187"/>
        <v>0</v>
      </c>
      <c r="V521" s="88">
        <f t="shared" si="187"/>
        <v>0</v>
      </c>
      <c r="W521" s="88">
        <f t="shared" si="187"/>
        <v>0</v>
      </c>
      <c r="X521" s="88">
        <f t="shared" si="187"/>
        <v>0</v>
      </c>
      <c r="Y521" s="88">
        <f t="shared" si="187"/>
        <v>0</v>
      </c>
      <c r="Z521" s="88">
        <f t="shared" si="187"/>
        <v>0</v>
      </c>
      <c r="AA521" s="89">
        <f t="shared" si="179"/>
        <v>0</v>
      </c>
      <c r="AB521" s="90" t="s">
        <v>59</v>
      </c>
      <c r="AC521" s="92"/>
    </row>
    <row r="522">
      <c r="A522" s="94" t="s">
        <v>47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95"/>
      <c r="AB522" s="96" t="s">
        <v>47</v>
      </c>
      <c r="AC522" s="95"/>
    </row>
    <row r="523" ht="15.75" customHeight="1">
      <c r="A523" s="97" t="s">
        <v>48</v>
      </c>
      <c r="B523" s="98">
        <f t="shared" ref="B523:Z523" si="188">B16+B39+B62+B85+B108+B131+B154+B177+B200+B223+B246+B269+B292+B315+B338+B361+B384+B407+B430+B453+B476+B499</f>
        <v>0</v>
      </c>
      <c r="C523" s="98">
        <f t="shared" si="188"/>
        <v>0</v>
      </c>
      <c r="D523" s="98">
        <f t="shared" si="188"/>
        <v>0</v>
      </c>
      <c r="E523" s="98">
        <f t="shared" si="188"/>
        <v>3</v>
      </c>
      <c r="F523" s="98">
        <f t="shared" si="188"/>
        <v>3</v>
      </c>
      <c r="G523" s="98">
        <f t="shared" si="188"/>
        <v>4</v>
      </c>
      <c r="H523" s="98">
        <f t="shared" si="188"/>
        <v>4</v>
      </c>
      <c r="I523" s="98">
        <f t="shared" si="188"/>
        <v>5</v>
      </c>
      <c r="J523" s="98">
        <f t="shared" si="188"/>
        <v>3</v>
      </c>
      <c r="K523" s="98">
        <f t="shared" si="188"/>
        <v>3</v>
      </c>
      <c r="L523" s="98">
        <f t="shared" si="188"/>
        <v>3</v>
      </c>
      <c r="M523" s="98">
        <f t="shared" si="188"/>
        <v>2</v>
      </c>
      <c r="N523" s="98">
        <f t="shared" si="188"/>
        <v>3</v>
      </c>
      <c r="O523" s="98">
        <f t="shared" si="188"/>
        <v>0</v>
      </c>
      <c r="P523" s="98">
        <f t="shared" si="188"/>
        <v>0</v>
      </c>
      <c r="Q523" s="98">
        <f t="shared" si="188"/>
        <v>0</v>
      </c>
      <c r="R523" s="98">
        <f t="shared" si="188"/>
        <v>1</v>
      </c>
      <c r="S523" s="98">
        <f t="shared" si="188"/>
        <v>2</v>
      </c>
      <c r="T523" s="98">
        <f t="shared" si="188"/>
        <v>3</v>
      </c>
      <c r="U523" s="98">
        <f t="shared" si="188"/>
        <v>1</v>
      </c>
      <c r="V523" s="98">
        <f t="shared" si="188"/>
        <v>1</v>
      </c>
      <c r="W523" s="98">
        <f t="shared" si="188"/>
        <v>1</v>
      </c>
      <c r="X523" s="98">
        <f t="shared" si="188"/>
        <v>0</v>
      </c>
      <c r="Y523" s="98">
        <f t="shared" si="188"/>
        <v>0</v>
      </c>
      <c r="Z523" s="98">
        <f t="shared" si="188"/>
        <v>0</v>
      </c>
      <c r="AA523" s="99">
        <f t="shared" ref="AA523:AA524" si="190">SUM(B523:Z523)</f>
        <v>42</v>
      </c>
      <c r="AB523" s="100" t="s">
        <v>60</v>
      </c>
      <c r="AC523" s="95"/>
    </row>
    <row r="524" ht="15.75" customHeight="1">
      <c r="A524" s="97" t="s">
        <v>49</v>
      </c>
      <c r="B524" s="98">
        <f t="shared" ref="B524:Z524" si="189">B17+B40+B63+B86+B109+B132+B155+B178+B201+B224+B247+B270+B293+B316+B339+B362+B385+B408+B431+B454+B477+B500</f>
        <v>0</v>
      </c>
      <c r="C524" s="98">
        <f t="shared" si="189"/>
        <v>0</v>
      </c>
      <c r="D524" s="98">
        <f t="shared" si="189"/>
        <v>0</v>
      </c>
      <c r="E524" s="98">
        <f t="shared" si="189"/>
        <v>33</v>
      </c>
      <c r="F524" s="98">
        <f t="shared" si="189"/>
        <v>45</v>
      </c>
      <c r="G524" s="98">
        <f t="shared" si="189"/>
        <v>70</v>
      </c>
      <c r="H524" s="98">
        <f t="shared" si="189"/>
        <v>65</v>
      </c>
      <c r="I524" s="98">
        <f t="shared" si="189"/>
        <v>80</v>
      </c>
      <c r="J524" s="98">
        <f t="shared" si="189"/>
        <v>60</v>
      </c>
      <c r="K524" s="98">
        <f t="shared" si="189"/>
        <v>42</v>
      </c>
      <c r="L524" s="98">
        <f t="shared" si="189"/>
        <v>60</v>
      </c>
      <c r="M524" s="98">
        <f t="shared" si="189"/>
        <v>30</v>
      </c>
      <c r="N524" s="98">
        <f t="shared" si="189"/>
        <v>45</v>
      </c>
      <c r="O524" s="98">
        <f t="shared" si="189"/>
        <v>0</v>
      </c>
      <c r="P524" s="98">
        <f t="shared" si="189"/>
        <v>0</v>
      </c>
      <c r="Q524" s="98">
        <f t="shared" si="189"/>
        <v>0</v>
      </c>
      <c r="R524" s="98">
        <f t="shared" si="189"/>
        <v>20</v>
      </c>
      <c r="S524" s="98">
        <f t="shared" si="189"/>
        <v>30</v>
      </c>
      <c r="T524" s="98">
        <f t="shared" si="189"/>
        <v>60</v>
      </c>
      <c r="U524" s="98">
        <f t="shared" si="189"/>
        <v>20</v>
      </c>
      <c r="V524" s="98">
        <f t="shared" si="189"/>
        <v>10</v>
      </c>
      <c r="W524" s="98">
        <f t="shared" si="189"/>
        <v>10</v>
      </c>
      <c r="X524" s="98">
        <f t="shared" si="189"/>
        <v>0</v>
      </c>
      <c r="Y524" s="98">
        <f t="shared" si="189"/>
        <v>0</v>
      </c>
      <c r="Z524" s="98">
        <f t="shared" si="189"/>
        <v>0</v>
      </c>
      <c r="AA524" s="99">
        <f t="shared" si="190"/>
        <v>680</v>
      </c>
      <c r="AB524" s="100" t="s">
        <v>61</v>
      </c>
      <c r="AC524" s="95"/>
    </row>
    <row r="525" ht="15.75" customHeight="1">
      <c r="A525" s="101" t="s">
        <v>62</v>
      </c>
      <c r="B525" s="102">
        <f t="shared" ref="B525:Z525" si="191">SUM(B18,B41,B64,B87,B110,B133,B156,B179,B202,B225,B248,B271,B294,B317,B340,B363,B386,B409,B432,B455,B478,B501)</f>
        <v>0</v>
      </c>
      <c r="C525" s="102">
        <f t="shared" si="191"/>
        <v>0</v>
      </c>
      <c r="D525" s="102">
        <f t="shared" si="191"/>
        <v>0</v>
      </c>
      <c r="E525" s="102">
        <f t="shared" si="191"/>
        <v>6</v>
      </c>
      <c r="F525" s="102">
        <f t="shared" si="191"/>
        <v>5</v>
      </c>
      <c r="G525" s="102">
        <f t="shared" si="191"/>
        <v>7</v>
      </c>
      <c r="H525" s="102">
        <f t="shared" si="191"/>
        <v>7</v>
      </c>
      <c r="I525" s="102">
        <f t="shared" si="191"/>
        <v>9</v>
      </c>
      <c r="J525" s="102">
        <f t="shared" si="191"/>
        <v>5</v>
      </c>
      <c r="K525" s="102">
        <f t="shared" si="191"/>
        <v>6</v>
      </c>
      <c r="L525" s="102">
        <f t="shared" si="191"/>
        <v>5</v>
      </c>
      <c r="M525" s="102">
        <f t="shared" si="191"/>
        <v>3</v>
      </c>
      <c r="N525" s="102">
        <f t="shared" si="191"/>
        <v>6</v>
      </c>
      <c r="O525" s="102">
        <f t="shared" si="191"/>
        <v>0</v>
      </c>
      <c r="P525" s="102">
        <f t="shared" si="191"/>
        <v>0</v>
      </c>
      <c r="Q525" s="102">
        <f t="shared" si="191"/>
        <v>0</v>
      </c>
      <c r="R525" s="102">
        <f t="shared" si="191"/>
        <v>4</v>
      </c>
      <c r="S525" s="102">
        <f t="shared" si="191"/>
        <v>5</v>
      </c>
      <c r="T525" s="102">
        <f t="shared" si="191"/>
        <v>27</v>
      </c>
      <c r="U525" s="102">
        <f t="shared" si="191"/>
        <v>2</v>
      </c>
      <c r="V525" s="102">
        <f t="shared" si="191"/>
        <v>1</v>
      </c>
      <c r="W525" s="102">
        <f t="shared" si="191"/>
        <v>1</v>
      </c>
      <c r="X525" s="102">
        <f t="shared" si="191"/>
        <v>0</v>
      </c>
      <c r="Y525" s="102">
        <f t="shared" si="191"/>
        <v>0</v>
      </c>
      <c r="Z525" s="102">
        <f t="shared" si="191"/>
        <v>0</v>
      </c>
      <c r="AA525" s="103"/>
      <c r="AB525" s="104"/>
      <c r="AC525" s="105"/>
    </row>
    <row r="526" ht="15.75" customHeight="1">
      <c r="A526" s="106" t="s">
        <v>50</v>
      </c>
      <c r="B526" s="107" t="str">
        <f t="shared" ref="B526:Z526" si="192">B525/COUNT(B18,B41,B64,B87,B110,B133,B156,B179,B202,B225,B248,B271,B294,B317,B340,B363,B386,B409,B432,B455,B478,B501)</f>
        <v>#DIV/0!</v>
      </c>
      <c r="C526" s="107" t="str">
        <f t="shared" si="192"/>
        <v>#DIV/0!</v>
      </c>
      <c r="D526" s="107" t="str">
        <f t="shared" si="192"/>
        <v>#DIV/0!</v>
      </c>
      <c r="E526" s="107">
        <f t="shared" si="192"/>
        <v>2</v>
      </c>
      <c r="F526" s="107">
        <f t="shared" si="192"/>
        <v>1.666666667</v>
      </c>
      <c r="G526" s="107">
        <f t="shared" si="192"/>
        <v>1.75</v>
      </c>
      <c r="H526" s="107">
        <f t="shared" si="192"/>
        <v>1.75</v>
      </c>
      <c r="I526" s="107">
        <f t="shared" si="192"/>
        <v>1.8</v>
      </c>
      <c r="J526" s="107">
        <f t="shared" si="192"/>
        <v>1.666666667</v>
      </c>
      <c r="K526" s="107">
        <f t="shared" si="192"/>
        <v>2</v>
      </c>
      <c r="L526" s="107">
        <f t="shared" si="192"/>
        <v>1.666666667</v>
      </c>
      <c r="M526" s="107">
        <f t="shared" si="192"/>
        <v>1.5</v>
      </c>
      <c r="N526" s="107">
        <f t="shared" si="192"/>
        <v>2</v>
      </c>
      <c r="O526" s="107" t="str">
        <f t="shared" si="192"/>
        <v>#DIV/0!</v>
      </c>
      <c r="P526" s="107" t="str">
        <f t="shared" si="192"/>
        <v>#DIV/0!</v>
      </c>
      <c r="Q526" s="107" t="str">
        <f t="shared" si="192"/>
        <v>#DIV/0!</v>
      </c>
      <c r="R526" s="107">
        <f t="shared" si="192"/>
        <v>4</v>
      </c>
      <c r="S526" s="107">
        <f t="shared" si="192"/>
        <v>2.5</v>
      </c>
      <c r="T526" s="107">
        <f t="shared" si="192"/>
        <v>9</v>
      </c>
      <c r="U526" s="107">
        <f t="shared" si="192"/>
        <v>2</v>
      </c>
      <c r="V526" s="107">
        <f t="shared" si="192"/>
        <v>1</v>
      </c>
      <c r="W526" s="107">
        <f t="shared" si="192"/>
        <v>1</v>
      </c>
      <c r="X526" s="107" t="str">
        <f t="shared" si="192"/>
        <v>#DIV/0!</v>
      </c>
      <c r="Y526" s="107" t="str">
        <f t="shared" si="192"/>
        <v>#DIV/0!</v>
      </c>
      <c r="Z526" s="107" t="str">
        <f t="shared" si="192"/>
        <v>#DIV/0!</v>
      </c>
      <c r="AA526" s="108">
        <f>round(AVERAGEif(B526:Z526, "&gt;0"),0)</f>
        <v>2</v>
      </c>
      <c r="AB526" s="109" t="s">
        <v>63</v>
      </c>
      <c r="AC526" s="110"/>
    </row>
    <row r="527" ht="15.75" customHeight="1">
      <c r="A527" s="111" t="s">
        <v>51</v>
      </c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3"/>
      <c r="AB527" s="114" t="s">
        <v>51</v>
      </c>
      <c r="AC527" s="113"/>
    </row>
    <row r="528" ht="15.75" customHeight="1">
      <c r="A528" s="115" t="s">
        <v>48</v>
      </c>
      <c r="B528" s="20">
        <f t="shared" ref="B528:Z528" si="193">B20+B43+B66+B89+B112+B135+B158+B181+B204+B227+B250+B273+B296+B319+B342+B365+B388+B411+B434+B457+B480+B503</f>
        <v>0</v>
      </c>
      <c r="C528" s="20">
        <f t="shared" si="193"/>
        <v>0</v>
      </c>
      <c r="D528" s="20">
        <f t="shared" si="193"/>
        <v>0</v>
      </c>
      <c r="E528" s="20">
        <f t="shared" si="193"/>
        <v>0</v>
      </c>
      <c r="F528" s="20">
        <f t="shared" si="193"/>
        <v>0</v>
      </c>
      <c r="G528" s="20">
        <f t="shared" si="193"/>
        <v>0</v>
      </c>
      <c r="H528" s="20">
        <f t="shared" si="193"/>
        <v>0</v>
      </c>
      <c r="I528" s="20">
        <f t="shared" si="193"/>
        <v>0</v>
      </c>
      <c r="J528" s="20">
        <f t="shared" si="193"/>
        <v>0</v>
      </c>
      <c r="K528" s="20">
        <f t="shared" si="193"/>
        <v>0</v>
      </c>
      <c r="L528" s="20">
        <f t="shared" si="193"/>
        <v>0</v>
      </c>
      <c r="M528" s="20">
        <f t="shared" si="193"/>
        <v>0</v>
      </c>
      <c r="N528" s="20">
        <f t="shared" si="193"/>
        <v>0</v>
      </c>
      <c r="O528" s="20">
        <f t="shared" si="193"/>
        <v>0</v>
      </c>
      <c r="P528" s="20">
        <f t="shared" si="193"/>
        <v>0</v>
      </c>
      <c r="Q528" s="20">
        <f t="shared" si="193"/>
        <v>0</v>
      </c>
      <c r="R528" s="20">
        <f t="shared" si="193"/>
        <v>0</v>
      </c>
      <c r="S528" s="20">
        <f t="shared" si="193"/>
        <v>0</v>
      </c>
      <c r="T528" s="20">
        <f t="shared" si="193"/>
        <v>0</v>
      </c>
      <c r="U528" s="20">
        <f t="shared" si="193"/>
        <v>0</v>
      </c>
      <c r="V528" s="20">
        <f t="shared" si="193"/>
        <v>0</v>
      </c>
      <c r="W528" s="20">
        <f t="shared" si="193"/>
        <v>0</v>
      </c>
      <c r="X528" s="20">
        <f t="shared" si="193"/>
        <v>0</v>
      </c>
      <c r="Y528" s="20">
        <f t="shared" si="193"/>
        <v>0</v>
      </c>
      <c r="Z528" s="20">
        <f t="shared" si="193"/>
        <v>0</v>
      </c>
      <c r="AA528" s="116">
        <f t="shared" ref="AA528:AA529" si="195">SUM(B528:Z528)</f>
        <v>0</v>
      </c>
      <c r="AB528" s="114" t="s">
        <v>64</v>
      </c>
      <c r="AC528" s="113"/>
    </row>
    <row r="529" ht="15.75" customHeight="1">
      <c r="A529" s="115" t="s">
        <v>49</v>
      </c>
      <c r="B529" s="20">
        <f t="shared" ref="B529:Z529" si="194">B21+B44+B67+B90+B113+B136+B159+B182+B205+B228+B251+B274+B297+B320+B343+B366+B389+B412+B435+B458+B481+B504</f>
        <v>0</v>
      </c>
      <c r="C529" s="20">
        <f t="shared" si="194"/>
        <v>0</v>
      </c>
      <c r="D529" s="20">
        <f t="shared" si="194"/>
        <v>0</v>
      </c>
      <c r="E529" s="20">
        <f t="shared" si="194"/>
        <v>0</v>
      </c>
      <c r="F529" s="20">
        <f t="shared" si="194"/>
        <v>0</v>
      </c>
      <c r="G529" s="20">
        <f t="shared" si="194"/>
        <v>0</v>
      </c>
      <c r="H529" s="20">
        <f t="shared" si="194"/>
        <v>0</v>
      </c>
      <c r="I529" s="20">
        <f t="shared" si="194"/>
        <v>0</v>
      </c>
      <c r="J529" s="20">
        <f t="shared" si="194"/>
        <v>0</v>
      </c>
      <c r="K529" s="20">
        <f t="shared" si="194"/>
        <v>0</v>
      </c>
      <c r="L529" s="20">
        <f t="shared" si="194"/>
        <v>0</v>
      </c>
      <c r="M529" s="20">
        <f t="shared" si="194"/>
        <v>0</v>
      </c>
      <c r="N529" s="20">
        <f t="shared" si="194"/>
        <v>0</v>
      </c>
      <c r="O529" s="20">
        <f t="shared" si="194"/>
        <v>0</v>
      </c>
      <c r="P529" s="20">
        <f t="shared" si="194"/>
        <v>0</v>
      </c>
      <c r="Q529" s="20">
        <f t="shared" si="194"/>
        <v>0</v>
      </c>
      <c r="R529" s="20">
        <f t="shared" si="194"/>
        <v>0</v>
      </c>
      <c r="S529" s="20">
        <f t="shared" si="194"/>
        <v>0</v>
      </c>
      <c r="T529" s="20">
        <f t="shared" si="194"/>
        <v>0</v>
      </c>
      <c r="U529" s="20">
        <f t="shared" si="194"/>
        <v>0</v>
      </c>
      <c r="V529" s="20">
        <f t="shared" si="194"/>
        <v>0</v>
      </c>
      <c r="W529" s="20">
        <f t="shared" si="194"/>
        <v>0</v>
      </c>
      <c r="X529" s="20">
        <f t="shared" si="194"/>
        <v>0</v>
      </c>
      <c r="Y529" s="20">
        <f t="shared" si="194"/>
        <v>0</v>
      </c>
      <c r="Z529" s="20">
        <f t="shared" si="194"/>
        <v>0</v>
      </c>
      <c r="AA529" s="116">
        <f t="shared" si="195"/>
        <v>0</v>
      </c>
      <c r="AB529" s="114" t="s">
        <v>65</v>
      </c>
      <c r="AC529" s="113"/>
    </row>
    <row r="530" ht="15.75" customHeight="1">
      <c r="A530" s="101" t="s">
        <v>62</v>
      </c>
      <c r="B530" s="102">
        <f t="shared" ref="B530:Z530" si="196">sum(B22,B45,B68,B91,B114,B137,B160,B183,B206,B229,B252,B275,B298,B321,B344,B367,B390,B413,B436,B459,B482,B505)</f>
        <v>0</v>
      </c>
      <c r="C530" s="102">
        <f t="shared" si="196"/>
        <v>0</v>
      </c>
      <c r="D530" s="102">
        <f t="shared" si="196"/>
        <v>0</v>
      </c>
      <c r="E530" s="102">
        <f t="shared" si="196"/>
        <v>0</v>
      </c>
      <c r="F530" s="102">
        <f t="shared" si="196"/>
        <v>0</v>
      </c>
      <c r="G530" s="102">
        <f t="shared" si="196"/>
        <v>0</v>
      </c>
      <c r="H530" s="102">
        <f t="shared" si="196"/>
        <v>0</v>
      </c>
      <c r="I530" s="102">
        <f t="shared" si="196"/>
        <v>0</v>
      </c>
      <c r="J530" s="102">
        <f t="shared" si="196"/>
        <v>0</v>
      </c>
      <c r="K530" s="102">
        <f t="shared" si="196"/>
        <v>0</v>
      </c>
      <c r="L530" s="102">
        <f t="shared" si="196"/>
        <v>0</v>
      </c>
      <c r="M530" s="102">
        <f t="shared" si="196"/>
        <v>0</v>
      </c>
      <c r="N530" s="102">
        <f t="shared" si="196"/>
        <v>0</v>
      </c>
      <c r="O530" s="102">
        <f t="shared" si="196"/>
        <v>0</v>
      </c>
      <c r="P530" s="102">
        <f t="shared" si="196"/>
        <v>0</v>
      </c>
      <c r="Q530" s="102">
        <f t="shared" si="196"/>
        <v>0</v>
      </c>
      <c r="R530" s="102">
        <f t="shared" si="196"/>
        <v>0</v>
      </c>
      <c r="S530" s="102">
        <f t="shared" si="196"/>
        <v>0</v>
      </c>
      <c r="T530" s="102">
        <f t="shared" si="196"/>
        <v>0</v>
      </c>
      <c r="U530" s="102">
        <f t="shared" si="196"/>
        <v>0</v>
      </c>
      <c r="V530" s="102">
        <f t="shared" si="196"/>
        <v>0</v>
      </c>
      <c r="W530" s="102">
        <f t="shared" si="196"/>
        <v>0</v>
      </c>
      <c r="X530" s="102">
        <f t="shared" si="196"/>
        <v>0</v>
      </c>
      <c r="Y530" s="102">
        <f t="shared" si="196"/>
        <v>0</v>
      </c>
      <c r="Z530" s="102">
        <f t="shared" si="196"/>
        <v>0</v>
      </c>
      <c r="AA530" s="105"/>
      <c r="AB530" s="104"/>
      <c r="AC530" s="105"/>
    </row>
    <row r="531" ht="15.75" customHeight="1">
      <c r="A531" s="115" t="s">
        <v>50</v>
      </c>
      <c r="B531" s="20" t="str">
        <f t="shared" ref="B531:Z531" si="197">B530/count(B22,B45,B68,B91,B114,B137,B160,B183,B206,B229,B252,B275,B298,B321,B344,B367,B390,B413,B436,B459,B482,B505)</f>
        <v>#DIV/0!</v>
      </c>
      <c r="C531" s="20" t="str">
        <f t="shared" si="197"/>
        <v>#DIV/0!</v>
      </c>
      <c r="D531" s="20" t="str">
        <f t="shared" si="197"/>
        <v>#DIV/0!</v>
      </c>
      <c r="E531" s="20" t="str">
        <f t="shared" si="197"/>
        <v>#DIV/0!</v>
      </c>
      <c r="F531" s="20" t="str">
        <f t="shared" si="197"/>
        <v>#DIV/0!</v>
      </c>
      <c r="G531" s="20" t="str">
        <f t="shared" si="197"/>
        <v>#DIV/0!</v>
      </c>
      <c r="H531" s="20" t="str">
        <f t="shared" si="197"/>
        <v>#DIV/0!</v>
      </c>
      <c r="I531" s="20" t="str">
        <f t="shared" si="197"/>
        <v>#DIV/0!</v>
      </c>
      <c r="J531" s="20" t="str">
        <f t="shared" si="197"/>
        <v>#DIV/0!</v>
      </c>
      <c r="K531" s="20" t="str">
        <f t="shared" si="197"/>
        <v>#DIV/0!</v>
      </c>
      <c r="L531" s="20" t="str">
        <f t="shared" si="197"/>
        <v>#DIV/0!</v>
      </c>
      <c r="M531" s="20" t="str">
        <f t="shared" si="197"/>
        <v>#DIV/0!</v>
      </c>
      <c r="N531" s="20" t="str">
        <f t="shared" si="197"/>
        <v>#DIV/0!</v>
      </c>
      <c r="O531" s="20" t="str">
        <f t="shared" si="197"/>
        <v>#DIV/0!</v>
      </c>
      <c r="P531" s="20" t="str">
        <f t="shared" si="197"/>
        <v>#DIV/0!</v>
      </c>
      <c r="Q531" s="20" t="str">
        <f t="shared" si="197"/>
        <v>#DIV/0!</v>
      </c>
      <c r="R531" s="20" t="str">
        <f t="shared" si="197"/>
        <v>#DIV/0!</v>
      </c>
      <c r="S531" s="20" t="str">
        <f t="shared" si="197"/>
        <v>#DIV/0!</v>
      </c>
      <c r="T531" s="20" t="str">
        <f t="shared" si="197"/>
        <v>#DIV/0!</v>
      </c>
      <c r="U531" s="20" t="str">
        <f t="shared" si="197"/>
        <v>#DIV/0!</v>
      </c>
      <c r="V531" s="20" t="str">
        <f t="shared" si="197"/>
        <v>#DIV/0!</v>
      </c>
      <c r="W531" s="20" t="str">
        <f t="shared" si="197"/>
        <v>#DIV/0!</v>
      </c>
      <c r="X531" s="20" t="str">
        <f t="shared" si="197"/>
        <v>#DIV/0!</v>
      </c>
      <c r="Y531" s="20" t="str">
        <f t="shared" si="197"/>
        <v>#DIV/0!</v>
      </c>
      <c r="Z531" s="20" t="str">
        <f t="shared" si="197"/>
        <v>#DIV/0!</v>
      </c>
      <c r="AA531" s="116" t="str">
        <f>round(AVERAGEif(B531:Z531, "&gt;0"),0)</f>
        <v>#DIV/0!</v>
      </c>
      <c r="AB531" s="114" t="s">
        <v>63</v>
      </c>
      <c r="AC531" s="113"/>
    </row>
    <row r="532" ht="15.75" customHeight="1">
      <c r="A532" s="117" t="s">
        <v>53</v>
      </c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9"/>
      <c r="AB532" s="120" t="s">
        <v>53</v>
      </c>
      <c r="AC532" s="119"/>
    </row>
    <row r="533" ht="15.75" customHeight="1">
      <c r="A533" s="97" t="s">
        <v>48</v>
      </c>
      <c r="B533" s="98">
        <f t="shared" ref="B533:Z533" si="198">B24+B47+B70+B93+B116+B139+B162+B185+B208+B231+B254+B277+B300+B323+B346+B369+B392+B415+B438+B461+B484+B507</f>
        <v>0</v>
      </c>
      <c r="C533" s="98">
        <f t="shared" si="198"/>
        <v>0</v>
      </c>
      <c r="D533" s="98">
        <f t="shared" si="198"/>
        <v>0</v>
      </c>
      <c r="E533" s="98">
        <f t="shared" si="198"/>
        <v>0</v>
      </c>
      <c r="F533" s="98">
        <f t="shared" si="198"/>
        <v>0</v>
      </c>
      <c r="G533" s="98">
        <f t="shared" si="198"/>
        <v>0</v>
      </c>
      <c r="H533" s="98">
        <f t="shared" si="198"/>
        <v>0</v>
      </c>
      <c r="I533" s="98">
        <f t="shared" si="198"/>
        <v>0</v>
      </c>
      <c r="J533" s="98">
        <f t="shared" si="198"/>
        <v>0</v>
      </c>
      <c r="K533" s="98">
        <f t="shared" si="198"/>
        <v>0</v>
      </c>
      <c r="L533" s="98">
        <f t="shared" si="198"/>
        <v>0</v>
      </c>
      <c r="M533" s="98">
        <f t="shared" si="198"/>
        <v>0</v>
      </c>
      <c r="N533" s="98">
        <f t="shared" si="198"/>
        <v>0</v>
      </c>
      <c r="O533" s="98">
        <f t="shared" si="198"/>
        <v>0</v>
      </c>
      <c r="P533" s="98">
        <f t="shared" si="198"/>
        <v>0</v>
      </c>
      <c r="Q533" s="98">
        <f t="shared" si="198"/>
        <v>0</v>
      </c>
      <c r="R533" s="98">
        <f t="shared" si="198"/>
        <v>0</v>
      </c>
      <c r="S533" s="98">
        <f t="shared" si="198"/>
        <v>0</v>
      </c>
      <c r="T533" s="98">
        <f t="shared" si="198"/>
        <v>0</v>
      </c>
      <c r="U533" s="98">
        <f t="shared" si="198"/>
        <v>0</v>
      </c>
      <c r="V533" s="98">
        <f t="shared" si="198"/>
        <v>0</v>
      </c>
      <c r="W533" s="98">
        <f t="shared" si="198"/>
        <v>0</v>
      </c>
      <c r="X533" s="98">
        <f t="shared" si="198"/>
        <v>0</v>
      </c>
      <c r="Y533" s="98">
        <f t="shared" si="198"/>
        <v>0</v>
      </c>
      <c r="Z533" s="98">
        <f t="shared" si="198"/>
        <v>0</v>
      </c>
      <c r="AA533" s="121">
        <f t="shared" ref="AA533:AA534" si="200">SUM(B533:Z533)</f>
        <v>0</v>
      </c>
      <c r="AB533" s="120" t="s">
        <v>66</v>
      </c>
      <c r="AC533" s="119"/>
    </row>
    <row r="534" ht="15.75" customHeight="1">
      <c r="A534" s="97" t="s">
        <v>49</v>
      </c>
      <c r="B534" s="98">
        <f t="shared" ref="B534:Z534" si="199">B25+B48+B71+B94+B117+B140+B163+B186+B209+B232+B255+B278+B301+B324+B347+B370+B393+B416+B439+B462+B485+B508</f>
        <v>0</v>
      </c>
      <c r="C534" s="98">
        <f t="shared" si="199"/>
        <v>0</v>
      </c>
      <c r="D534" s="98">
        <f t="shared" si="199"/>
        <v>0</v>
      </c>
      <c r="E534" s="98">
        <f t="shared" si="199"/>
        <v>0</v>
      </c>
      <c r="F534" s="98">
        <f t="shared" si="199"/>
        <v>0</v>
      </c>
      <c r="G534" s="98">
        <f t="shared" si="199"/>
        <v>0</v>
      </c>
      <c r="H534" s="98">
        <f t="shared" si="199"/>
        <v>0</v>
      </c>
      <c r="I534" s="98">
        <f t="shared" si="199"/>
        <v>0</v>
      </c>
      <c r="J534" s="98">
        <f t="shared" si="199"/>
        <v>0</v>
      </c>
      <c r="K534" s="98">
        <f t="shared" si="199"/>
        <v>0</v>
      </c>
      <c r="L534" s="98">
        <f t="shared" si="199"/>
        <v>0</v>
      </c>
      <c r="M534" s="98">
        <f t="shared" si="199"/>
        <v>0</v>
      </c>
      <c r="N534" s="98">
        <f t="shared" si="199"/>
        <v>0</v>
      </c>
      <c r="O534" s="98">
        <f t="shared" si="199"/>
        <v>0</v>
      </c>
      <c r="P534" s="98">
        <f t="shared" si="199"/>
        <v>0</v>
      </c>
      <c r="Q534" s="98">
        <f t="shared" si="199"/>
        <v>0</v>
      </c>
      <c r="R534" s="98">
        <f t="shared" si="199"/>
        <v>0</v>
      </c>
      <c r="S534" s="98">
        <f t="shared" si="199"/>
        <v>0</v>
      </c>
      <c r="T534" s="98">
        <f t="shared" si="199"/>
        <v>0</v>
      </c>
      <c r="U534" s="98">
        <f t="shared" si="199"/>
        <v>0</v>
      </c>
      <c r="V534" s="98">
        <f t="shared" si="199"/>
        <v>0</v>
      </c>
      <c r="W534" s="98">
        <f t="shared" si="199"/>
        <v>0</v>
      </c>
      <c r="X534" s="98">
        <f t="shared" si="199"/>
        <v>0</v>
      </c>
      <c r="Y534" s="98">
        <f t="shared" si="199"/>
        <v>0</v>
      </c>
      <c r="Z534" s="98">
        <f t="shared" si="199"/>
        <v>0</v>
      </c>
      <c r="AA534" s="121">
        <f t="shared" si="200"/>
        <v>0</v>
      </c>
      <c r="AB534" s="120" t="s">
        <v>67</v>
      </c>
      <c r="AC534" s="119"/>
    </row>
    <row r="535" ht="15.75" customHeight="1">
      <c r="A535" s="122" t="s">
        <v>62</v>
      </c>
      <c r="B535" s="123">
        <f t="shared" ref="B535:Z535" si="201">sum(B26,B49,B72,B95,B118,B141,B164,B187,B210,B233,B256,B279,B302,B325,B348,B371,B394,B417,B440,B463,B486,B509)</f>
        <v>0</v>
      </c>
      <c r="C535" s="123">
        <f t="shared" si="201"/>
        <v>0</v>
      </c>
      <c r="D535" s="123">
        <f t="shared" si="201"/>
        <v>0</v>
      </c>
      <c r="E535" s="123">
        <f t="shared" si="201"/>
        <v>0</v>
      </c>
      <c r="F535" s="123">
        <f t="shared" si="201"/>
        <v>0</v>
      </c>
      <c r="G535" s="123">
        <f t="shared" si="201"/>
        <v>0</v>
      </c>
      <c r="H535" s="123">
        <f t="shared" si="201"/>
        <v>0</v>
      </c>
      <c r="I535" s="123">
        <f t="shared" si="201"/>
        <v>0</v>
      </c>
      <c r="J535" s="123">
        <f t="shared" si="201"/>
        <v>0</v>
      </c>
      <c r="K535" s="123">
        <f t="shared" si="201"/>
        <v>0</v>
      </c>
      <c r="L535" s="123">
        <f t="shared" si="201"/>
        <v>0</v>
      </c>
      <c r="M535" s="123">
        <f t="shared" si="201"/>
        <v>0</v>
      </c>
      <c r="N535" s="123">
        <f t="shared" si="201"/>
        <v>0</v>
      </c>
      <c r="O535" s="123">
        <f t="shared" si="201"/>
        <v>0</v>
      </c>
      <c r="P535" s="123">
        <f t="shared" si="201"/>
        <v>0</v>
      </c>
      <c r="Q535" s="123">
        <f t="shared" si="201"/>
        <v>0</v>
      </c>
      <c r="R535" s="123">
        <f t="shared" si="201"/>
        <v>0</v>
      </c>
      <c r="S535" s="123">
        <f t="shared" si="201"/>
        <v>0</v>
      </c>
      <c r="T535" s="123">
        <f t="shared" si="201"/>
        <v>0</v>
      </c>
      <c r="U535" s="123">
        <f t="shared" si="201"/>
        <v>0</v>
      </c>
      <c r="V535" s="123">
        <f t="shared" si="201"/>
        <v>0</v>
      </c>
      <c r="W535" s="123">
        <f t="shared" si="201"/>
        <v>0</v>
      </c>
      <c r="X535" s="123">
        <f t="shared" si="201"/>
        <v>0</v>
      </c>
      <c r="Y535" s="123">
        <f t="shared" si="201"/>
        <v>0</v>
      </c>
      <c r="Z535" s="123">
        <f t="shared" si="201"/>
        <v>0</v>
      </c>
      <c r="AA535" s="124"/>
      <c r="AB535" s="124"/>
      <c r="AC535" s="122"/>
    </row>
    <row r="536" ht="15.75" customHeight="1">
      <c r="A536" s="106" t="s">
        <v>50</v>
      </c>
      <c r="B536" s="107" t="str">
        <f t="shared" ref="B536:Z536" si="202">B535/count(B26,B49,B72,B95,B118,B141,B164,B187,B210,B233,B256,B279,B302,B325,B348,B371,B394,B417,B440,B463,B486,B509)</f>
        <v>#DIV/0!</v>
      </c>
      <c r="C536" s="107" t="str">
        <f t="shared" si="202"/>
        <v>#DIV/0!</v>
      </c>
      <c r="D536" s="107" t="str">
        <f t="shared" si="202"/>
        <v>#DIV/0!</v>
      </c>
      <c r="E536" s="107" t="str">
        <f t="shared" si="202"/>
        <v>#DIV/0!</v>
      </c>
      <c r="F536" s="107" t="str">
        <f t="shared" si="202"/>
        <v>#DIV/0!</v>
      </c>
      <c r="G536" s="107" t="str">
        <f t="shared" si="202"/>
        <v>#DIV/0!</v>
      </c>
      <c r="H536" s="107" t="str">
        <f t="shared" si="202"/>
        <v>#DIV/0!</v>
      </c>
      <c r="I536" s="107" t="str">
        <f t="shared" si="202"/>
        <v>#DIV/0!</v>
      </c>
      <c r="J536" s="107" t="str">
        <f t="shared" si="202"/>
        <v>#DIV/0!</v>
      </c>
      <c r="K536" s="107" t="str">
        <f t="shared" si="202"/>
        <v>#DIV/0!</v>
      </c>
      <c r="L536" s="107" t="str">
        <f t="shared" si="202"/>
        <v>#DIV/0!</v>
      </c>
      <c r="M536" s="107" t="str">
        <f t="shared" si="202"/>
        <v>#DIV/0!</v>
      </c>
      <c r="N536" s="107" t="str">
        <f t="shared" si="202"/>
        <v>#DIV/0!</v>
      </c>
      <c r="O536" s="107" t="str">
        <f t="shared" si="202"/>
        <v>#DIV/0!</v>
      </c>
      <c r="P536" s="107" t="str">
        <f t="shared" si="202"/>
        <v>#DIV/0!</v>
      </c>
      <c r="Q536" s="107" t="str">
        <f t="shared" si="202"/>
        <v>#DIV/0!</v>
      </c>
      <c r="R536" s="107" t="str">
        <f t="shared" si="202"/>
        <v>#DIV/0!</v>
      </c>
      <c r="S536" s="107" t="str">
        <f t="shared" si="202"/>
        <v>#DIV/0!</v>
      </c>
      <c r="T536" s="107" t="str">
        <f t="shared" si="202"/>
        <v>#DIV/0!</v>
      </c>
      <c r="U536" s="107" t="str">
        <f t="shared" si="202"/>
        <v>#DIV/0!</v>
      </c>
      <c r="V536" s="107" t="str">
        <f t="shared" si="202"/>
        <v>#DIV/0!</v>
      </c>
      <c r="W536" s="107" t="str">
        <f t="shared" si="202"/>
        <v>#DIV/0!</v>
      </c>
      <c r="X536" s="107" t="str">
        <f t="shared" si="202"/>
        <v>#DIV/0!</v>
      </c>
      <c r="Y536" s="107" t="str">
        <f t="shared" si="202"/>
        <v>#DIV/0!</v>
      </c>
      <c r="Z536" s="107" t="str">
        <f t="shared" si="202"/>
        <v>#DIV/0!</v>
      </c>
      <c r="AA536" s="125" t="str">
        <f>round(AVERAGEif(B536:Z536, "&gt;0"),0)</f>
        <v>#DIV/0!</v>
      </c>
      <c r="AB536" s="126" t="s">
        <v>63</v>
      </c>
      <c r="AC536" s="127"/>
    </row>
  </sheetData>
  <mergeCells count="78">
    <mergeCell ref="A222:Z222"/>
    <mergeCell ref="A226:Z226"/>
    <mergeCell ref="A230:Z230"/>
    <mergeCell ref="A245:Z245"/>
    <mergeCell ref="A249:Z249"/>
    <mergeCell ref="A253:Z253"/>
    <mergeCell ref="A268:Z268"/>
    <mergeCell ref="A272:Z272"/>
    <mergeCell ref="A276:Z276"/>
    <mergeCell ref="A291:Z291"/>
    <mergeCell ref="A295:Z295"/>
    <mergeCell ref="A299:Z299"/>
    <mergeCell ref="A314:Z314"/>
    <mergeCell ref="A318:Z318"/>
    <mergeCell ref="A322:Z322"/>
    <mergeCell ref="A337:Z337"/>
    <mergeCell ref="A341:Z341"/>
    <mergeCell ref="A345:Z345"/>
    <mergeCell ref="A360:Z360"/>
    <mergeCell ref="A364:Z364"/>
    <mergeCell ref="A368:Z368"/>
    <mergeCell ref="A383:Z383"/>
    <mergeCell ref="A387:Z387"/>
    <mergeCell ref="A391:Z391"/>
    <mergeCell ref="A406:Z406"/>
    <mergeCell ref="A410:Z410"/>
    <mergeCell ref="A414:Z414"/>
    <mergeCell ref="A429:Z429"/>
    <mergeCell ref="A483:Z483"/>
    <mergeCell ref="A498:Z498"/>
    <mergeCell ref="A502:Z502"/>
    <mergeCell ref="A506:Z506"/>
    <mergeCell ref="A433:Z433"/>
    <mergeCell ref="A437:Z437"/>
    <mergeCell ref="A452:Z452"/>
    <mergeCell ref="A456:Z456"/>
    <mergeCell ref="A460:Z460"/>
    <mergeCell ref="A475:Z475"/>
    <mergeCell ref="A479:Z479"/>
    <mergeCell ref="Q2:R2"/>
    <mergeCell ref="S2:T2"/>
    <mergeCell ref="U2:V2"/>
    <mergeCell ref="W2:Y2"/>
    <mergeCell ref="A1:AB1"/>
    <mergeCell ref="C2:D2"/>
    <mergeCell ref="E2:F2"/>
    <mergeCell ref="G2:H2"/>
    <mergeCell ref="I2:J2"/>
    <mergeCell ref="K2:L2"/>
    <mergeCell ref="M2:P2"/>
    <mergeCell ref="A4:AB4"/>
    <mergeCell ref="A15:Z15"/>
    <mergeCell ref="A19:Z19"/>
    <mergeCell ref="A23:Z23"/>
    <mergeCell ref="A38:Z38"/>
    <mergeCell ref="A42:Z42"/>
    <mergeCell ref="A46:Z46"/>
    <mergeCell ref="A61:Z61"/>
    <mergeCell ref="A65:Z65"/>
    <mergeCell ref="A69:Z69"/>
    <mergeCell ref="A84:Z84"/>
    <mergeCell ref="A88:Z88"/>
    <mergeCell ref="A92:Z92"/>
    <mergeCell ref="A107:Z107"/>
    <mergeCell ref="A111:Z111"/>
    <mergeCell ref="A115:Z115"/>
    <mergeCell ref="A130:Z130"/>
    <mergeCell ref="A134:Z134"/>
    <mergeCell ref="A138:Z138"/>
    <mergeCell ref="A153:Z153"/>
    <mergeCell ref="A157:Z157"/>
    <mergeCell ref="A161:Z161"/>
    <mergeCell ref="A176:Z176"/>
    <mergeCell ref="A180:Z180"/>
    <mergeCell ref="A184:Z184"/>
    <mergeCell ref="A199:Z199"/>
    <mergeCell ref="A203:Z203"/>
    <mergeCell ref="A207:Z20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5.71"/>
    <col customWidth="1" min="2" max="2" width="8.86"/>
    <col customWidth="1" min="3" max="4" width="5.86"/>
    <col customWidth="1" min="5" max="5" width="9.43"/>
    <col customWidth="1" min="6" max="14" width="5.86"/>
    <col customWidth="1" min="15" max="16" width="8.71"/>
    <col customWidth="1" min="17" max="17" width="6.43"/>
    <col customWidth="1" min="18" max="23" width="5.86"/>
    <col customWidth="1" min="24" max="24" width="12.71"/>
    <col customWidth="1" min="25" max="25" width="5.86"/>
    <col customWidth="1" min="26" max="26" width="9.57"/>
    <col customWidth="1" min="27" max="27" width="8.14"/>
    <col customWidth="1" min="28" max="28" width="9.14"/>
    <col customWidth="1" min="29" max="29" width="28.0"/>
  </cols>
  <sheetData>
    <row r="1">
      <c r="A1" s="1" t="s">
        <v>0</v>
      </c>
      <c r="AC1" s="2"/>
    </row>
    <row r="2">
      <c r="A2" s="3"/>
      <c r="B2" s="4"/>
      <c r="C2" s="5" t="s">
        <v>1</v>
      </c>
      <c r="D2" s="6"/>
      <c r="E2" s="5" t="s">
        <v>2</v>
      </c>
      <c r="F2" s="6"/>
      <c r="G2" s="5" t="s">
        <v>3</v>
      </c>
      <c r="H2" s="6"/>
      <c r="I2" s="5" t="s">
        <v>4</v>
      </c>
      <c r="J2" s="6"/>
      <c r="K2" s="5" t="s">
        <v>5</v>
      </c>
      <c r="L2" s="6"/>
      <c r="M2" s="5" t="s">
        <v>6</v>
      </c>
      <c r="N2" s="7"/>
      <c r="O2" s="7"/>
      <c r="P2" s="6"/>
      <c r="Q2" s="5" t="s">
        <v>7</v>
      </c>
      <c r="R2" s="6"/>
      <c r="S2" s="5" t="s">
        <v>8</v>
      </c>
      <c r="T2" s="6"/>
      <c r="U2" s="5" t="s">
        <v>9</v>
      </c>
      <c r="V2" s="6"/>
      <c r="W2" s="5" t="s">
        <v>1</v>
      </c>
      <c r="X2" s="7"/>
      <c r="Y2" s="6"/>
      <c r="Z2" s="8"/>
      <c r="AA2" s="3"/>
      <c r="AB2" s="3"/>
      <c r="AC2" s="9"/>
    </row>
    <row r="3">
      <c r="A3" s="3"/>
      <c r="B3" s="10" t="s">
        <v>10</v>
      </c>
      <c r="C3" s="10" t="s">
        <v>11</v>
      </c>
      <c r="D3" s="11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3"/>
      <c r="AB3" s="3"/>
      <c r="AC3" s="9"/>
    </row>
    <row r="4">
      <c r="A4" s="1" t="s">
        <v>68</v>
      </c>
      <c r="AC4" s="12" t="s">
        <v>36</v>
      </c>
    </row>
    <row r="5">
      <c r="A5" s="13">
        <v>46119.0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 t="s">
        <v>37</v>
      </c>
      <c r="AB5" s="16" t="s">
        <v>38</v>
      </c>
      <c r="AC5" s="2"/>
    </row>
    <row r="6">
      <c r="A6" s="17" t="s">
        <v>39</v>
      </c>
      <c r="B6" s="18"/>
      <c r="C6" s="19">
        <v>1.0</v>
      </c>
      <c r="D6" s="19">
        <v>1.0</v>
      </c>
      <c r="E6" s="19">
        <v>1.0</v>
      </c>
      <c r="F6" s="19">
        <v>1.0</v>
      </c>
      <c r="G6" s="19">
        <v>1.0</v>
      </c>
      <c r="H6" s="19">
        <v>1.0</v>
      </c>
      <c r="I6" s="19">
        <v>1.0</v>
      </c>
      <c r="J6" s="19">
        <v>1.0</v>
      </c>
      <c r="K6" s="19">
        <v>1.0</v>
      </c>
      <c r="L6" s="19">
        <v>1.0</v>
      </c>
      <c r="M6" s="19">
        <v>1.0</v>
      </c>
      <c r="N6" s="19">
        <v>1.0</v>
      </c>
      <c r="O6" s="19">
        <v>1.0</v>
      </c>
      <c r="P6" s="19">
        <v>1.0</v>
      </c>
      <c r="Q6" s="19">
        <v>1.0</v>
      </c>
      <c r="R6" s="19">
        <v>1.0</v>
      </c>
      <c r="S6" s="19">
        <v>1.0</v>
      </c>
      <c r="T6" s="19">
        <v>1.0</v>
      </c>
      <c r="U6" s="19">
        <v>1.0</v>
      </c>
      <c r="V6" s="19">
        <v>1.0</v>
      </c>
      <c r="W6" s="18"/>
      <c r="X6" s="18"/>
      <c r="Y6" s="18"/>
      <c r="Z6" s="18"/>
      <c r="AA6" s="20">
        <f t="shared" ref="AA6:AA10" si="1">SUM(B6:Z6)</f>
        <v>20</v>
      </c>
      <c r="AB6" s="21">
        <f t="shared" ref="AB6:AB9" si="2">AA6/(COUNT(B6:Z6)*1)</f>
        <v>1</v>
      </c>
      <c r="AC6" s="2"/>
    </row>
    <row r="7">
      <c r="A7" s="17" t="s">
        <v>40</v>
      </c>
      <c r="B7" s="18"/>
      <c r="C7" s="19">
        <v>1.0</v>
      </c>
      <c r="D7" s="19">
        <v>1.0</v>
      </c>
      <c r="E7" s="19">
        <v>0.0</v>
      </c>
      <c r="F7" s="19">
        <v>1.0</v>
      </c>
      <c r="G7" s="19">
        <v>1.0</v>
      </c>
      <c r="H7" s="19">
        <v>1.0</v>
      </c>
      <c r="I7" s="19">
        <v>0.0</v>
      </c>
      <c r="J7" s="19">
        <v>1.0</v>
      </c>
      <c r="K7" s="19">
        <v>1.0</v>
      </c>
      <c r="L7" s="19">
        <v>1.0</v>
      </c>
      <c r="M7" s="19">
        <v>1.0</v>
      </c>
      <c r="N7" s="19">
        <v>1.0</v>
      </c>
      <c r="O7" s="19">
        <v>1.0</v>
      </c>
      <c r="P7" s="19">
        <v>1.0</v>
      </c>
      <c r="Q7" s="19">
        <v>1.0</v>
      </c>
      <c r="R7" s="19">
        <v>1.0</v>
      </c>
      <c r="S7" s="19">
        <v>1.0</v>
      </c>
      <c r="T7" s="19">
        <v>1.0</v>
      </c>
      <c r="U7" s="19">
        <v>1.0</v>
      </c>
      <c r="V7" s="19">
        <v>1.0</v>
      </c>
      <c r="W7" s="18"/>
      <c r="X7" s="18"/>
      <c r="Y7" s="18"/>
      <c r="Z7" s="18"/>
      <c r="AA7" s="20">
        <f t="shared" si="1"/>
        <v>18</v>
      </c>
      <c r="AB7" s="21">
        <f t="shared" si="2"/>
        <v>0.9</v>
      </c>
      <c r="AC7" s="2"/>
    </row>
    <row r="8">
      <c r="A8" s="17" t="s">
        <v>41</v>
      </c>
      <c r="B8" s="18"/>
      <c r="C8" s="19">
        <v>0.0</v>
      </c>
      <c r="D8" s="19">
        <v>1.0</v>
      </c>
      <c r="E8" s="19">
        <v>1.0</v>
      </c>
      <c r="F8" s="19">
        <v>1.0</v>
      </c>
      <c r="G8" s="19">
        <v>0.0</v>
      </c>
      <c r="H8" s="19">
        <v>1.0</v>
      </c>
      <c r="I8" s="19">
        <v>0.0</v>
      </c>
      <c r="J8" s="19">
        <v>1.0</v>
      </c>
      <c r="K8" s="19">
        <v>1.0</v>
      </c>
      <c r="L8" s="19">
        <v>1.0</v>
      </c>
      <c r="M8" s="19">
        <v>1.0</v>
      </c>
      <c r="N8" s="19">
        <v>1.0</v>
      </c>
      <c r="O8" s="19">
        <v>1.0</v>
      </c>
      <c r="P8" s="19">
        <v>1.0</v>
      </c>
      <c r="Q8" s="19">
        <v>1.0</v>
      </c>
      <c r="R8" s="19">
        <v>1.0</v>
      </c>
      <c r="S8" s="19">
        <v>1.0</v>
      </c>
      <c r="T8" s="19">
        <v>1.0</v>
      </c>
      <c r="U8" s="19">
        <v>1.0</v>
      </c>
      <c r="V8" s="19">
        <v>0.0</v>
      </c>
      <c r="W8" s="18"/>
      <c r="X8" s="18"/>
      <c r="Y8" s="18"/>
      <c r="Z8" s="18"/>
      <c r="AA8" s="20">
        <f t="shared" si="1"/>
        <v>16</v>
      </c>
      <c r="AB8" s="21">
        <f t="shared" si="2"/>
        <v>0.8</v>
      </c>
      <c r="AC8" s="2"/>
    </row>
    <row r="9">
      <c r="A9" s="17" t="s">
        <v>42</v>
      </c>
      <c r="B9" s="18"/>
      <c r="C9" s="19">
        <v>0.0</v>
      </c>
      <c r="D9" s="19">
        <v>0.0</v>
      </c>
      <c r="E9" s="19">
        <v>1.0</v>
      </c>
      <c r="F9" s="19">
        <v>1.0</v>
      </c>
      <c r="G9" s="19">
        <v>1.0</v>
      </c>
      <c r="H9" s="19">
        <v>1.0</v>
      </c>
      <c r="I9" s="19">
        <v>0.0</v>
      </c>
      <c r="J9" s="19">
        <v>0.0</v>
      </c>
      <c r="K9" s="19">
        <v>1.0</v>
      </c>
      <c r="L9" s="19">
        <v>1.0</v>
      </c>
      <c r="M9" s="19">
        <v>0.0</v>
      </c>
      <c r="N9" s="19">
        <v>0.0</v>
      </c>
      <c r="O9" s="19">
        <v>0.0</v>
      </c>
      <c r="P9" s="19">
        <v>1.0</v>
      </c>
      <c r="Q9" s="19">
        <v>0.0</v>
      </c>
      <c r="R9" s="19">
        <v>1.0</v>
      </c>
      <c r="S9" s="19">
        <v>0.0</v>
      </c>
      <c r="T9" s="19">
        <v>0.0</v>
      </c>
      <c r="U9" s="19">
        <v>0.0</v>
      </c>
      <c r="V9" s="19">
        <v>1.0</v>
      </c>
      <c r="W9" s="18"/>
      <c r="X9" s="18"/>
      <c r="Y9" s="18"/>
      <c r="Z9" s="18"/>
      <c r="AA9" s="20">
        <f t="shared" si="1"/>
        <v>9</v>
      </c>
      <c r="AB9" s="21">
        <f t="shared" si="2"/>
        <v>0.45</v>
      </c>
      <c r="AC9" s="2"/>
    </row>
    <row r="10">
      <c r="A10" s="17" t="s">
        <v>43</v>
      </c>
      <c r="B10" s="22">
        <f t="shared" ref="B10:Z10" si="3">SUM(B6:B9)</f>
        <v>0</v>
      </c>
      <c r="C10" s="22">
        <f t="shared" si="3"/>
        <v>2</v>
      </c>
      <c r="D10" s="22">
        <f t="shared" si="3"/>
        <v>3</v>
      </c>
      <c r="E10" s="22">
        <f t="shared" si="3"/>
        <v>3</v>
      </c>
      <c r="F10" s="22">
        <f t="shared" si="3"/>
        <v>4</v>
      </c>
      <c r="G10" s="22">
        <f t="shared" si="3"/>
        <v>3</v>
      </c>
      <c r="H10" s="22">
        <f t="shared" si="3"/>
        <v>4</v>
      </c>
      <c r="I10" s="22">
        <f t="shared" si="3"/>
        <v>1</v>
      </c>
      <c r="J10" s="22">
        <f t="shared" si="3"/>
        <v>3</v>
      </c>
      <c r="K10" s="22">
        <f t="shared" si="3"/>
        <v>4</v>
      </c>
      <c r="L10" s="22">
        <f t="shared" si="3"/>
        <v>4</v>
      </c>
      <c r="M10" s="22">
        <f t="shared" si="3"/>
        <v>3</v>
      </c>
      <c r="N10" s="22">
        <f t="shared" si="3"/>
        <v>3</v>
      </c>
      <c r="O10" s="22">
        <f t="shared" si="3"/>
        <v>3</v>
      </c>
      <c r="P10" s="22">
        <f t="shared" si="3"/>
        <v>4</v>
      </c>
      <c r="Q10" s="22">
        <f t="shared" si="3"/>
        <v>3</v>
      </c>
      <c r="R10" s="22">
        <f t="shared" si="3"/>
        <v>4</v>
      </c>
      <c r="S10" s="22">
        <f t="shared" si="3"/>
        <v>3</v>
      </c>
      <c r="T10" s="22">
        <f t="shared" si="3"/>
        <v>3</v>
      </c>
      <c r="U10" s="22">
        <f t="shared" si="3"/>
        <v>3</v>
      </c>
      <c r="V10" s="22">
        <f t="shared" si="3"/>
        <v>3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0">
        <f t="shared" si="1"/>
        <v>63</v>
      </c>
      <c r="AB10" s="23"/>
      <c r="AC10" s="2"/>
    </row>
    <row r="11">
      <c r="A11" s="17" t="s">
        <v>38</v>
      </c>
      <c r="B11" s="24" t="str">
        <f t="shared" ref="B11:Z11" si="4">B10/(COUNT(B6:B9)*1)</f>
        <v>#DIV/0!</v>
      </c>
      <c r="C11" s="24">
        <f t="shared" si="4"/>
        <v>0.5</v>
      </c>
      <c r="D11" s="24">
        <f t="shared" si="4"/>
        <v>0.75</v>
      </c>
      <c r="E11" s="24">
        <f t="shared" si="4"/>
        <v>0.75</v>
      </c>
      <c r="F11" s="24">
        <f t="shared" si="4"/>
        <v>1</v>
      </c>
      <c r="G11" s="24">
        <f t="shared" si="4"/>
        <v>0.75</v>
      </c>
      <c r="H11" s="24">
        <f t="shared" si="4"/>
        <v>1</v>
      </c>
      <c r="I11" s="24">
        <f t="shared" si="4"/>
        <v>0.25</v>
      </c>
      <c r="J11" s="24">
        <f t="shared" si="4"/>
        <v>0.75</v>
      </c>
      <c r="K11" s="24">
        <f t="shared" si="4"/>
        <v>1</v>
      </c>
      <c r="L11" s="24">
        <f t="shared" si="4"/>
        <v>1</v>
      </c>
      <c r="M11" s="24">
        <f t="shared" si="4"/>
        <v>0.75</v>
      </c>
      <c r="N11" s="24">
        <f t="shared" si="4"/>
        <v>0.75</v>
      </c>
      <c r="O11" s="24">
        <f t="shared" si="4"/>
        <v>0.75</v>
      </c>
      <c r="P11" s="24">
        <f t="shared" si="4"/>
        <v>1</v>
      </c>
      <c r="Q11" s="24">
        <f t="shared" si="4"/>
        <v>0.75</v>
      </c>
      <c r="R11" s="24">
        <f t="shared" si="4"/>
        <v>1</v>
      </c>
      <c r="S11" s="24">
        <f t="shared" si="4"/>
        <v>0.75</v>
      </c>
      <c r="T11" s="24">
        <f t="shared" si="4"/>
        <v>0.75</v>
      </c>
      <c r="U11" s="24">
        <f t="shared" si="4"/>
        <v>0.75</v>
      </c>
      <c r="V11" s="24">
        <f t="shared" si="4"/>
        <v>0.75</v>
      </c>
      <c r="W11" s="24" t="str">
        <f t="shared" si="4"/>
        <v>#DIV/0!</v>
      </c>
      <c r="X11" s="24" t="str">
        <f t="shared" si="4"/>
        <v>#DIV/0!</v>
      </c>
      <c r="Y11" s="24" t="str">
        <f t="shared" si="4"/>
        <v>#DIV/0!</v>
      </c>
      <c r="Z11" s="24" t="str">
        <f t="shared" si="4"/>
        <v>#DIV/0!</v>
      </c>
      <c r="AA11" s="25"/>
      <c r="AB11" s="26">
        <f>SUM(AB6:AB9)/4</f>
        <v>0.7875</v>
      </c>
      <c r="AC11" s="2"/>
    </row>
    <row r="12">
      <c r="A12" s="27" t="s">
        <v>44</v>
      </c>
      <c r="B12" s="60"/>
      <c r="C12" s="61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30">
        <f t="shared" ref="AA12:AA14" si="5">SUM(B12:Z12)</f>
        <v>0</v>
      </c>
      <c r="AB12" s="31"/>
      <c r="AC12" s="2"/>
    </row>
    <row r="13">
      <c r="A13" s="32" t="s">
        <v>45</v>
      </c>
      <c r="B13" s="62"/>
      <c r="C13" s="62"/>
      <c r="D13" s="62"/>
      <c r="E13" s="62"/>
      <c r="F13" s="128">
        <v>3.0</v>
      </c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0"/>
      <c r="W13" s="60"/>
      <c r="X13" s="60"/>
      <c r="Y13" s="60"/>
      <c r="Z13" s="60"/>
      <c r="AA13" s="30">
        <f t="shared" si="5"/>
        <v>3</v>
      </c>
      <c r="AB13" s="31"/>
      <c r="AC13" s="9"/>
    </row>
    <row r="14">
      <c r="A14" s="34" t="s">
        <v>46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0"/>
      <c r="W14" s="60"/>
      <c r="X14" s="60"/>
      <c r="Y14" s="60"/>
      <c r="Z14" s="60"/>
      <c r="AA14" s="30">
        <f t="shared" si="5"/>
        <v>0</v>
      </c>
      <c r="AB14" s="31"/>
      <c r="AC14" s="9"/>
    </row>
    <row r="15">
      <c r="A15" s="35" t="s">
        <v>47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8"/>
      <c r="AB15" s="39"/>
      <c r="AC15" s="2"/>
    </row>
    <row r="16">
      <c r="A16" s="40" t="s">
        <v>48</v>
      </c>
      <c r="B16" s="63"/>
      <c r="C16" s="64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6"/>
      <c r="W16" s="66"/>
      <c r="X16" s="66"/>
      <c r="Y16" s="66"/>
      <c r="Z16" s="66"/>
      <c r="AA16" s="44">
        <f t="shared" ref="AA16:AA17" si="6">SUM(B16:Z16)</f>
        <v>0</v>
      </c>
      <c r="AB16" s="31"/>
      <c r="AC16" s="2"/>
    </row>
    <row r="17">
      <c r="A17" s="40" t="s">
        <v>49</v>
      </c>
      <c r="B17" s="63"/>
      <c r="C17" s="64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6"/>
      <c r="W17" s="66"/>
      <c r="X17" s="66"/>
      <c r="Y17" s="66"/>
      <c r="Z17" s="66"/>
      <c r="AA17" s="44">
        <f t="shared" si="6"/>
        <v>0</v>
      </c>
      <c r="AB17" s="31"/>
      <c r="AC17" s="2"/>
    </row>
    <row r="18">
      <c r="A18" s="40" t="s">
        <v>50</v>
      </c>
      <c r="B18" s="64"/>
      <c r="C18" s="64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6"/>
      <c r="W18" s="66"/>
      <c r="X18" s="66"/>
      <c r="Y18" s="66"/>
      <c r="Z18" s="66"/>
      <c r="AA18" s="44" t="str">
        <f>AVERAGE(B18:Z18)</f>
        <v>#DIV/0!</v>
      </c>
      <c r="AB18" s="31"/>
      <c r="AC18" s="2"/>
    </row>
    <row r="19">
      <c r="A19" s="45" t="s">
        <v>51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7"/>
      <c r="AA19" s="46"/>
      <c r="AB19" s="39"/>
      <c r="AC19" s="2"/>
    </row>
    <row r="20">
      <c r="A20" s="47" t="s">
        <v>48</v>
      </c>
      <c r="B20" s="48"/>
      <c r="C20" s="49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50"/>
      <c r="W20" s="50"/>
      <c r="X20" s="50"/>
      <c r="Y20" s="50"/>
      <c r="Z20" s="50"/>
      <c r="AA20" s="51">
        <f t="shared" ref="AA20:AA21" si="7">SUM(B20:Z20)</f>
        <v>0</v>
      </c>
      <c r="AB20" s="31"/>
      <c r="AC20" s="2"/>
    </row>
    <row r="21">
      <c r="A21" s="47" t="s">
        <v>49</v>
      </c>
      <c r="B21" s="48"/>
      <c r="C21" s="49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50"/>
      <c r="W21" s="50"/>
      <c r="X21" s="50"/>
      <c r="Y21" s="50"/>
      <c r="Z21" s="50"/>
      <c r="AA21" s="51">
        <f t="shared" si="7"/>
        <v>0</v>
      </c>
      <c r="AB21" s="31"/>
      <c r="AC21" s="2"/>
    </row>
    <row r="22">
      <c r="A22" s="47" t="s">
        <v>52</v>
      </c>
      <c r="B22" s="49"/>
      <c r="C22" s="49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50"/>
      <c r="W22" s="50"/>
      <c r="X22" s="50"/>
      <c r="Y22" s="50"/>
      <c r="Z22" s="50"/>
      <c r="AA22" s="51" t="str">
        <f>AVERAGE(B22:Z22)</f>
        <v>#DIV/0!</v>
      </c>
      <c r="AB22" s="31"/>
      <c r="AC22" s="2"/>
    </row>
    <row r="23">
      <c r="A23" s="52" t="s">
        <v>53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7"/>
      <c r="AA23" s="38"/>
      <c r="AB23" s="39"/>
      <c r="AC23" s="2"/>
    </row>
    <row r="24">
      <c r="A24" s="40" t="s">
        <v>48</v>
      </c>
      <c r="B24" s="41"/>
      <c r="C24" s="42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3"/>
      <c r="W24" s="43"/>
      <c r="X24" s="43"/>
      <c r="Y24" s="43"/>
      <c r="Z24" s="43"/>
      <c r="AA24" s="44">
        <f t="shared" ref="AA24:AA25" si="8">SUM(B24:Z24)</f>
        <v>0</v>
      </c>
      <c r="AB24" s="31"/>
      <c r="AC24" s="2"/>
    </row>
    <row r="25">
      <c r="A25" s="40" t="s">
        <v>49</v>
      </c>
      <c r="B25" s="41"/>
      <c r="C25" s="42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3"/>
      <c r="W25" s="43"/>
      <c r="X25" s="43"/>
      <c r="Y25" s="43"/>
      <c r="Z25" s="43"/>
      <c r="AA25" s="44">
        <f t="shared" si="8"/>
        <v>0</v>
      </c>
      <c r="AB25" s="31"/>
      <c r="AC25" s="2"/>
    </row>
    <row r="26">
      <c r="A26" s="53" t="s">
        <v>50</v>
      </c>
      <c r="B26" s="54"/>
      <c r="C26" s="54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6"/>
      <c r="W26" s="56"/>
      <c r="X26" s="56"/>
      <c r="Y26" s="56"/>
      <c r="Z26" s="56"/>
      <c r="AA26" s="57" t="str">
        <f>AVERAGE(B26:Z26)</f>
        <v>#DIV/0!</v>
      </c>
      <c r="AB26" s="58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59"/>
      <c r="AB27" s="59"/>
      <c r="AC27" s="2"/>
    </row>
    <row r="28">
      <c r="A28" s="13">
        <v>46120.0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 t="s">
        <v>37</v>
      </c>
      <c r="AB28" s="16" t="s">
        <v>38</v>
      </c>
      <c r="AC28" s="2"/>
    </row>
    <row r="29">
      <c r="A29" s="17" t="s">
        <v>39</v>
      </c>
      <c r="B29" s="19">
        <v>1.0</v>
      </c>
      <c r="C29" s="19">
        <v>0.0</v>
      </c>
      <c r="D29" s="19">
        <v>0.0</v>
      </c>
      <c r="E29" s="19">
        <v>0.0</v>
      </c>
      <c r="F29" s="19">
        <v>0.0</v>
      </c>
      <c r="G29" s="19">
        <v>0.0</v>
      </c>
      <c r="H29" s="19">
        <v>0.0</v>
      </c>
      <c r="I29" s="19">
        <v>0.0</v>
      </c>
      <c r="J29" s="19">
        <v>0.0</v>
      </c>
      <c r="K29" s="19">
        <v>1.0</v>
      </c>
      <c r="L29" s="19">
        <v>1.0</v>
      </c>
      <c r="M29" s="19">
        <v>1.0</v>
      </c>
      <c r="N29" s="19">
        <v>1.0</v>
      </c>
      <c r="O29" s="19">
        <v>1.0</v>
      </c>
      <c r="P29" s="19">
        <v>1.0</v>
      </c>
      <c r="Q29" s="19">
        <v>1.0</v>
      </c>
      <c r="R29" s="19">
        <v>1.0</v>
      </c>
      <c r="S29" s="19">
        <v>1.0</v>
      </c>
      <c r="T29" s="19">
        <v>1.0</v>
      </c>
      <c r="U29" s="19">
        <v>1.0</v>
      </c>
      <c r="V29" s="19">
        <v>1.0</v>
      </c>
      <c r="W29" s="19">
        <v>1.0</v>
      </c>
      <c r="X29" s="18"/>
      <c r="Y29" s="18"/>
      <c r="Z29" s="18"/>
      <c r="AA29" s="20">
        <f t="shared" ref="AA29:AA33" si="9">SUM(B29:Z29)</f>
        <v>14</v>
      </c>
      <c r="AB29" s="21">
        <f t="shared" ref="AB29:AB32" si="10">AA29/(COUNT(B29:Z29)*1)</f>
        <v>0.6363636364</v>
      </c>
      <c r="AC29" s="2"/>
    </row>
    <row r="30">
      <c r="A30" s="17" t="s">
        <v>40</v>
      </c>
      <c r="B30" s="19">
        <v>1.0</v>
      </c>
      <c r="C30" s="19">
        <v>1.0</v>
      </c>
      <c r="D30" s="19">
        <v>1.0</v>
      </c>
      <c r="E30" s="19">
        <v>1.0</v>
      </c>
      <c r="F30" s="19">
        <v>1.0</v>
      </c>
      <c r="G30" s="19">
        <v>1.0</v>
      </c>
      <c r="H30" s="19">
        <v>1.0</v>
      </c>
      <c r="I30" s="19">
        <v>1.0</v>
      </c>
      <c r="J30" s="19">
        <v>1.0</v>
      </c>
      <c r="K30" s="19">
        <v>1.0</v>
      </c>
      <c r="L30" s="19">
        <v>1.0</v>
      </c>
      <c r="M30" s="19">
        <v>1.0</v>
      </c>
      <c r="N30" s="19">
        <v>1.0</v>
      </c>
      <c r="O30" s="19">
        <v>1.0</v>
      </c>
      <c r="P30" s="19">
        <v>1.0</v>
      </c>
      <c r="Q30" s="19">
        <v>1.0</v>
      </c>
      <c r="R30" s="19">
        <v>1.0</v>
      </c>
      <c r="S30" s="19">
        <v>1.0</v>
      </c>
      <c r="T30" s="19">
        <v>1.0</v>
      </c>
      <c r="U30" s="19">
        <v>1.0</v>
      </c>
      <c r="V30" s="19">
        <v>1.0</v>
      </c>
      <c r="W30" s="19">
        <v>1.0</v>
      </c>
      <c r="X30" s="18"/>
      <c r="Y30" s="18"/>
      <c r="Z30" s="18"/>
      <c r="AA30" s="20">
        <f t="shared" si="9"/>
        <v>22</v>
      </c>
      <c r="AB30" s="21">
        <f t="shared" si="10"/>
        <v>1</v>
      </c>
      <c r="AC30" s="2"/>
    </row>
    <row r="31">
      <c r="A31" s="17" t="s">
        <v>41</v>
      </c>
      <c r="B31" s="19">
        <v>1.0</v>
      </c>
      <c r="C31" s="19">
        <v>0.0</v>
      </c>
      <c r="D31" s="19">
        <v>0.0</v>
      </c>
      <c r="E31" s="19">
        <v>0.0</v>
      </c>
      <c r="F31" s="19">
        <v>0.0</v>
      </c>
      <c r="G31" s="19">
        <v>0.0</v>
      </c>
      <c r="H31" s="19">
        <v>0.0</v>
      </c>
      <c r="I31" s="19">
        <v>1.0</v>
      </c>
      <c r="J31" s="19">
        <v>1.0</v>
      </c>
      <c r="K31" s="19">
        <v>1.0</v>
      </c>
      <c r="L31" s="19">
        <v>1.0</v>
      </c>
      <c r="M31" s="19">
        <v>1.0</v>
      </c>
      <c r="N31" s="19">
        <v>1.0</v>
      </c>
      <c r="O31" s="19">
        <v>1.0</v>
      </c>
      <c r="P31" s="19">
        <v>1.0</v>
      </c>
      <c r="Q31" s="19">
        <v>1.0</v>
      </c>
      <c r="R31" s="19">
        <v>1.0</v>
      </c>
      <c r="S31" s="19">
        <v>1.0</v>
      </c>
      <c r="T31" s="19">
        <v>1.0</v>
      </c>
      <c r="U31" s="19">
        <v>1.0</v>
      </c>
      <c r="V31" s="19">
        <v>0.0</v>
      </c>
      <c r="W31" s="19">
        <v>1.0</v>
      </c>
      <c r="X31" s="18"/>
      <c r="Y31" s="18"/>
      <c r="Z31" s="18"/>
      <c r="AA31" s="20">
        <f t="shared" si="9"/>
        <v>15</v>
      </c>
      <c r="AB31" s="21">
        <f t="shared" si="10"/>
        <v>0.6818181818</v>
      </c>
      <c r="AC31" s="2"/>
    </row>
    <row r="32">
      <c r="A32" s="17" t="s">
        <v>42</v>
      </c>
      <c r="B32" s="19">
        <v>1.0</v>
      </c>
      <c r="C32" s="19">
        <v>0.0</v>
      </c>
      <c r="D32" s="19">
        <v>0.0</v>
      </c>
      <c r="E32" s="19">
        <v>0.0</v>
      </c>
      <c r="F32" s="19">
        <v>0.0</v>
      </c>
      <c r="G32" s="19">
        <v>0.0</v>
      </c>
      <c r="H32" s="19">
        <v>0.0</v>
      </c>
      <c r="I32" s="19">
        <v>1.0</v>
      </c>
      <c r="J32" s="19">
        <v>1.0</v>
      </c>
      <c r="K32" s="19">
        <v>1.0</v>
      </c>
      <c r="L32" s="19">
        <v>1.0</v>
      </c>
      <c r="M32" s="19">
        <v>1.0</v>
      </c>
      <c r="N32" s="19">
        <v>1.0</v>
      </c>
      <c r="O32" s="19">
        <v>1.0</v>
      </c>
      <c r="P32" s="19">
        <v>1.0</v>
      </c>
      <c r="Q32" s="19">
        <v>1.0</v>
      </c>
      <c r="R32" s="19">
        <v>1.0</v>
      </c>
      <c r="S32" s="19">
        <v>1.0</v>
      </c>
      <c r="T32" s="19">
        <v>1.0</v>
      </c>
      <c r="U32" s="19">
        <v>1.0</v>
      </c>
      <c r="V32" s="19">
        <v>0.0</v>
      </c>
      <c r="W32" s="19">
        <v>1.0</v>
      </c>
      <c r="X32" s="18"/>
      <c r="Y32" s="18"/>
      <c r="Z32" s="18"/>
      <c r="AA32" s="20">
        <f t="shared" si="9"/>
        <v>15</v>
      </c>
      <c r="AB32" s="21">
        <f t="shared" si="10"/>
        <v>0.6818181818</v>
      </c>
      <c r="AC32" s="2"/>
    </row>
    <row r="33">
      <c r="A33" s="17" t="s">
        <v>43</v>
      </c>
      <c r="B33" s="22">
        <f t="shared" ref="B33:Z33" si="11">SUM(B29:B32)</f>
        <v>4</v>
      </c>
      <c r="C33" s="22">
        <f t="shared" si="11"/>
        <v>1</v>
      </c>
      <c r="D33" s="22">
        <f t="shared" si="11"/>
        <v>1</v>
      </c>
      <c r="E33" s="22">
        <f t="shared" si="11"/>
        <v>1</v>
      </c>
      <c r="F33" s="22">
        <f t="shared" si="11"/>
        <v>1</v>
      </c>
      <c r="G33" s="22">
        <f t="shared" si="11"/>
        <v>1</v>
      </c>
      <c r="H33" s="22">
        <f t="shared" si="11"/>
        <v>1</v>
      </c>
      <c r="I33" s="22">
        <f t="shared" si="11"/>
        <v>3</v>
      </c>
      <c r="J33" s="22">
        <f t="shared" si="11"/>
        <v>3</v>
      </c>
      <c r="K33" s="22">
        <f t="shared" si="11"/>
        <v>4</v>
      </c>
      <c r="L33" s="22">
        <f t="shared" si="11"/>
        <v>4</v>
      </c>
      <c r="M33" s="22">
        <f t="shared" si="11"/>
        <v>4</v>
      </c>
      <c r="N33" s="22">
        <f t="shared" si="11"/>
        <v>4</v>
      </c>
      <c r="O33" s="22">
        <f t="shared" si="11"/>
        <v>4</v>
      </c>
      <c r="P33" s="22">
        <f t="shared" si="11"/>
        <v>4</v>
      </c>
      <c r="Q33" s="22">
        <f t="shared" si="11"/>
        <v>4</v>
      </c>
      <c r="R33" s="22">
        <f t="shared" si="11"/>
        <v>4</v>
      </c>
      <c r="S33" s="22">
        <f t="shared" si="11"/>
        <v>4</v>
      </c>
      <c r="T33" s="22">
        <f t="shared" si="11"/>
        <v>4</v>
      </c>
      <c r="U33" s="22">
        <f t="shared" si="11"/>
        <v>4</v>
      </c>
      <c r="V33" s="22">
        <f t="shared" si="11"/>
        <v>2</v>
      </c>
      <c r="W33" s="22">
        <f t="shared" si="11"/>
        <v>4</v>
      </c>
      <c r="X33" s="22">
        <f t="shared" si="11"/>
        <v>0</v>
      </c>
      <c r="Y33" s="22">
        <f t="shared" si="11"/>
        <v>0</v>
      </c>
      <c r="Z33" s="22">
        <f t="shared" si="11"/>
        <v>0</v>
      </c>
      <c r="AA33" s="20">
        <f t="shared" si="9"/>
        <v>66</v>
      </c>
      <c r="AB33" s="23"/>
      <c r="AC33" s="2"/>
    </row>
    <row r="34">
      <c r="A34" s="17" t="s">
        <v>38</v>
      </c>
      <c r="B34" s="24">
        <f t="shared" ref="B34:Z34" si="12">B33/(COUNT(B29:B32)*1)</f>
        <v>1</v>
      </c>
      <c r="C34" s="24">
        <f t="shared" si="12"/>
        <v>0.25</v>
      </c>
      <c r="D34" s="24">
        <f t="shared" si="12"/>
        <v>0.25</v>
      </c>
      <c r="E34" s="24">
        <f t="shared" si="12"/>
        <v>0.25</v>
      </c>
      <c r="F34" s="24">
        <f t="shared" si="12"/>
        <v>0.25</v>
      </c>
      <c r="G34" s="24">
        <f t="shared" si="12"/>
        <v>0.25</v>
      </c>
      <c r="H34" s="24">
        <f t="shared" si="12"/>
        <v>0.25</v>
      </c>
      <c r="I34" s="24">
        <f t="shared" si="12"/>
        <v>0.75</v>
      </c>
      <c r="J34" s="24">
        <f t="shared" si="12"/>
        <v>0.75</v>
      </c>
      <c r="K34" s="24">
        <f t="shared" si="12"/>
        <v>1</v>
      </c>
      <c r="L34" s="24">
        <f t="shared" si="12"/>
        <v>1</v>
      </c>
      <c r="M34" s="24">
        <f t="shared" si="12"/>
        <v>1</v>
      </c>
      <c r="N34" s="24">
        <f t="shared" si="12"/>
        <v>1</v>
      </c>
      <c r="O34" s="24">
        <f t="shared" si="12"/>
        <v>1</v>
      </c>
      <c r="P34" s="24">
        <f t="shared" si="12"/>
        <v>1</v>
      </c>
      <c r="Q34" s="24">
        <f t="shared" si="12"/>
        <v>1</v>
      </c>
      <c r="R34" s="24">
        <f t="shared" si="12"/>
        <v>1</v>
      </c>
      <c r="S34" s="24">
        <f t="shared" si="12"/>
        <v>1</v>
      </c>
      <c r="T34" s="24">
        <f t="shared" si="12"/>
        <v>1</v>
      </c>
      <c r="U34" s="24">
        <f t="shared" si="12"/>
        <v>1</v>
      </c>
      <c r="V34" s="24">
        <f t="shared" si="12"/>
        <v>0.5</v>
      </c>
      <c r="W34" s="24">
        <f t="shared" si="12"/>
        <v>1</v>
      </c>
      <c r="X34" s="24" t="str">
        <f t="shared" si="12"/>
        <v>#DIV/0!</v>
      </c>
      <c r="Y34" s="24" t="str">
        <f t="shared" si="12"/>
        <v>#DIV/0!</v>
      </c>
      <c r="Z34" s="24" t="str">
        <f t="shared" si="12"/>
        <v>#DIV/0!</v>
      </c>
      <c r="AA34" s="25"/>
      <c r="AB34" s="26">
        <f>SUM(AB29:AB32)/4</f>
        <v>0.75</v>
      </c>
      <c r="AC34" s="2"/>
    </row>
    <row r="35">
      <c r="A35" s="27" t="s">
        <v>44</v>
      </c>
      <c r="B35" s="28"/>
      <c r="C35" s="29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30">
        <f t="shared" ref="AA35:AA37" si="13">SUM(B35:Z35)</f>
        <v>0</v>
      </c>
      <c r="AB35" s="31"/>
      <c r="AC35" s="2"/>
    </row>
    <row r="36">
      <c r="A36" s="32" t="s">
        <v>45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28"/>
      <c r="W36" s="28"/>
      <c r="X36" s="28"/>
      <c r="Y36" s="28"/>
      <c r="Z36" s="28"/>
      <c r="AA36" s="30">
        <f t="shared" si="13"/>
        <v>0</v>
      </c>
      <c r="AB36" s="31"/>
      <c r="AC36" s="9"/>
    </row>
    <row r="37">
      <c r="A37" s="34" t="s">
        <v>46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28"/>
      <c r="W37" s="28"/>
      <c r="X37" s="28"/>
      <c r="Y37" s="28"/>
      <c r="Z37" s="28"/>
      <c r="AA37" s="30">
        <f t="shared" si="13"/>
        <v>0</v>
      </c>
      <c r="AB37" s="31"/>
      <c r="AC37" s="9"/>
    </row>
    <row r="38">
      <c r="A38" s="35" t="s">
        <v>47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7"/>
      <c r="AA38" s="38"/>
      <c r="AB38" s="39"/>
      <c r="AC38" s="2"/>
    </row>
    <row r="39">
      <c r="A39" s="40" t="s">
        <v>48</v>
      </c>
      <c r="B39" s="63"/>
      <c r="C39" s="65">
        <v>1.0</v>
      </c>
      <c r="D39" s="65">
        <v>1.0</v>
      </c>
      <c r="E39" s="65">
        <v>1.0</v>
      </c>
      <c r="F39" s="65">
        <v>1.0</v>
      </c>
      <c r="G39" s="65">
        <v>1.0</v>
      </c>
      <c r="H39" s="65">
        <v>1.0</v>
      </c>
      <c r="I39" s="65">
        <v>1.0</v>
      </c>
      <c r="J39" s="65">
        <v>1.0</v>
      </c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6"/>
      <c r="W39" s="66"/>
      <c r="X39" s="66"/>
      <c r="Y39" s="66"/>
      <c r="Z39" s="66"/>
      <c r="AA39" s="44">
        <f t="shared" ref="AA39:AA40" si="14">SUM(B39:Z39)</f>
        <v>8</v>
      </c>
      <c r="AB39" s="31"/>
      <c r="AC39" s="2"/>
    </row>
    <row r="40">
      <c r="A40" s="40" t="s">
        <v>49</v>
      </c>
      <c r="B40" s="63"/>
      <c r="C40" s="65">
        <v>20.0</v>
      </c>
      <c r="D40" s="65">
        <v>20.0</v>
      </c>
      <c r="E40" s="65">
        <v>20.0</v>
      </c>
      <c r="F40" s="65">
        <v>20.0</v>
      </c>
      <c r="G40" s="65">
        <v>20.0</v>
      </c>
      <c r="H40" s="65">
        <v>20.0</v>
      </c>
      <c r="I40" s="65">
        <v>20.0</v>
      </c>
      <c r="J40" s="65">
        <v>20.0</v>
      </c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6"/>
      <c r="W40" s="66"/>
      <c r="X40" s="66"/>
      <c r="Y40" s="66"/>
      <c r="Z40" s="66"/>
      <c r="AA40" s="44">
        <f t="shared" si="14"/>
        <v>160</v>
      </c>
      <c r="AB40" s="31"/>
      <c r="AC40" s="2"/>
    </row>
    <row r="41">
      <c r="A41" s="40" t="s">
        <v>50</v>
      </c>
      <c r="B41" s="64"/>
      <c r="C41" s="65">
        <v>2.0</v>
      </c>
      <c r="D41" s="65">
        <v>2.0</v>
      </c>
      <c r="E41" s="65">
        <v>2.0</v>
      </c>
      <c r="F41" s="65">
        <v>2.0</v>
      </c>
      <c r="G41" s="65">
        <v>2.0</v>
      </c>
      <c r="H41" s="65">
        <v>2.0</v>
      </c>
      <c r="I41" s="65">
        <v>2.0</v>
      </c>
      <c r="J41" s="65">
        <v>2.0</v>
      </c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6"/>
      <c r="W41" s="66"/>
      <c r="X41" s="66"/>
      <c r="Y41" s="66"/>
      <c r="Z41" s="66"/>
      <c r="AA41" s="44">
        <f>AVERAGE(B41:Z41)</f>
        <v>2</v>
      </c>
      <c r="AB41" s="31"/>
      <c r="AC41" s="2"/>
    </row>
    <row r="42">
      <c r="A42" s="45" t="s">
        <v>51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7"/>
      <c r="AA42" s="46"/>
      <c r="AB42" s="39"/>
      <c r="AC42" s="2"/>
    </row>
    <row r="43">
      <c r="A43" s="47" t="s">
        <v>48</v>
      </c>
      <c r="B43" s="48"/>
      <c r="C43" s="49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50"/>
      <c r="W43" s="50"/>
      <c r="X43" s="50"/>
      <c r="Y43" s="50"/>
      <c r="Z43" s="50"/>
      <c r="AA43" s="51">
        <f t="shared" ref="AA43:AA44" si="15">SUM(B43:Z43)</f>
        <v>0</v>
      </c>
      <c r="AB43" s="31"/>
      <c r="AC43" s="2"/>
    </row>
    <row r="44">
      <c r="A44" s="47" t="s">
        <v>49</v>
      </c>
      <c r="B44" s="48"/>
      <c r="C44" s="49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50"/>
      <c r="W44" s="50"/>
      <c r="X44" s="50"/>
      <c r="Y44" s="50"/>
      <c r="Z44" s="50"/>
      <c r="AA44" s="51">
        <f t="shared" si="15"/>
        <v>0</v>
      </c>
      <c r="AB44" s="31"/>
      <c r="AC44" s="2"/>
    </row>
    <row r="45">
      <c r="A45" s="47" t="s">
        <v>50</v>
      </c>
      <c r="B45" s="49"/>
      <c r="C45" s="49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50"/>
      <c r="W45" s="50"/>
      <c r="X45" s="50"/>
      <c r="Y45" s="50"/>
      <c r="Z45" s="50"/>
      <c r="AA45" s="51" t="str">
        <f>AVERAGE(B45:Z45)</f>
        <v>#DIV/0!</v>
      </c>
      <c r="AB45" s="31"/>
      <c r="AC45" s="2"/>
    </row>
    <row r="46">
      <c r="A46" s="52" t="s">
        <v>53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7"/>
      <c r="AA46" s="38"/>
      <c r="AB46" s="39"/>
      <c r="AC46" s="2"/>
    </row>
    <row r="47">
      <c r="A47" s="40" t="s">
        <v>48</v>
      </c>
      <c r="B47" s="41"/>
      <c r="C47" s="42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3"/>
      <c r="W47" s="43"/>
      <c r="X47" s="43"/>
      <c r="Y47" s="43"/>
      <c r="Z47" s="43"/>
      <c r="AA47" s="44">
        <f t="shared" ref="AA47:AA48" si="16">SUM(B47:Z47)</f>
        <v>0</v>
      </c>
      <c r="AB47" s="31"/>
      <c r="AC47" s="2"/>
    </row>
    <row r="48">
      <c r="A48" s="40" t="s">
        <v>49</v>
      </c>
      <c r="B48" s="41"/>
      <c r="C48" s="42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3"/>
      <c r="W48" s="43"/>
      <c r="X48" s="43"/>
      <c r="Y48" s="43"/>
      <c r="Z48" s="43"/>
      <c r="AA48" s="44">
        <f t="shared" si="16"/>
        <v>0</v>
      </c>
      <c r="AB48" s="31"/>
      <c r="AC48" s="2"/>
    </row>
    <row r="49">
      <c r="A49" s="53" t="s">
        <v>50</v>
      </c>
      <c r="B49" s="54"/>
      <c r="C49" s="54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6"/>
      <c r="W49" s="56"/>
      <c r="X49" s="56"/>
      <c r="Y49" s="56"/>
      <c r="Z49" s="56"/>
      <c r="AA49" s="57" t="str">
        <f>AVERAGE(B49:Z49)</f>
        <v>#DIV/0!</v>
      </c>
      <c r="AB49" s="58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59"/>
      <c r="AB50" s="59"/>
      <c r="AC50" s="2"/>
    </row>
    <row r="51">
      <c r="A51" s="13">
        <v>46121.0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5" t="s">
        <v>37</v>
      </c>
      <c r="AB51" s="16" t="s">
        <v>38</v>
      </c>
      <c r="AC51" s="2"/>
    </row>
    <row r="52">
      <c r="A52" s="17" t="s">
        <v>39</v>
      </c>
      <c r="B52" s="19">
        <v>1.0</v>
      </c>
      <c r="C52" s="19">
        <v>1.0</v>
      </c>
      <c r="D52" s="19">
        <v>1.0</v>
      </c>
      <c r="E52" s="19">
        <v>1.0</v>
      </c>
      <c r="F52" s="19">
        <v>1.0</v>
      </c>
      <c r="G52" s="19">
        <v>1.0</v>
      </c>
      <c r="H52" s="19">
        <v>1.0</v>
      </c>
      <c r="I52" s="19">
        <v>1.0</v>
      </c>
      <c r="J52" s="19">
        <v>1.0</v>
      </c>
      <c r="K52" s="19">
        <v>1.0</v>
      </c>
      <c r="L52" s="19">
        <v>1.0</v>
      </c>
      <c r="M52" s="19">
        <v>1.0</v>
      </c>
      <c r="N52" s="19">
        <v>1.0</v>
      </c>
      <c r="O52" s="19">
        <v>1.0</v>
      </c>
      <c r="P52" s="19">
        <v>1.0</v>
      </c>
      <c r="Q52" s="19">
        <v>1.0</v>
      </c>
      <c r="R52" s="19">
        <v>1.0</v>
      </c>
      <c r="S52" s="19">
        <v>1.0</v>
      </c>
      <c r="T52" s="19">
        <v>1.0</v>
      </c>
      <c r="U52" s="19">
        <v>1.0</v>
      </c>
      <c r="V52" s="19">
        <v>1.0</v>
      </c>
      <c r="W52" s="19">
        <v>1.0</v>
      </c>
      <c r="X52" s="19">
        <v>1.0</v>
      </c>
      <c r="Y52" s="19"/>
      <c r="Z52" s="18"/>
      <c r="AA52" s="20">
        <f t="shared" ref="AA52:AA56" si="17">SUM(B52:Z52)</f>
        <v>23</v>
      </c>
      <c r="AB52" s="21">
        <f t="shared" ref="AB52:AB55" si="18">AA52/(COUNT(B52:Z52)*1)</f>
        <v>1</v>
      </c>
      <c r="AC52" s="2"/>
    </row>
    <row r="53">
      <c r="A53" s="17" t="s">
        <v>40</v>
      </c>
      <c r="B53" s="19">
        <v>1.0</v>
      </c>
      <c r="C53" s="19">
        <v>1.0</v>
      </c>
      <c r="D53" s="19">
        <v>1.0</v>
      </c>
      <c r="E53" s="19">
        <v>1.0</v>
      </c>
      <c r="F53" s="19">
        <v>1.0</v>
      </c>
      <c r="G53" s="19">
        <v>1.0</v>
      </c>
      <c r="H53" s="19">
        <v>1.0</v>
      </c>
      <c r="I53" s="19">
        <v>1.0</v>
      </c>
      <c r="J53" s="19">
        <v>1.0</v>
      </c>
      <c r="K53" s="19">
        <v>1.0</v>
      </c>
      <c r="L53" s="19">
        <v>1.0</v>
      </c>
      <c r="M53" s="19">
        <v>0.0</v>
      </c>
      <c r="N53" s="19">
        <v>0.0</v>
      </c>
      <c r="O53" s="19">
        <v>1.0</v>
      </c>
      <c r="P53" s="19">
        <v>1.0</v>
      </c>
      <c r="Q53" s="19">
        <v>1.0</v>
      </c>
      <c r="R53" s="19">
        <v>1.0</v>
      </c>
      <c r="S53" s="19">
        <v>1.0</v>
      </c>
      <c r="T53" s="19">
        <v>1.0</v>
      </c>
      <c r="U53" s="19">
        <v>1.0</v>
      </c>
      <c r="V53" s="19">
        <v>1.0</v>
      </c>
      <c r="W53" s="19">
        <v>1.0</v>
      </c>
      <c r="X53" s="19">
        <v>1.0</v>
      </c>
      <c r="Y53" s="19"/>
      <c r="Z53" s="18"/>
      <c r="AA53" s="20">
        <f t="shared" si="17"/>
        <v>21</v>
      </c>
      <c r="AB53" s="21">
        <f t="shared" si="18"/>
        <v>0.9130434783</v>
      </c>
      <c r="AC53" s="2"/>
    </row>
    <row r="54">
      <c r="A54" s="17" t="s">
        <v>41</v>
      </c>
      <c r="B54" s="19">
        <v>1.0</v>
      </c>
      <c r="C54" s="19">
        <v>0.0</v>
      </c>
      <c r="D54" s="19">
        <v>0.0</v>
      </c>
      <c r="E54" s="19">
        <v>1.0</v>
      </c>
      <c r="F54" s="19">
        <v>1.0</v>
      </c>
      <c r="G54" s="19">
        <v>1.0</v>
      </c>
      <c r="H54" s="19">
        <v>1.0</v>
      </c>
      <c r="I54" s="19">
        <v>1.0</v>
      </c>
      <c r="J54" s="19">
        <v>1.0</v>
      </c>
      <c r="K54" s="19">
        <v>1.0</v>
      </c>
      <c r="L54" s="19">
        <v>1.0</v>
      </c>
      <c r="M54" s="19">
        <v>0.0</v>
      </c>
      <c r="N54" s="19">
        <v>0.0</v>
      </c>
      <c r="O54" s="19">
        <v>1.0</v>
      </c>
      <c r="P54" s="19">
        <v>0.0</v>
      </c>
      <c r="Q54" s="19">
        <v>1.0</v>
      </c>
      <c r="R54" s="19">
        <v>1.0</v>
      </c>
      <c r="S54" s="19">
        <v>1.0</v>
      </c>
      <c r="T54" s="19">
        <v>1.0</v>
      </c>
      <c r="U54" s="19">
        <v>1.0</v>
      </c>
      <c r="V54" s="19">
        <v>1.0</v>
      </c>
      <c r="W54" s="19">
        <v>1.0</v>
      </c>
      <c r="X54" s="19">
        <v>1.0</v>
      </c>
      <c r="Y54" s="19"/>
      <c r="Z54" s="18"/>
      <c r="AA54" s="20">
        <f t="shared" si="17"/>
        <v>18</v>
      </c>
      <c r="AB54" s="21">
        <f t="shared" si="18"/>
        <v>0.7826086957</v>
      </c>
      <c r="AC54" s="2"/>
    </row>
    <row r="55">
      <c r="A55" s="17" t="s">
        <v>42</v>
      </c>
      <c r="B55" s="19">
        <v>1.0</v>
      </c>
      <c r="C55" s="19">
        <v>0.0</v>
      </c>
      <c r="D55" s="19">
        <v>1.0</v>
      </c>
      <c r="E55" s="19">
        <v>1.0</v>
      </c>
      <c r="F55" s="19">
        <v>1.0</v>
      </c>
      <c r="G55" s="19">
        <v>1.0</v>
      </c>
      <c r="H55" s="19">
        <v>1.0</v>
      </c>
      <c r="I55" s="19">
        <v>1.0</v>
      </c>
      <c r="J55" s="19">
        <v>1.0</v>
      </c>
      <c r="K55" s="19">
        <v>1.0</v>
      </c>
      <c r="L55" s="19">
        <v>1.0</v>
      </c>
      <c r="M55" s="19">
        <v>1.0</v>
      </c>
      <c r="N55" s="19">
        <v>1.0</v>
      </c>
      <c r="O55" s="19">
        <v>1.0</v>
      </c>
      <c r="P55" s="19">
        <v>0.0</v>
      </c>
      <c r="Q55" s="19">
        <v>0.0</v>
      </c>
      <c r="R55" s="19">
        <v>0.0</v>
      </c>
      <c r="S55" s="19">
        <v>0.0</v>
      </c>
      <c r="T55" s="19">
        <v>1.0</v>
      </c>
      <c r="U55" s="19">
        <v>1.0</v>
      </c>
      <c r="V55" s="19">
        <v>1.0</v>
      </c>
      <c r="W55" s="19">
        <v>1.0</v>
      </c>
      <c r="X55" s="19">
        <v>1.0</v>
      </c>
      <c r="Y55" s="19"/>
      <c r="Z55" s="18"/>
      <c r="AA55" s="20">
        <f t="shared" si="17"/>
        <v>18</v>
      </c>
      <c r="AB55" s="21">
        <f t="shared" si="18"/>
        <v>0.7826086957</v>
      </c>
      <c r="AC55" s="2"/>
    </row>
    <row r="56">
      <c r="A56" s="17" t="s">
        <v>43</v>
      </c>
      <c r="B56" s="22">
        <f t="shared" ref="B56:Z56" si="19">SUM(B52:B55)</f>
        <v>4</v>
      </c>
      <c r="C56" s="22">
        <f t="shared" si="19"/>
        <v>2</v>
      </c>
      <c r="D56" s="22">
        <f t="shared" si="19"/>
        <v>3</v>
      </c>
      <c r="E56" s="22">
        <f t="shared" si="19"/>
        <v>4</v>
      </c>
      <c r="F56" s="22">
        <f t="shared" si="19"/>
        <v>4</v>
      </c>
      <c r="G56" s="22">
        <f t="shared" si="19"/>
        <v>4</v>
      </c>
      <c r="H56" s="22">
        <f t="shared" si="19"/>
        <v>4</v>
      </c>
      <c r="I56" s="22">
        <f t="shared" si="19"/>
        <v>4</v>
      </c>
      <c r="J56" s="22">
        <f t="shared" si="19"/>
        <v>4</v>
      </c>
      <c r="K56" s="22">
        <f t="shared" si="19"/>
        <v>4</v>
      </c>
      <c r="L56" s="22">
        <f t="shared" si="19"/>
        <v>4</v>
      </c>
      <c r="M56" s="22">
        <f t="shared" si="19"/>
        <v>2</v>
      </c>
      <c r="N56" s="22">
        <f t="shared" si="19"/>
        <v>2</v>
      </c>
      <c r="O56" s="22">
        <f t="shared" si="19"/>
        <v>4</v>
      </c>
      <c r="P56" s="22">
        <f t="shared" si="19"/>
        <v>2</v>
      </c>
      <c r="Q56" s="22">
        <f t="shared" si="19"/>
        <v>3</v>
      </c>
      <c r="R56" s="22">
        <f t="shared" si="19"/>
        <v>3</v>
      </c>
      <c r="S56" s="22">
        <f t="shared" si="19"/>
        <v>3</v>
      </c>
      <c r="T56" s="22">
        <f t="shared" si="19"/>
        <v>4</v>
      </c>
      <c r="U56" s="22">
        <f t="shared" si="19"/>
        <v>4</v>
      </c>
      <c r="V56" s="22">
        <f t="shared" si="19"/>
        <v>4</v>
      </c>
      <c r="W56" s="22">
        <f t="shared" si="19"/>
        <v>4</v>
      </c>
      <c r="X56" s="22">
        <f t="shared" si="19"/>
        <v>4</v>
      </c>
      <c r="Y56" s="22">
        <f t="shared" si="19"/>
        <v>0</v>
      </c>
      <c r="Z56" s="22">
        <f t="shared" si="19"/>
        <v>0</v>
      </c>
      <c r="AA56" s="20">
        <f t="shared" si="17"/>
        <v>80</v>
      </c>
      <c r="AB56" s="23"/>
      <c r="AC56" s="2"/>
    </row>
    <row r="57">
      <c r="A57" s="17" t="s">
        <v>38</v>
      </c>
      <c r="B57" s="24">
        <f t="shared" ref="B57:Z57" si="20">B56/(COUNT(B52:B55)*1)</f>
        <v>1</v>
      </c>
      <c r="C57" s="24">
        <f t="shared" si="20"/>
        <v>0.5</v>
      </c>
      <c r="D57" s="24">
        <f t="shared" si="20"/>
        <v>0.75</v>
      </c>
      <c r="E57" s="24">
        <f t="shared" si="20"/>
        <v>1</v>
      </c>
      <c r="F57" s="24">
        <f t="shared" si="20"/>
        <v>1</v>
      </c>
      <c r="G57" s="24">
        <f t="shared" si="20"/>
        <v>1</v>
      </c>
      <c r="H57" s="24">
        <f t="shared" si="20"/>
        <v>1</v>
      </c>
      <c r="I57" s="24">
        <f t="shared" si="20"/>
        <v>1</v>
      </c>
      <c r="J57" s="24">
        <f t="shared" si="20"/>
        <v>1</v>
      </c>
      <c r="K57" s="24">
        <f t="shared" si="20"/>
        <v>1</v>
      </c>
      <c r="L57" s="24">
        <f t="shared" si="20"/>
        <v>1</v>
      </c>
      <c r="M57" s="24">
        <f t="shared" si="20"/>
        <v>0.5</v>
      </c>
      <c r="N57" s="24">
        <f t="shared" si="20"/>
        <v>0.5</v>
      </c>
      <c r="O57" s="24">
        <f t="shared" si="20"/>
        <v>1</v>
      </c>
      <c r="P57" s="24">
        <f t="shared" si="20"/>
        <v>0.5</v>
      </c>
      <c r="Q57" s="24">
        <f t="shared" si="20"/>
        <v>0.75</v>
      </c>
      <c r="R57" s="24">
        <f t="shared" si="20"/>
        <v>0.75</v>
      </c>
      <c r="S57" s="24">
        <f t="shared" si="20"/>
        <v>0.75</v>
      </c>
      <c r="T57" s="24">
        <f t="shared" si="20"/>
        <v>1</v>
      </c>
      <c r="U57" s="24">
        <f t="shared" si="20"/>
        <v>1</v>
      </c>
      <c r="V57" s="24">
        <f t="shared" si="20"/>
        <v>1</v>
      </c>
      <c r="W57" s="24">
        <f t="shared" si="20"/>
        <v>1</v>
      </c>
      <c r="X57" s="24">
        <f t="shared" si="20"/>
        <v>1</v>
      </c>
      <c r="Y57" s="24" t="str">
        <f t="shared" si="20"/>
        <v>#DIV/0!</v>
      </c>
      <c r="Z57" s="24" t="str">
        <f t="shared" si="20"/>
        <v>#DIV/0!</v>
      </c>
      <c r="AA57" s="25"/>
      <c r="AB57" s="26">
        <f>SUM(AB52:AB55)/4</f>
        <v>0.8695652174</v>
      </c>
      <c r="AC57" s="2"/>
    </row>
    <row r="58">
      <c r="A58" s="27" t="s">
        <v>44</v>
      </c>
      <c r="B58" s="60"/>
      <c r="C58" s="61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30">
        <f t="shared" ref="AA58:AA60" si="21">SUM(B58:Z58)</f>
        <v>0</v>
      </c>
      <c r="AB58" s="31"/>
      <c r="AC58" s="2"/>
    </row>
    <row r="59">
      <c r="A59" s="32" t="s">
        <v>45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128">
        <v>10.0</v>
      </c>
      <c r="T59" s="62"/>
      <c r="U59" s="62"/>
      <c r="V59" s="60"/>
      <c r="W59" s="60"/>
      <c r="X59" s="60"/>
      <c r="Y59" s="60"/>
      <c r="Z59" s="60"/>
      <c r="AA59" s="30">
        <f t="shared" si="21"/>
        <v>10</v>
      </c>
      <c r="AB59" s="31"/>
      <c r="AC59" s="9"/>
    </row>
    <row r="60">
      <c r="A60" s="34" t="s">
        <v>46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0"/>
      <c r="W60" s="60"/>
      <c r="X60" s="60"/>
      <c r="Y60" s="60"/>
      <c r="Z60" s="60"/>
      <c r="AA60" s="30">
        <f t="shared" si="21"/>
        <v>0</v>
      </c>
      <c r="AB60" s="31"/>
      <c r="AC60" s="9"/>
    </row>
    <row r="61">
      <c r="A61" s="35" t="s">
        <v>47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7"/>
      <c r="AA61" s="38"/>
      <c r="AB61" s="39"/>
      <c r="AC61" s="2"/>
    </row>
    <row r="62">
      <c r="A62" s="40" t="s">
        <v>48</v>
      </c>
      <c r="B62" s="41"/>
      <c r="C62" s="42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3"/>
      <c r="W62" s="43"/>
      <c r="X62" s="43"/>
      <c r="Y62" s="43"/>
      <c r="Z62" s="43"/>
      <c r="AA62" s="44">
        <f t="shared" ref="AA62:AA63" si="22">SUM(B62:Z62)</f>
        <v>0</v>
      </c>
      <c r="AB62" s="31"/>
      <c r="AC62" s="2"/>
    </row>
    <row r="63">
      <c r="A63" s="40" t="s">
        <v>49</v>
      </c>
      <c r="B63" s="41"/>
      <c r="C63" s="42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3"/>
      <c r="W63" s="43"/>
      <c r="X63" s="43"/>
      <c r="Y63" s="43"/>
      <c r="Z63" s="43"/>
      <c r="AA63" s="44">
        <f t="shared" si="22"/>
        <v>0</v>
      </c>
      <c r="AB63" s="31"/>
      <c r="AC63" s="2"/>
    </row>
    <row r="64">
      <c r="A64" s="40" t="s">
        <v>50</v>
      </c>
      <c r="B64" s="42"/>
      <c r="C64" s="42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3"/>
      <c r="W64" s="43"/>
      <c r="X64" s="43"/>
      <c r="Y64" s="43"/>
      <c r="Z64" s="43"/>
      <c r="AA64" s="44" t="str">
        <f>AVERAGE(B64:Z64)</f>
        <v>#DIV/0!</v>
      </c>
      <c r="AB64" s="31"/>
      <c r="AC64" s="2"/>
    </row>
    <row r="65">
      <c r="A65" s="45" t="s">
        <v>51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7"/>
      <c r="AA65" s="46"/>
      <c r="AB65" s="39"/>
      <c r="AC65" s="2"/>
    </row>
    <row r="66">
      <c r="A66" s="47" t="s">
        <v>48</v>
      </c>
      <c r="B66" s="48"/>
      <c r="C66" s="49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50"/>
      <c r="W66" s="50"/>
      <c r="X66" s="50"/>
      <c r="Y66" s="50"/>
      <c r="Z66" s="50"/>
      <c r="AA66" s="51">
        <f t="shared" ref="AA66:AA67" si="23">SUM(B66:Z66)</f>
        <v>0</v>
      </c>
      <c r="AB66" s="31"/>
      <c r="AC66" s="2"/>
    </row>
    <row r="67">
      <c r="A67" s="47" t="s">
        <v>49</v>
      </c>
      <c r="B67" s="48"/>
      <c r="C67" s="49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50"/>
      <c r="W67" s="50"/>
      <c r="X67" s="50"/>
      <c r="Y67" s="50"/>
      <c r="Z67" s="50"/>
      <c r="AA67" s="51">
        <f t="shared" si="23"/>
        <v>0</v>
      </c>
      <c r="AB67" s="31"/>
      <c r="AC67" s="2"/>
    </row>
    <row r="68">
      <c r="A68" s="47" t="s">
        <v>50</v>
      </c>
      <c r="B68" s="49"/>
      <c r="C68" s="49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50"/>
      <c r="W68" s="50"/>
      <c r="X68" s="50"/>
      <c r="Y68" s="50"/>
      <c r="Z68" s="50"/>
      <c r="AA68" s="51" t="str">
        <f>AVERAGE(B68:Z68)</f>
        <v>#DIV/0!</v>
      </c>
      <c r="AB68" s="31"/>
      <c r="AC68" s="2"/>
    </row>
    <row r="69">
      <c r="A69" s="52" t="s">
        <v>53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7"/>
      <c r="AA69" s="38"/>
      <c r="AB69" s="39"/>
      <c r="AC69" s="2"/>
    </row>
    <row r="70">
      <c r="A70" s="40" t="s">
        <v>48</v>
      </c>
      <c r="B70" s="41"/>
      <c r="C70" s="42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3"/>
      <c r="W70" s="43"/>
      <c r="X70" s="43"/>
      <c r="Y70" s="43"/>
      <c r="Z70" s="43"/>
      <c r="AA70" s="44">
        <f t="shared" ref="AA70:AA71" si="24">SUM(B70:Z70)</f>
        <v>0</v>
      </c>
      <c r="AB70" s="31"/>
      <c r="AC70" s="2"/>
    </row>
    <row r="71">
      <c r="A71" s="40" t="s">
        <v>49</v>
      </c>
      <c r="B71" s="41"/>
      <c r="C71" s="42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3"/>
      <c r="W71" s="43"/>
      <c r="X71" s="43"/>
      <c r="Y71" s="43"/>
      <c r="Z71" s="43"/>
      <c r="AA71" s="44">
        <f t="shared" si="24"/>
        <v>0</v>
      </c>
      <c r="AB71" s="31"/>
      <c r="AC71" s="2"/>
    </row>
    <row r="72">
      <c r="A72" s="53" t="s">
        <v>50</v>
      </c>
      <c r="B72" s="54"/>
      <c r="C72" s="54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6"/>
      <c r="W72" s="56"/>
      <c r="X72" s="56"/>
      <c r="Y72" s="56"/>
      <c r="Z72" s="56"/>
      <c r="AA72" s="57" t="str">
        <f>AVERAGE(B72:Z72)</f>
        <v>#DIV/0!</v>
      </c>
      <c r="AB72" s="58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59"/>
      <c r="AB73" s="59"/>
      <c r="AC73" s="2"/>
    </row>
    <row r="74">
      <c r="A74" s="13">
        <v>46122.0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5" t="s">
        <v>37</v>
      </c>
      <c r="AB74" s="16" t="s">
        <v>38</v>
      </c>
      <c r="AC74" s="2"/>
    </row>
    <row r="75">
      <c r="A75" s="17" t="s">
        <v>39</v>
      </c>
      <c r="B75" s="19">
        <v>1.0</v>
      </c>
      <c r="C75" s="19">
        <v>1.0</v>
      </c>
      <c r="D75" s="19">
        <v>1.0</v>
      </c>
      <c r="E75" s="19">
        <v>1.0</v>
      </c>
      <c r="F75" s="19">
        <v>1.0</v>
      </c>
      <c r="G75" s="19">
        <v>1.0</v>
      </c>
      <c r="H75" s="19">
        <v>1.0</v>
      </c>
      <c r="I75" s="19">
        <v>1.0</v>
      </c>
      <c r="J75" s="19">
        <v>1.0</v>
      </c>
      <c r="K75" s="19">
        <v>1.0</v>
      </c>
      <c r="L75" s="19">
        <v>1.0</v>
      </c>
      <c r="M75" s="19">
        <v>1.0</v>
      </c>
      <c r="N75" s="19">
        <v>1.0</v>
      </c>
      <c r="O75" s="19">
        <v>1.0</v>
      </c>
      <c r="P75" s="19">
        <v>1.0</v>
      </c>
      <c r="Q75" s="19">
        <v>1.0</v>
      </c>
      <c r="R75" s="19">
        <v>1.0</v>
      </c>
      <c r="S75" s="19">
        <v>1.0</v>
      </c>
      <c r="T75" s="19">
        <v>1.0</v>
      </c>
      <c r="U75" s="19">
        <v>1.0</v>
      </c>
      <c r="V75" s="19">
        <v>1.0</v>
      </c>
      <c r="W75" s="19">
        <v>1.0</v>
      </c>
      <c r="X75" s="19">
        <v>1.0</v>
      </c>
      <c r="Y75" s="19"/>
      <c r="Z75" s="18"/>
      <c r="AA75" s="20">
        <f t="shared" ref="AA75:AA79" si="25">SUM(B75:Z75)</f>
        <v>23</v>
      </c>
      <c r="AB75" s="21">
        <f t="shared" ref="AB75:AB78" si="26">AA75/(COUNT(B75:Z75)*1)</f>
        <v>1</v>
      </c>
      <c r="AC75" s="2"/>
    </row>
    <row r="76">
      <c r="A76" s="17" t="s">
        <v>40</v>
      </c>
      <c r="B76" s="19">
        <v>1.0</v>
      </c>
      <c r="C76" s="19">
        <v>1.0</v>
      </c>
      <c r="D76" s="19">
        <v>1.0</v>
      </c>
      <c r="E76" s="19">
        <v>1.0</v>
      </c>
      <c r="F76" s="19">
        <v>1.0</v>
      </c>
      <c r="G76" s="19">
        <v>1.0</v>
      </c>
      <c r="H76" s="19">
        <v>1.0</v>
      </c>
      <c r="I76" s="19">
        <v>1.0</v>
      </c>
      <c r="J76" s="19">
        <v>1.0</v>
      </c>
      <c r="K76" s="19">
        <v>1.0</v>
      </c>
      <c r="L76" s="19">
        <v>1.0</v>
      </c>
      <c r="M76" s="19">
        <v>1.0</v>
      </c>
      <c r="N76" s="19">
        <v>1.0</v>
      </c>
      <c r="O76" s="19">
        <v>1.0</v>
      </c>
      <c r="P76" s="19">
        <v>1.0</v>
      </c>
      <c r="Q76" s="19">
        <v>1.0</v>
      </c>
      <c r="R76" s="19">
        <v>1.0</v>
      </c>
      <c r="S76" s="19">
        <v>1.0</v>
      </c>
      <c r="T76" s="19">
        <v>1.0</v>
      </c>
      <c r="U76" s="19">
        <v>1.0</v>
      </c>
      <c r="V76" s="19">
        <v>1.0</v>
      </c>
      <c r="W76" s="19">
        <v>1.0</v>
      </c>
      <c r="X76" s="19">
        <v>1.0</v>
      </c>
      <c r="Y76" s="19"/>
      <c r="Z76" s="18"/>
      <c r="AA76" s="20">
        <f t="shared" si="25"/>
        <v>23</v>
      </c>
      <c r="AB76" s="21">
        <f t="shared" si="26"/>
        <v>1</v>
      </c>
      <c r="AC76" s="2"/>
    </row>
    <row r="77">
      <c r="A77" s="17" t="s">
        <v>41</v>
      </c>
      <c r="B77" s="19">
        <v>1.0</v>
      </c>
      <c r="C77" s="19">
        <v>1.0</v>
      </c>
      <c r="D77" s="19">
        <v>1.0</v>
      </c>
      <c r="E77" s="19">
        <v>1.0</v>
      </c>
      <c r="F77" s="19">
        <v>0.0</v>
      </c>
      <c r="G77" s="19">
        <v>1.0</v>
      </c>
      <c r="H77" s="19">
        <v>1.0</v>
      </c>
      <c r="I77" s="19">
        <v>1.0</v>
      </c>
      <c r="J77" s="19">
        <v>1.0</v>
      </c>
      <c r="K77" s="19">
        <v>1.0</v>
      </c>
      <c r="L77" s="19">
        <v>1.0</v>
      </c>
      <c r="M77" s="19">
        <v>1.0</v>
      </c>
      <c r="N77" s="19">
        <v>1.0</v>
      </c>
      <c r="O77" s="19">
        <v>1.0</v>
      </c>
      <c r="P77" s="19">
        <v>1.0</v>
      </c>
      <c r="Q77" s="19">
        <v>1.0</v>
      </c>
      <c r="R77" s="19">
        <v>1.0</v>
      </c>
      <c r="S77" s="19">
        <v>1.0</v>
      </c>
      <c r="T77" s="19">
        <v>1.0</v>
      </c>
      <c r="U77" s="19">
        <v>1.0</v>
      </c>
      <c r="V77" s="19">
        <v>1.0</v>
      </c>
      <c r="W77" s="19">
        <v>1.0</v>
      </c>
      <c r="X77" s="19">
        <v>1.0</v>
      </c>
      <c r="Y77" s="19"/>
      <c r="Z77" s="18"/>
      <c r="AA77" s="20">
        <f t="shared" si="25"/>
        <v>22</v>
      </c>
      <c r="AB77" s="21">
        <f t="shared" si="26"/>
        <v>0.9565217391</v>
      </c>
      <c r="AC77" s="2"/>
    </row>
    <row r="78">
      <c r="A78" s="17" t="s">
        <v>42</v>
      </c>
      <c r="B78" s="19">
        <v>1.0</v>
      </c>
      <c r="C78" s="19">
        <v>1.0</v>
      </c>
      <c r="D78" s="19">
        <v>1.0</v>
      </c>
      <c r="E78" s="19">
        <v>1.0</v>
      </c>
      <c r="F78" s="19">
        <v>1.0</v>
      </c>
      <c r="G78" s="19">
        <v>1.0</v>
      </c>
      <c r="H78" s="19">
        <v>1.0</v>
      </c>
      <c r="I78" s="19">
        <v>1.0</v>
      </c>
      <c r="J78" s="19">
        <v>1.0</v>
      </c>
      <c r="K78" s="19">
        <v>1.0</v>
      </c>
      <c r="L78" s="19">
        <v>1.0</v>
      </c>
      <c r="M78" s="19">
        <v>1.0</v>
      </c>
      <c r="N78" s="19">
        <v>1.0</v>
      </c>
      <c r="O78" s="19">
        <v>1.0</v>
      </c>
      <c r="P78" s="19">
        <v>1.0</v>
      </c>
      <c r="Q78" s="19">
        <v>1.0</v>
      </c>
      <c r="R78" s="19">
        <v>1.0</v>
      </c>
      <c r="S78" s="19">
        <v>1.0</v>
      </c>
      <c r="T78" s="19">
        <v>0.0</v>
      </c>
      <c r="U78" s="19">
        <v>1.0</v>
      </c>
      <c r="V78" s="19">
        <v>1.0</v>
      </c>
      <c r="W78" s="19">
        <v>1.0</v>
      </c>
      <c r="X78" s="19">
        <v>1.0</v>
      </c>
      <c r="Y78" s="19"/>
      <c r="Z78" s="18"/>
      <c r="AA78" s="20">
        <f t="shared" si="25"/>
        <v>22</v>
      </c>
      <c r="AB78" s="21">
        <f t="shared" si="26"/>
        <v>0.9565217391</v>
      </c>
      <c r="AC78" s="2"/>
    </row>
    <row r="79">
      <c r="A79" s="17" t="s">
        <v>43</v>
      </c>
      <c r="B79" s="22">
        <f t="shared" ref="B79:Z79" si="27">SUM(B75:B78)</f>
        <v>4</v>
      </c>
      <c r="C79" s="22">
        <f t="shared" si="27"/>
        <v>4</v>
      </c>
      <c r="D79" s="22">
        <f t="shared" si="27"/>
        <v>4</v>
      </c>
      <c r="E79" s="22">
        <f t="shared" si="27"/>
        <v>4</v>
      </c>
      <c r="F79" s="22">
        <f t="shared" si="27"/>
        <v>3</v>
      </c>
      <c r="G79" s="22">
        <f t="shared" si="27"/>
        <v>4</v>
      </c>
      <c r="H79" s="22">
        <f t="shared" si="27"/>
        <v>4</v>
      </c>
      <c r="I79" s="22">
        <f t="shared" si="27"/>
        <v>4</v>
      </c>
      <c r="J79" s="22">
        <f t="shared" si="27"/>
        <v>4</v>
      </c>
      <c r="K79" s="22">
        <f t="shared" si="27"/>
        <v>4</v>
      </c>
      <c r="L79" s="22">
        <f t="shared" si="27"/>
        <v>4</v>
      </c>
      <c r="M79" s="22">
        <f t="shared" si="27"/>
        <v>4</v>
      </c>
      <c r="N79" s="22">
        <f t="shared" si="27"/>
        <v>4</v>
      </c>
      <c r="O79" s="22">
        <f t="shared" si="27"/>
        <v>4</v>
      </c>
      <c r="P79" s="22">
        <f t="shared" si="27"/>
        <v>4</v>
      </c>
      <c r="Q79" s="22">
        <f t="shared" si="27"/>
        <v>4</v>
      </c>
      <c r="R79" s="22">
        <f t="shared" si="27"/>
        <v>4</v>
      </c>
      <c r="S79" s="22">
        <f t="shared" si="27"/>
        <v>4</v>
      </c>
      <c r="T79" s="22">
        <f t="shared" si="27"/>
        <v>3</v>
      </c>
      <c r="U79" s="22">
        <f t="shared" si="27"/>
        <v>4</v>
      </c>
      <c r="V79" s="22">
        <f t="shared" si="27"/>
        <v>4</v>
      </c>
      <c r="W79" s="22">
        <f t="shared" si="27"/>
        <v>4</v>
      </c>
      <c r="X79" s="22">
        <f t="shared" si="27"/>
        <v>4</v>
      </c>
      <c r="Y79" s="22">
        <f t="shared" si="27"/>
        <v>0</v>
      </c>
      <c r="Z79" s="22">
        <f t="shared" si="27"/>
        <v>0</v>
      </c>
      <c r="AA79" s="20">
        <f t="shared" si="25"/>
        <v>90</v>
      </c>
      <c r="AB79" s="23"/>
      <c r="AC79" s="2"/>
    </row>
    <row r="80">
      <c r="A80" s="17" t="s">
        <v>38</v>
      </c>
      <c r="B80" s="24">
        <f t="shared" ref="B80:Z80" si="28">B79/(COUNT(B75:B78)*1)</f>
        <v>1</v>
      </c>
      <c r="C80" s="24">
        <f t="shared" si="28"/>
        <v>1</v>
      </c>
      <c r="D80" s="24">
        <f t="shared" si="28"/>
        <v>1</v>
      </c>
      <c r="E80" s="24">
        <f t="shared" si="28"/>
        <v>1</v>
      </c>
      <c r="F80" s="24">
        <f t="shared" si="28"/>
        <v>0.75</v>
      </c>
      <c r="G80" s="24">
        <f t="shared" si="28"/>
        <v>1</v>
      </c>
      <c r="H80" s="24">
        <f t="shared" si="28"/>
        <v>1</v>
      </c>
      <c r="I80" s="24">
        <f t="shared" si="28"/>
        <v>1</v>
      </c>
      <c r="J80" s="24">
        <f t="shared" si="28"/>
        <v>1</v>
      </c>
      <c r="K80" s="24">
        <f t="shared" si="28"/>
        <v>1</v>
      </c>
      <c r="L80" s="24">
        <f t="shared" si="28"/>
        <v>1</v>
      </c>
      <c r="M80" s="24">
        <f t="shared" si="28"/>
        <v>1</v>
      </c>
      <c r="N80" s="24">
        <f t="shared" si="28"/>
        <v>1</v>
      </c>
      <c r="O80" s="24">
        <f t="shared" si="28"/>
        <v>1</v>
      </c>
      <c r="P80" s="24">
        <f t="shared" si="28"/>
        <v>1</v>
      </c>
      <c r="Q80" s="24">
        <f t="shared" si="28"/>
        <v>1</v>
      </c>
      <c r="R80" s="24">
        <f t="shared" si="28"/>
        <v>1</v>
      </c>
      <c r="S80" s="24">
        <f t="shared" si="28"/>
        <v>1</v>
      </c>
      <c r="T80" s="24">
        <f t="shared" si="28"/>
        <v>0.75</v>
      </c>
      <c r="U80" s="24">
        <f t="shared" si="28"/>
        <v>1</v>
      </c>
      <c r="V80" s="24">
        <f t="shared" si="28"/>
        <v>1</v>
      </c>
      <c r="W80" s="24">
        <f t="shared" si="28"/>
        <v>1</v>
      </c>
      <c r="X80" s="24">
        <f t="shared" si="28"/>
        <v>1</v>
      </c>
      <c r="Y80" s="24" t="str">
        <f t="shared" si="28"/>
        <v>#DIV/0!</v>
      </c>
      <c r="Z80" s="24" t="str">
        <f t="shared" si="28"/>
        <v>#DIV/0!</v>
      </c>
      <c r="AA80" s="25"/>
      <c r="AB80" s="26">
        <f>SUM(AB75:AB78)/4</f>
        <v>0.9782608696</v>
      </c>
      <c r="AC80" s="2"/>
    </row>
    <row r="81">
      <c r="A81" s="27" t="s">
        <v>44</v>
      </c>
      <c r="B81" s="28"/>
      <c r="C81" s="29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30">
        <f t="shared" ref="AA81:AA83" si="29">SUM(B81:Z81)</f>
        <v>0</v>
      </c>
      <c r="AB81" s="31"/>
      <c r="AC81" s="2"/>
    </row>
    <row r="82">
      <c r="A82" s="32" t="s">
        <v>45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28"/>
      <c r="W82" s="28"/>
      <c r="X82" s="28"/>
      <c r="Y82" s="28"/>
      <c r="Z82" s="28"/>
      <c r="AA82" s="30">
        <f t="shared" si="29"/>
        <v>0</v>
      </c>
      <c r="AB82" s="31"/>
      <c r="AC82" s="9"/>
    </row>
    <row r="83">
      <c r="A83" s="34" t="s">
        <v>46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28"/>
      <c r="W83" s="28"/>
      <c r="X83" s="28"/>
      <c r="Y83" s="28"/>
      <c r="Z83" s="28"/>
      <c r="AA83" s="30">
        <f t="shared" si="29"/>
        <v>0</v>
      </c>
      <c r="AB83" s="31"/>
      <c r="AC83" s="9"/>
    </row>
    <row r="84">
      <c r="A84" s="35" t="s">
        <v>47</v>
      </c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7"/>
      <c r="AA84" s="38"/>
      <c r="AB84" s="39"/>
      <c r="AC84" s="2"/>
    </row>
    <row r="85">
      <c r="A85" s="40" t="s">
        <v>48</v>
      </c>
      <c r="B85" s="41"/>
      <c r="C85" s="42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3"/>
      <c r="W85" s="43"/>
      <c r="X85" s="43"/>
      <c r="Y85" s="43"/>
      <c r="Z85" s="43"/>
      <c r="AA85" s="44">
        <f t="shared" ref="AA85:AA86" si="30">SUM(B85:Z85)</f>
        <v>0</v>
      </c>
      <c r="AB85" s="31"/>
      <c r="AC85" s="2"/>
    </row>
    <row r="86">
      <c r="A86" s="40" t="s">
        <v>49</v>
      </c>
      <c r="B86" s="41"/>
      <c r="C86" s="42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3"/>
      <c r="W86" s="43"/>
      <c r="X86" s="43"/>
      <c r="Y86" s="43"/>
      <c r="Z86" s="43"/>
      <c r="AA86" s="44">
        <f t="shared" si="30"/>
        <v>0</v>
      </c>
      <c r="AB86" s="31"/>
      <c r="AC86" s="2"/>
    </row>
    <row r="87">
      <c r="A87" s="40" t="s">
        <v>50</v>
      </c>
      <c r="B87" s="42"/>
      <c r="C87" s="42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3"/>
      <c r="W87" s="43"/>
      <c r="X87" s="43"/>
      <c r="Y87" s="43"/>
      <c r="Z87" s="43"/>
      <c r="AA87" s="44" t="str">
        <f>AVERAGE(B87:Z87)</f>
        <v>#DIV/0!</v>
      </c>
      <c r="AB87" s="31"/>
      <c r="AC87" s="2"/>
    </row>
    <row r="88">
      <c r="A88" s="45" t="s">
        <v>51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7"/>
      <c r="AA88" s="46"/>
      <c r="AB88" s="39"/>
      <c r="AC88" s="2"/>
    </row>
    <row r="89">
      <c r="A89" s="47" t="s">
        <v>48</v>
      </c>
      <c r="B89" s="48"/>
      <c r="C89" s="49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50"/>
      <c r="W89" s="50"/>
      <c r="X89" s="50"/>
      <c r="Y89" s="50"/>
      <c r="Z89" s="50"/>
      <c r="AA89" s="51">
        <f t="shared" ref="AA89:AA90" si="31">SUM(B89:Z89)</f>
        <v>0</v>
      </c>
      <c r="AB89" s="31"/>
      <c r="AC89" s="2"/>
    </row>
    <row r="90">
      <c r="A90" s="47" t="s">
        <v>49</v>
      </c>
      <c r="B90" s="48"/>
      <c r="C90" s="49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50"/>
      <c r="W90" s="50"/>
      <c r="X90" s="50"/>
      <c r="Y90" s="50"/>
      <c r="Z90" s="50"/>
      <c r="AA90" s="51">
        <f t="shared" si="31"/>
        <v>0</v>
      </c>
      <c r="AB90" s="31"/>
      <c r="AC90" s="2"/>
    </row>
    <row r="91">
      <c r="A91" s="47" t="s">
        <v>50</v>
      </c>
      <c r="B91" s="49"/>
      <c r="C91" s="49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50"/>
      <c r="W91" s="50"/>
      <c r="X91" s="50"/>
      <c r="Y91" s="50"/>
      <c r="Z91" s="50"/>
      <c r="AA91" s="51" t="str">
        <f>AVERAGE(B91:Z91)</f>
        <v>#DIV/0!</v>
      </c>
      <c r="AB91" s="31"/>
      <c r="AC91" s="2"/>
    </row>
    <row r="92">
      <c r="A92" s="52" t="s">
        <v>53</v>
      </c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7"/>
      <c r="AA92" s="38"/>
      <c r="AB92" s="39"/>
      <c r="AC92" s="2"/>
    </row>
    <row r="93">
      <c r="A93" s="40" t="s">
        <v>48</v>
      </c>
      <c r="B93" s="41"/>
      <c r="C93" s="42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3"/>
      <c r="W93" s="43"/>
      <c r="X93" s="43"/>
      <c r="Y93" s="43"/>
      <c r="Z93" s="43"/>
      <c r="AA93" s="44">
        <f t="shared" ref="AA93:AA94" si="32">SUM(B93:Z93)</f>
        <v>0</v>
      </c>
      <c r="AB93" s="31"/>
      <c r="AC93" s="2"/>
    </row>
    <row r="94">
      <c r="A94" s="40" t="s">
        <v>49</v>
      </c>
      <c r="B94" s="41"/>
      <c r="C94" s="42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3"/>
      <c r="W94" s="43"/>
      <c r="X94" s="43"/>
      <c r="Y94" s="43"/>
      <c r="Z94" s="43"/>
      <c r="AA94" s="44">
        <f t="shared" si="32"/>
        <v>0</v>
      </c>
      <c r="AB94" s="31"/>
      <c r="AC94" s="2"/>
    </row>
    <row r="95">
      <c r="A95" s="53" t="s">
        <v>50</v>
      </c>
      <c r="B95" s="54"/>
      <c r="C95" s="54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6"/>
      <c r="W95" s="56"/>
      <c r="X95" s="56"/>
      <c r="Y95" s="56"/>
      <c r="Z95" s="56"/>
      <c r="AA95" s="57" t="str">
        <f>AVERAGE(B95:Z95)</f>
        <v>#DIV/0!</v>
      </c>
      <c r="AB95" s="58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59"/>
      <c r="AB96" s="59"/>
      <c r="AC96" s="2"/>
    </row>
    <row r="97">
      <c r="A97" s="13">
        <v>46125.0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5" t="s">
        <v>37</v>
      </c>
      <c r="AB97" s="16" t="s">
        <v>38</v>
      </c>
      <c r="AC97" s="2"/>
    </row>
    <row r="98">
      <c r="A98" s="17" t="s">
        <v>39</v>
      </c>
      <c r="B98" s="19">
        <v>1.0</v>
      </c>
      <c r="C98" s="19">
        <v>1.0</v>
      </c>
      <c r="D98" s="19">
        <v>1.0</v>
      </c>
      <c r="E98" s="19">
        <v>0.0</v>
      </c>
      <c r="F98" s="19">
        <v>1.0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1.0</v>
      </c>
      <c r="M98" s="19">
        <v>1.0</v>
      </c>
      <c r="N98" s="19">
        <v>1.0</v>
      </c>
      <c r="O98" s="19">
        <v>1.0</v>
      </c>
      <c r="P98" s="19">
        <v>1.0</v>
      </c>
      <c r="Q98" s="19">
        <v>1.0</v>
      </c>
      <c r="R98" s="19">
        <v>1.0</v>
      </c>
      <c r="S98" s="19">
        <v>0.0</v>
      </c>
      <c r="T98" s="19">
        <v>1.0</v>
      </c>
      <c r="U98" s="19">
        <v>0.0</v>
      </c>
      <c r="V98" s="19">
        <v>0.0</v>
      </c>
      <c r="W98" s="19">
        <v>0.0</v>
      </c>
      <c r="X98" s="18"/>
      <c r="Y98" s="18"/>
      <c r="Z98" s="18"/>
      <c r="AA98" s="20">
        <f t="shared" ref="AA98:AA102" si="33">SUM(B98:Z98)</f>
        <v>13</v>
      </c>
      <c r="AB98" s="21">
        <f t="shared" ref="AB98:AB101" si="34">AA98/(COUNT(B98:Z98)*1)</f>
        <v>0.5909090909</v>
      </c>
      <c r="AC98" s="2"/>
    </row>
    <row r="99">
      <c r="A99" s="17" t="s">
        <v>40</v>
      </c>
      <c r="B99" s="19">
        <v>1.0</v>
      </c>
      <c r="C99" s="19">
        <v>1.0</v>
      </c>
      <c r="D99" s="19">
        <v>0.0</v>
      </c>
      <c r="E99" s="19">
        <v>0.0</v>
      </c>
      <c r="F99" s="19">
        <v>1.0</v>
      </c>
      <c r="G99" s="19">
        <v>0.0</v>
      </c>
      <c r="H99" s="19">
        <v>1.0</v>
      </c>
      <c r="I99" s="19">
        <v>1.0</v>
      </c>
      <c r="J99" s="19">
        <v>0.0</v>
      </c>
      <c r="K99" s="19">
        <v>0.0</v>
      </c>
      <c r="L99" s="19">
        <v>1.0</v>
      </c>
      <c r="M99" s="19">
        <v>1.0</v>
      </c>
      <c r="N99" s="19">
        <v>1.0</v>
      </c>
      <c r="O99" s="19">
        <v>1.0</v>
      </c>
      <c r="P99" s="19">
        <v>1.0</v>
      </c>
      <c r="Q99" s="19">
        <v>1.0</v>
      </c>
      <c r="R99" s="19">
        <v>1.0</v>
      </c>
      <c r="S99" s="19">
        <v>1.0</v>
      </c>
      <c r="T99" s="19">
        <v>0.0</v>
      </c>
      <c r="U99" s="19">
        <v>0.0</v>
      </c>
      <c r="V99" s="19">
        <v>0.0</v>
      </c>
      <c r="W99" s="19">
        <v>0.0</v>
      </c>
      <c r="X99" s="18"/>
      <c r="Y99" s="18"/>
      <c r="Z99" s="18"/>
      <c r="AA99" s="20">
        <f t="shared" si="33"/>
        <v>13</v>
      </c>
      <c r="AB99" s="21">
        <f t="shared" si="34"/>
        <v>0.5909090909</v>
      </c>
      <c r="AC99" s="2"/>
    </row>
    <row r="100">
      <c r="A100" s="17" t="s">
        <v>41</v>
      </c>
      <c r="B100" s="19">
        <v>1.0</v>
      </c>
      <c r="C100" s="19">
        <v>1.0</v>
      </c>
      <c r="D100" s="19">
        <v>0.0</v>
      </c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1.0</v>
      </c>
      <c r="M100" s="19">
        <v>0.0</v>
      </c>
      <c r="N100" s="19">
        <v>0.0</v>
      </c>
      <c r="O100" s="19">
        <v>1.0</v>
      </c>
      <c r="P100" s="19">
        <v>1.0</v>
      </c>
      <c r="Q100" s="19">
        <v>1.0</v>
      </c>
      <c r="R100" s="19">
        <v>0.0</v>
      </c>
      <c r="S100" s="19">
        <v>1.0</v>
      </c>
      <c r="T100" s="19">
        <v>0.0</v>
      </c>
      <c r="U100" s="19">
        <v>0.0</v>
      </c>
      <c r="V100" s="19">
        <v>0.0</v>
      </c>
      <c r="W100" s="19">
        <v>0.0</v>
      </c>
      <c r="X100" s="18"/>
      <c r="Y100" s="18"/>
      <c r="Z100" s="18"/>
      <c r="AA100" s="20">
        <f t="shared" si="33"/>
        <v>7</v>
      </c>
      <c r="AB100" s="21">
        <f t="shared" si="34"/>
        <v>0.3181818182</v>
      </c>
      <c r="AC100" s="2"/>
    </row>
    <row r="101">
      <c r="A101" s="17" t="s">
        <v>42</v>
      </c>
      <c r="B101" s="19">
        <v>1.0</v>
      </c>
      <c r="C101" s="19">
        <v>0.0</v>
      </c>
      <c r="D101" s="19">
        <v>0.0</v>
      </c>
      <c r="E101" s="19">
        <v>0.0</v>
      </c>
      <c r="F101" s="19">
        <v>0.0</v>
      </c>
      <c r="G101" s="19">
        <v>1.0</v>
      </c>
      <c r="H101" s="19">
        <v>0.0</v>
      </c>
      <c r="I101" s="19">
        <v>0.0</v>
      </c>
      <c r="J101" s="19">
        <v>0.0</v>
      </c>
      <c r="K101" s="19">
        <v>1.0</v>
      </c>
      <c r="L101" s="19">
        <v>1.0</v>
      </c>
      <c r="M101" s="19">
        <v>1.0</v>
      </c>
      <c r="N101" s="19">
        <v>1.0</v>
      </c>
      <c r="O101" s="19">
        <v>1.0</v>
      </c>
      <c r="P101" s="19">
        <v>0.0</v>
      </c>
      <c r="Q101" s="19">
        <v>0.0</v>
      </c>
      <c r="R101" s="19">
        <v>0.0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  <c r="X101" s="18"/>
      <c r="Y101" s="18"/>
      <c r="Z101" s="18"/>
      <c r="AA101" s="20">
        <f t="shared" si="33"/>
        <v>7</v>
      </c>
      <c r="AB101" s="21">
        <f t="shared" si="34"/>
        <v>0.3181818182</v>
      </c>
      <c r="AC101" s="2"/>
    </row>
    <row r="102">
      <c r="A102" s="17" t="s">
        <v>43</v>
      </c>
      <c r="B102" s="22">
        <f t="shared" ref="B102:Z102" si="35">SUM(B98:B101)</f>
        <v>4</v>
      </c>
      <c r="C102" s="22">
        <f t="shared" si="35"/>
        <v>3</v>
      </c>
      <c r="D102" s="22">
        <f t="shared" si="35"/>
        <v>1</v>
      </c>
      <c r="E102" s="22">
        <f t="shared" si="35"/>
        <v>0</v>
      </c>
      <c r="F102" s="22">
        <f t="shared" si="35"/>
        <v>2</v>
      </c>
      <c r="G102" s="22">
        <f t="shared" si="35"/>
        <v>1</v>
      </c>
      <c r="H102" s="22">
        <f t="shared" si="35"/>
        <v>1</v>
      </c>
      <c r="I102" s="22">
        <f t="shared" si="35"/>
        <v>1</v>
      </c>
      <c r="J102" s="22">
        <f t="shared" si="35"/>
        <v>0</v>
      </c>
      <c r="K102" s="22">
        <f t="shared" si="35"/>
        <v>2</v>
      </c>
      <c r="L102" s="22">
        <f t="shared" si="35"/>
        <v>4</v>
      </c>
      <c r="M102" s="22">
        <f t="shared" si="35"/>
        <v>3</v>
      </c>
      <c r="N102" s="22">
        <f t="shared" si="35"/>
        <v>3</v>
      </c>
      <c r="O102" s="22">
        <f t="shared" si="35"/>
        <v>4</v>
      </c>
      <c r="P102" s="22">
        <f t="shared" si="35"/>
        <v>3</v>
      </c>
      <c r="Q102" s="22">
        <f t="shared" si="35"/>
        <v>3</v>
      </c>
      <c r="R102" s="22">
        <f t="shared" si="35"/>
        <v>2</v>
      </c>
      <c r="S102" s="22">
        <f t="shared" si="35"/>
        <v>2</v>
      </c>
      <c r="T102" s="22">
        <f t="shared" si="35"/>
        <v>1</v>
      </c>
      <c r="U102" s="22">
        <f t="shared" si="35"/>
        <v>0</v>
      </c>
      <c r="V102" s="22">
        <f t="shared" si="35"/>
        <v>0</v>
      </c>
      <c r="W102" s="22">
        <f t="shared" si="35"/>
        <v>0</v>
      </c>
      <c r="X102" s="22">
        <f t="shared" si="35"/>
        <v>0</v>
      </c>
      <c r="Y102" s="22">
        <f t="shared" si="35"/>
        <v>0</v>
      </c>
      <c r="Z102" s="22">
        <f t="shared" si="35"/>
        <v>0</v>
      </c>
      <c r="AA102" s="20">
        <f t="shared" si="33"/>
        <v>40</v>
      </c>
      <c r="AB102" s="23"/>
      <c r="AC102" s="2"/>
    </row>
    <row r="103">
      <c r="A103" s="17" t="s">
        <v>38</v>
      </c>
      <c r="B103" s="24">
        <f t="shared" ref="B103:Z103" si="36">B102/(COUNT(B98:B101)*1)</f>
        <v>1</v>
      </c>
      <c r="C103" s="24">
        <f t="shared" si="36"/>
        <v>0.75</v>
      </c>
      <c r="D103" s="24">
        <f t="shared" si="36"/>
        <v>0.25</v>
      </c>
      <c r="E103" s="24">
        <f t="shared" si="36"/>
        <v>0</v>
      </c>
      <c r="F103" s="24">
        <f t="shared" si="36"/>
        <v>0.5</v>
      </c>
      <c r="G103" s="24">
        <f t="shared" si="36"/>
        <v>0.25</v>
      </c>
      <c r="H103" s="24">
        <f t="shared" si="36"/>
        <v>0.25</v>
      </c>
      <c r="I103" s="24">
        <f t="shared" si="36"/>
        <v>0.25</v>
      </c>
      <c r="J103" s="24">
        <f t="shared" si="36"/>
        <v>0</v>
      </c>
      <c r="K103" s="24">
        <f t="shared" si="36"/>
        <v>0.5</v>
      </c>
      <c r="L103" s="24">
        <f t="shared" si="36"/>
        <v>1</v>
      </c>
      <c r="M103" s="24">
        <f t="shared" si="36"/>
        <v>0.75</v>
      </c>
      <c r="N103" s="24">
        <f t="shared" si="36"/>
        <v>0.75</v>
      </c>
      <c r="O103" s="24">
        <f t="shared" si="36"/>
        <v>1</v>
      </c>
      <c r="P103" s="24">
        <f t="shared" si="36"/>
        <v>0.75</v>
      </c>
      <c r="Q103" s="24">
        <f t="shared" si="36"/>
        <v>0.75</v>
      </c>
      <c r="R103" s="24">
        <f t="shared" si="36"/>
        <v>0.5</v>
      </c>
      <c r="S103" s="24">
        <f t="shared" si="36"/>
        <v>0.5</v>
      </c>
      <c r="T103" s="24">
        <f t="shared" si="36"/>
        <v>0.25</v>
      </c>
      <c r="U103" s="24">
        <f t="shared" si="36"/>
        <v>0</v>
      </c>
      <c r="V103" s="24">
        <f t="shared" si="36"/>
        <v>0</v>
      </c>
      <c r="W103" s="24">
        <f t="shared" si="36"/>
        <v>0</v>
      </c>
      <c r="X103" s="24" t="str">
        <f t="shared" si="36"/>
        <v>#DIV/0!</v>
      </c>
      <c r="Y103" s="24" t="str">
        <f t="shared" si="36"/>
        <v>#DIV/0!</v>
      </c>
      <c r="Z103" s="24" t="str">
        <f t="shared" si="36"/>
        <v>#DIV/0!</v>
      </c>
      <c r="AA103" s="25"/>
      <c r="AB103" s="26">
        <f>SUM(AB98:AB101)/4</f>
        <v>0.4545454545</v>
      </c>
      <c r="AC103" s="2"/>
    </row>
    <row r="104">
      <c r="A104" s="27" t="s">
        <v>44</v>
      </c>
      <c r="B104" s="28"/>
      <c r="C104" s="2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30">
        <f t="shared" ref="AA104:AA106" si="37">SUM(B104:Z104)</f>
        <v>0</v>
      </c>
      <c r="AB104" s="31"/>
      <c r="AC104" s="2"/>
    </row>
    <row r="105">
      <c r="A105" s="32" t="s">
        <v>45</v>
      </c>
      <c r="B105" s="33"/>
      <c r="C105" s="33"/>
      <c r="D105" s="33"/>
      <c r="E105" s="129">
        <v>3.0</v>
      </c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28"/>
      <c r="W105" s="28"/>
      <c r="X105" s="28"/>
      <c r="Y105" s="28"/>
      <c r="Z105" s="28"/>
      <c r="AA105" s="30">
        <f t="shared" si="37"/>
        <v>3</v>
      </c>
      <c r="AB105" s="31"/>
      <c r="AC105" s="9"/>
    </row>
    <row r="106">
      <c r="A106" s="34" t="s">
        <v>46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28"/>
      <c r="W106" s="28"/>
      <c r="X106" s="28"/>
      <c r="Y106" s="28"/>
      <c r="Z106" s="28"/>
      <c r="AA106" s="30">
        <f t="shared" si="37"/>
        <v>0</v>
      </c>
      <c r="AB106" s="31"/>
      <c r="AC106" s="9"/>
    </row>
    <row r="107">
      <c r="A107" s="35" t="s">
        <v>47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7"/>
      <c r="AA107" s="38"/>
      <c r="AB107" s="39"/>
      <c r="AC107" s="2"/>
    </row>
    <row r="108">
      <c r="A108" s="40" t="s">
        <v>48</v>
      </c>
      <c r="B108" s="63"/>
      <c r="C108" s="64"/>
      <c r="D108" s="63"/>
      <c r="E108" s="63"/>
      <c r="F108" s="63"/>
      <c r="G108" s="65">
        <v>1.0</v>
      </c>
      <c r="H108" s="65">
        <v>1.0</v>
      </c>
      <c r="I108" s="65">
        <v>1.0</v>
      </c>
      <c r="J108" s="65">
        <v>1.0</v>
      </c>
      <c r="K108" s="63"/>
      <c r="L108" s="63"/>
      <c r="M108" s="63"/>
      <c r="N108" s="63"/>
      <c r="O108" s="63"/>
      <c r="P108" s="63"/>
      <c r="Q108" s="63"/>
      <c r="R108" s="63"/>
      <c r="S108" s="65">
        <v>1.0</v>
      </c>
      <c r="T108" s="63"/>
      <c r="U108" s="65">
        <v>1.0</v>
      </c>
      <c r="V108" s="69">
        <v>1.0</v>
      </c>
      <c r="W108" s="69">
        <v>1.0</v>
      </c>
      <c r="X108" s="66"/>
      <c r="Y108" s="66"/>
      <c r="Z108" s="66"/>
      <c r="AA108" s="44">
        <f t="shared" ref="AA108:AA109" si="38">SUM(B108:Z108)</f>
        <v>8</v>
      </c>
      <c r="AB108" s="31"/>
      <c r="AC108" s="2"/>
    </row>
    <row r="109">
      <c r="A109" s="40" t="s">
        <v>49</v>
      </c>
      <c r="B109" s="63"/>
      <c r="C109" s="64"/>
      <c r="D109" s="63"/>
      <c r="E109" s="63"/>
      <c r="F109" s="63"/>
      <c r="G109" s="65">
        <v>20.0</v>
      </c>
      <c r="H109" s="65">
        <v>20.0</v>
      </c>
      <c r="I109" s="65">
        <v>20.0</v>
      </c>
      <c r="J109" s="65">
        <v>20.0</v>
      </c>
      <c r="K109" s="63"/>
      <c r="L109" s="63"/>
      <c r="M109" s="63"/>
      <c r="N109" s="63"/>
      <c r="O109" s="63"/>
      <c r="P109" s="63"/>
      <c r="Q109" s="63"/>
      <c r="R109" s="63"/>
      <c r="S109" s="65">
        <v>20.0</v>
      </c>
      <c r="T109" s="63"/>
      <c r="U109" s="65">
        <v>20.0</v>
      </c>
      <c r="V109" s="69">
        <v>20.0</v>
      </c>
      <c r="W109" s="69">
        <v>10.0</v>
      </c>
      <c r="X109" s="66"/>
      <c r="Y109" s="66"/>
      <c r="Z109" s="66"/>
      <c r="AA109" s="44">
        <f t="shared" si="38"/>
        <v>150</v>
      </c>
      <c r="AB109" s="31"/>
      <c r="AC109" s="2"/>
    </row>
    <row r="110">
      <c r="A110" s="40" t="s">
        <v>50</v>
      </c>
      <c r="B110" s="64"/>
      <c r="C110" s="64"/>
      <c r="D110" s="63"/>
      <c r="E110" s="63"/>
      <c r="F110" s="63"/>
      <c r="G110" s="65">
        <v>2.0</v>
      </c>
      <c r="H110" s="65">
        <v>2.0</v>
      </c>
      <c r="I110" s="65">
        <v>2.0</v>
      </c>
      <c r="J110" s="65">
        <v>2.0</v>
      </c>
      <c r="K110" s="63"/>
      <c r="L110" s="63"/>
      <c r="M110" s="63"/>
      <c r="N110" s="63"/>
      <c r="O110" s="63"/>
      <c r="P110" s="63"/>
      <c r="Q110" s="63"/>
      <c r="R110" s="63"/>
      <c r="S110" s="65">
        <v>2.0</v>
      </c>
      <c r="T110" s="63"/>
      <c r="U110" s="65">
        <v>2.0</v>
      </c>
      <c r="V110" s="69">
        <v>2.0</v>
      </c>
      <c r="W110" s="69">
        <v>2.0</v>
      </c>
      <c r="X110" s="66"/>
      <c r="Y110" s="66"/>
      <c r="Z110" s="66"/>
      <c r="AA110" s="44">
        <f>AVERAGE(B110:Z110)</f>
        <v>2</v>
      </c>
      <c r="AB110" s="31"/>
      <c r="AC110" s="2"/>
    </row>
    <row r="111">
      <c r="A111" s="45" t="s">
        <v>51</v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7"/>
      <c r="AA111" s="46"/>
      <c r="AB111" s="39"/>
      <c r="AC111" s="2"/>
    </row>
    <row r="112">
      <c r="A112" s="47" t="s">
        <v>48</v>
      </c>
      <c r="B112" s="48"/>
      <c r="C112" s="49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50"/>
      <c r="W112" s="50"/>
      <c r="X112" s="50"/>
      <c r="Y112" s="50"/>
      <c r="Z112" s="50"/>
      <c r="AA112" s="51">
        <f t="shared" ref="AA112:AA113" si="39">SUM(B112:Z112)</f>
        <v>0</v>
      </c>
      <c r="AB112" s="31"/>
      <c r="AC112" s="2"/>
    </row>
    <row r="113">
      <c r="A113" s="47" t="s">
        <v>49</v>
      </c>
      <c r="B113" s="48"/>
      <c r="C113" s="49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50"/>
      <c r="W113" s="50"/>
      <c r="X113" s="50"/>
      <c r="Y113" s="50"/>
      <c r="Z113" s="50"/>
      <c r="AA113" s="51">
        <f t="shared" si="39"/>
        <v>0</v>
      </c>
      <c r="AB113" s="31"/>
      <c r="AC113" s="2"/>
    </row>
    <row r="114">
      <c r="A114" s="47" t="s">
        <v>50</v>
      </c>
      <c r="B114" s="49"/>
      <c r="C114" s="49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50"/>
      <c r="W114" s="50"/>
      <c r="X114" s="50"/>
      <c r="Y114" s="50"/>
      <c r="Z114" s="50"/>
      <c r="AA114" s="51" t="str">
        <f>AVERAGE(B114:Z114)</f>
        <v>#DIV/0!</v>
      </c>
      <c r="AB114" s="31"/>
      <c r="AC114" s="2"/>
    </row>
    <row r="115">
      <c r="A115" s="52" t="s">
        <v>53</v>
      </c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7"/>
      <c r="AA115" s="38"/>
      <c r="AB115" s="39"/>
      <c r="AC115" s="2"/>
    </row>
    <row r="116">
      <c r="A116" s="40" t="s">
        <v>48</v>
      </c>
      <c r="B116" s="41"/>
      <c r="C116" s="42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3"/>
      <c r="W116" s="43"/>
      <c r="X116" s="43"/>
      <c r="Y116" s="43"/>
      <c r="Z116" s="43"/>
      <c r="AA116" s="44">
        <f t="shared" ref="AA116:AA117" si="40">SUM(B116:Z116)</f>
        <v>0</v>
      </c>
      <c r="AB116" s="31"/>
      <c r="AC116" s="2"/>
    </row>
    <row r="117">
      <c r="A117" s="40" t="s">
        <v>49</v>
      </c>
      <c r="B117" s="41"/>
      <c r="C117" s="42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3"/>
      <c r="W117" s="43"/>
      <c r="X117" s="43"/>
      <c r="Y117" s="43"/>
      <c r="Z117" s="43"/>
      <c r="AA117" s="44">
        <f t="shared" si="40"/>
        <v>0</v>
      </c>
      <c r="AB117" s="31"/>
      <c r="AC117" s="2"/>
    </row>
    <row r="118">
      <c r="A118" s="53" t="s">
        <v>50</v>
      </c>
      <c r="B118" s="54"/>
      <c r="C118" s="54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6"/>
      <c r="W118" s="56"/>
      <c r="X118" s="56"/>
      <c r="Y118" s="56"/>
      <c r="Z118" s="56"/>
      <c r="AA118" s="57" t="str">
        <f>AVERAGE(B118:Z118)</f>
        <v>#DIV/0!</v>
      </c>
      <c r="AB118" s="58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59"/>
      <c r="AB119" s="59"/>
      <c r="AC119" s="2"/>
    </row>
    <row r="120">
      <c r="A120" s="13">
        <v>46126.0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 t="s">
        <v>37</v>
      </c>
      <c r="AB120" s="16" t="s">
        <v>38</v>
      </c>
      <c r="AC120" s="2"/>
    </row>
    <row r="121">
      <c r="A121" s="17" t="s">
        <v>39</v>
      </c>
      <c r="B121" s="19">
        <v>1.0</v>
      </c>
      <c r="C121" s="19">
        <v>1.0</v>
      </c>
      <c r="D121" s="19">
        <v>1.0</v>
      </c>
      <c r="E121" s="19">
        <v>1.0</v>
      </c>
      <c r="F121" s="19">
        <v>1.0</v>
      </c>
      <c r="G121" s="19">
        <v>1.0</v>
      </c>
      <c r="H121" s="19">
        <v>1.0</v>
      </c>
      <c r="I121" s="19">
        <v>1.0</v>
      </c>
      <c r="J121" s="19">
        <v>1.0</v>
      </c>
      <c r="K121" s="19">
        <v>1.0</v>
      </c>
      <c r="L121" s="19">
        <v>1.0</v>
      </c>
      <c r="M121" s="19">
        <v>0.0</v>
      </c>
      <c r="N121" s="19">
        <v>0.0</v>
      </c>
      <c r="O121" s="19">
        <v>1.0</v>
      </c>
      <c r="P121" s="19">
        <v>1.0</v>
      </c>
      <c r="Q121" s="19">
        <v>1.0</v>
      </c>
      <c r="R121" s="19">
        <v>1.0</v>
      </c>
      <c r="S121" s="19">
        <v>1.0</v>
      </c>
      <c r="T121" s="19">
        <v>1.0</v>
      </c>
      <c r="U121" s="19">
        <v>1.0</v>
      </c>
      <c r="V121" s="19">
        <v>1.0</v>
      </c>
      <c r="W121" s="19">
        <v>1.0</v>
      </c>
      <c r="X121" s="18"/>
      <c r="Y121" s="18"/>
      <c r="Z121" s="18"/>
      <c r="AA121" s="20">
        <f t="shared" ref="AA121:AA125" si="41">SUM(B121:Z121)</f>
        <v>20</v>
      </c>
      <c r="AB121" s="21">
        <f t="shared" ref="AB121:AB124" si="42">AA121/(COUNT(B121:Z121)*1)</f>
        <v>0.9090909091</v>
      </c>
      <c r="AC121" s="2"/>
    </row>
    <row r="122">
      <c r="A122" s="17" t="s">
        <v>40</v>
      </c>
      <c r="B122" s="19">
        <v>1.0</v>
      </c>
      <c r="C122" s="19">
        <v>1.0</v>
      </c>
      <c r="D122" s="19">
        <v>1.0</v>
      </c>
      <c r="E122" s="19">
        <v>1.0</v>
      </c>
      <c r="F122" s="19">
        <v>1.0</v>
      </c>
      <c r="G122" s="19">
        <v>1.0</v>
      </c>
      <c r="H122" s="19">
        <v>1.0</v>
      </c>
      <c r="I122" s="19">
        <v>1.0</v>
      </c>
      <c r="J122" s="19">
        <v>1.0</v>
      </c>
      <c r="K122" s="19">
        <v>1.0</v>
      </c>
      <c r="L122" s="19">
        <v>1.0</v>
      </c>
      <c r="M122" s="19">
        <v>1.0</v>
      </c>
      <c r="N122" s="19">
        <v>1.0</v>
      </c>
      <c r="O122" s="19">
        <v>1.0</v>
      </c>
      <c r="P122" s="19">
        <v>1.0</v>
      </c>
      <c r="Q122" s="19">
        <v>1.0</v>
      </c>
      <c r="R122" s="19">
        <v>1.0</v>
      </c>
      <c r="S122" s="19">
        <v>1.0</v>
      </c>
      <c r="T122" s="19">
        <v>1.0</v>
      </c>
      <c r="U122" s="19">
        <v>1.0</v>
      </c>
      <c r="V122" s="19">
        <v>1.0</v>
      </c>
      <c r="W122" s="19">
        <v>1.0</v>
      </c>
      <c r="X122" s="18"/>
      <c r="Y122" s="18"/>
      <c r="Z122" s="18"/>
      <c r="AA122" s="20">
        <f t="shared" si="41"/>
        <v>22</v>
      </c>
      <c r="AB122" s="21">
        <f t="shared" si="42"/>
        <v>1</v>
      </c>
      <c r="AC122" s="2"/>
    </row>
    <row r="123">
      <c r="A123" s="17" t="s">
        <v>41</v>
      </c>
      <c r="B123" s="19">
        <v>1.0</v>
      </c>
      <c r="C123" s="19">
        <v>1.0</v>
      </c>
      <c r="D123" s="19">
        <v>1.0</v>
      </c>
      <c r="E123" s="19">
        <v>1.0</v>
      </c>
      <c r="F123" s="19">
        <v>1.0</v>
      </c>
      <c r="G123" s="19">
        <v>1.0</v>
      </c>
      <c r="H123" s="19">
        <v>1.0</v>
      </c>
      <c r="I123" s="19">
        <v>1.0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1.0</v>
      </c>
      <c r="P123" s="19">
        <v>1.0</v>
      </c>
      <c r="Q123" s="19">
        <v>1.0</v>
      </c>
      <c r="R123" s="19">
        <v>1.0</v>
      </c>
      <c r="S123" s="19">
        <v>1.0</v>
      </c>
      <c r="T123" s="19">
        <v>1.0</v>
      </c>
      <c r="U123" s="19">
        <v>1.0</v>
      </c>
      <c r="V123" s="19">
        <v>1.0</v>
      </c>
      <c r="W123" s="19">
        <v>1.0</v>
      </c>
      <c r="X123" s="18"/>
      <c r="Y123" s="18"/>
      <c r="Z123" s="18"/>
      <c r="AA123" s="20">
        <f t="shared" si="41"/>
        <v>17</v>
      </c>
      <c r="AB123" s="21">
        <f t="shared" si="42"/>
        <v>0.7727272727</v>
      </c>
      <c r="AC123" s="2"/>
    </row>
    <row r="124">
      <c r="A124" s="17" t="s">
        <v>42</v>
      </c>
      <c r="B124" s="19">
        <v>1.0</v>
      </c>
      <c r="C124" s="19">
        <v>1.0</v>
      </c>
      <c r="D124" s="19">
        <v>0.0</v>
      </c>
      <c r="E124" s="19">
        <v>1.0</v>
      </c>
      <c r="F124" s="19">
        <v>0.0</v>
      </c>
      <c r="G124" s="19">
        <v>1.0</v>
      </c>
      <c r="H124" s="19">
        <v>1.0</v>
      </c>
      <c r="I124" s="19">
        <v>1.0</v>
      </c>
      <c r="J124" s="19">
        <v>1.0</v>
      </c>
      <c r="K124" s="19">
        <v>1.0</v>
      </c>
      <c r="L124" s="19">
        <v>1.0</v>
      </c>
      <c r="M124" s="19">
        <v>1.0</v>
      </c>
      <c r="N124" s="19">
        <v>1.0</v>
      </c>
      <c r="O124" s="19">
        <v>1.0</v>
      </c>
      <c r="P124" s="19">
        <v>1.0</v>
      </c>
      <c r="Q124" s="19">
        <v>1.0</v>
      </c>
      <c r="R124" s="19">
        <v>1.0</v>
      </c>
      <c r="S124" s="19">
        <v>1.0</v>
      </c>
      <c r="T124" s="19">
        <v>1.0</v>
      </c>
      <c r="U124" s="19">
        <v>1.0</v>
      </c>
      <c r="V124" s="19">
        <v>0.0</v>
      </c>
      <c r="W124" s="19">
        <v>0.0</v>
      </c>
      <c r="X124" s="18"/>
      <c r="Y124" s="18"/>
      <c r="Z124" s="18"/>
      <c r="AA124" s="20">
        <f t="shared" si="41"/>
        <v>18</v>
      </c>
      <c r="AB124" s="21">
        <f t="shared" si="42"/>
        <v>0.8181818182</v>
      </c>
      <c r="AC124" s="2"/>
    </row>
    <row r="125">
      <c r="A125" s="17" t="s">
        <v>43</v>
      </c>
      <c r="B125" s="22">
        <f t="shared" ref="B125:Z125" si="43">SUM(B121:B124)</f>
        <v>4</v>
      </c>
      <c r="C125" s="22">
        <f t="shared" si="43"/>
        <v>4</v>
      </c>
      <c r="D125" s="22">
        <f t="shared" si="43"/>
        <v>3</v>
      </c>
      <c r="E125" s="22">
        <f t="shared" si="43"/>
        <v>4</v>
      </c>
      <c r="F125" s="22">
        <f t="shared" si="43"/>
        <v>3</v>
      </c>
      <c r="G125" s="22">
        <f t="shared" si="43"/>
        <v>4</v>
      </c>
      <c r="H125" s="22">
        <f t="shared" si="43"/>
        <v>4</v>
      </c>
      <c r="I125" s="22">
        <f t="shared" si="43"/>
        <v>4</v>
      </c>
      <c r="J125" s="22">
        <f t="shared" si="43"/>
        <v>3</v>
      </c>
      <c r="K125" s="22">
        <f t="shared" si="43"/>
        <v>3</v>
      </c>
      <c r="L125" s="22">
        <f t="shared" si="43"/>
        <v>3</v>
      </c>
      <c r="M125" s="22">
        <f t="shared" si="43"/>
        <v>2</v>
      </c>
      <c r="N125" s="22">
        <f t="shared" si="43"/>
        <v>2</v>
      </c>
      <c r="O125" s="22">
        <f t="shared" si="43"/>
        <v>4</v>
      </c>
      <c r="P125" s="22">
        <f t="shared" si="43"/>
        <v>4</v>
      </c>
      <c r="Q125" s="22">
        <f t="shared" si="43"/>
        <v>4</v>
      </c>
      <c r="R125" s="22">
        <f t="shared" si="43"/>
        <v>4</v>
      </c>
      <c r="S125" s="22">
        <f t="shared" si="43"/>
        <v>4</v>
      </c>
      <c r="T125" s="22">
        <f t="shared" si="43"/>
        <v>4</v>
      </c>
      <c r="U125" s="22">
        <f t="shared" si="43"/>
        <v>4</v>
      </c>
      <c r="V125" s="22">
        <f t="shared" si="43"/>
        <v>3</v>
      </c>
      <c r="W125" s="22">
        <f t="shared" si="43"/>
        <v>3</v>
      </c>
      <c r="X125" s="22">
        <f t="shared" si="43"/>
        <v>0</v>
      </c>
      <c r="Y125" s="22">
        <f t="shared" si="43"/>
        <v>0</v>
      </c>
      <c r="Z125" s="22">
        <f t="shared" si="43"/>
        <v>0</v>
      </c>
      <c r="AA125" s="20">
        <f t="shared" si="41"/>
        <v>77</v>
      </c>
      <c r="AB125" s="23"/>
      <c r="AC125" s="2"/>
    </row>
    <row r="126">
      <c r="A126" s="17" t="s">
        <v>38</v>
      </c>
      <c r="B126" s="24">
        <f t="shared" ref="B126:Z126" si="44">B125/(COUNT(B121:B124)*1)</f>
        <v>1</v>
      </c>
      <c r="C126" s="24">
        <f t="shared" si="44"/>
        <v>1</v>
      </c>
      <c r="D126" s="24">
        <f t="shared" si="44"/>
        <v>0.75</v>
      </c>
      <c r="E126" s="24">
        <f t="shared" si="44"/>
        <v>1</v>
      </c>
      <c r="F126" s="24">
        <f t="shared" si="44"/>
        <v>0.75</v>
      </c>
      <c r="G126" s="24">
        <f t="shared" si="44"/>
        <v>1</v>
      </c>
      <c r="H126" s="24">
        <f t="shared" si="44"/>
        <v>1</v>
      </c>
      <c r="I126" s="24">
        <f t="shared" si="44"/>
        <v>1</v>
      </c>
      <c r="J126" s="24">
        <f t="shared" si="44"/>
        <v>0.75</v>
      </c>
      <c r="K126" s="24">
        <f t="shared" si="44"/>
        <v>0.75</v>
      </c>
      <c r="L126" s="24">
        <f t="shared" si="44"/>
        <v>0.75</v>
      </c>
      <c r="M126" s="24">
        <f t="shared" si="44"/>
        <v>0.5</v>
      </c>
      <c r="N126" s="24">
        <f t="shared" si="44"/>
        <v>0.5</v>
      </c>
      <c r="O126" s="24">
        <f t="shared" si="44"/>
        <v>1</v>
      </c>
      <c r="P126" s="24">
        <f t="shared" si="44"/>
        <v>1</v>
      </c>
      <c r="Q126" s="24">
        <f t="shared" si="44"/>
        <v>1</v>
      </c>
      <c r="R126" s="24">
        <f t="shared" si="44"/>
        <v>1</v>
      </c>
      <c r="S126" s="24">
        <f t="shared" si="44"/>
        <v>1</v>
      </c>
      <c r="T126" s="24">
        <f t="shared" si="44"/>
        <v>1</v>
      </c>
      <c r="U126" s="24">
        <f t="shared" si="44"/>
        <v>1</v>
      </c>
      <c r="V126" s="24">
        <f t="shared" si="44"/>
        <v>0.75</v>
      </c>
      <c r="W126" s="24">
        <f t="shared" si="44"/>
        <v>0.75</v>
      </c>
      <c r="X126" s="24" t="str">
        <f t="shared" si="44"/>
        <v>#DIV/0!</v>
      </c>
      <c r="Y126" s="24" t="str">
        <f t="shared" si="44"/>
        <v>#DIV/0!</v>
      </c>
      <c r="Z126" s="24" t="str">
        <f t="shared" si="44"/>
        <v>#DIV/0!</v>
      </c>
      <c r="AA126" s="25"/>
      <c r="AB126" s="26">
        <f>SUM(AB121:AB124)/4</f>
        <v>0.875</v>
      </c>
      <c r="AC126" s="2"/>
    </row>
    <row r="127">
      <c r="A127" s="27" t="s">
        <v>44</v>
      </c>
      <c r="B127" s="28"/>
      <c r="C127" s="2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30">
        <f t="shared" ref="AA127:AA129" si="45">SUM(B127:Z127)</f>
        <v>0</v>
      </c>
      <c r="AB127" s="31"/>
      <c r="AC127" s="2"/>
    </row>
    <row r="128">
      <c r="A128" s="32" t="s">
        <v>45</v>
      </c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28"/>
      <c r="W128" s="28"/>
      <c r="X128" s="28"/>
      <c r="Y128" s="28"/>
      <c r="Z128" s="28"/>
      <c r="AA128" s="30">
        <f t="shared" si="45"/>
        <v>0</v>
      </c>
      <c r="AB128" s="31"/>
      <c r="AC128" s="9"/>
    </row>
    <row r="129">
      <c r="A129" s="34" t="s">
        <v>46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28"/>
      <c r="W129" s="28"/>
      <c r="X129" s="28"/>
      <c r="Y129" s="28"/>
      <c r="Z129" s="28"/>
      <c r="AA129" s="30">
        <f t="shared" si="45"/>
        <v>0</v>
      </c>
      <c r="AB129" s="31"/>
      <c r="AC129" s="9"/>
    </row>
    <row r="130">
      <c r="A130" s="35" t="s">
        <v>47</v>
      </c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7"/>
      <c r="AA130" s="38"/>
      <c r="AB130" s="39"/>
      <c r="AC130" s="2"/>
    </row>
    <row r="131">
      <c r="A131" s="40" t="s">
        <v>48</v>
      </c>
      <c r="B131" s="41"/>
      <c r="C131" s="42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3"/>
      <c r="W131" s="43"/>
      <c r="X131" s="43"/>
      <c r="Y131" s="43"/>
      <c r="Z131" s="43"/>
      <c r="AA131" s="44">
        <f t="shared" ref="AA131:AA132" si="46">SUM(B131:Z131)</f>
        <v>0</v>
      </c>
      <c r="AB131" s="31"/>
      <c r="AC131" s="2"/>
    </row>
    <row r="132">
      <c r="A132" s="40" t="s">
        <v>49</v>
      </c>
      <c r="B132" s="41"/>
      <c r="C132" s="42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3"/>
      <c r="W132" s="43"/>
      <c r="X132" s="43"/>
      <c r="Y132" s="43"/>
      <c r="Z132" s="43"/>
      <c r="AA132" s="44">
        <f t="shared" si="46"/>
        <v>0</v>
      </c>
      <c r="AB132" s="31"/>
      <c r="AC132" s="2"/>
    </row>
    <row r="133">
      <c r="A133" s="40" t="s">
        <v>50</v>
      </c>
      <c r="B133" s="42"/>
      <c r="C133" s="42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3"/>
      <c r="W133" s="43"/>
      <c r="X133" s="43"/>
      <c r="Y133" s="43"/>
      <c r="Z133" s="43"/>
      <c r="AA133" s="44" t="str">
        <f>AVERAGE(B133:Z133)</f>
        <v>#DIV/0!</v>
      </c>
      <c r="AB133" s="31"/>
      <c r="AC133" s="2"/>
    </row>
    <row r="134">
      <c r="A134" s="45" t="s">
        <v>51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7"/>
      <c r="AA134" s="46"/>
      <c r="AB134" s="39"/>
      <c r="AC134" s="2"/>
    </row>
    <row r="135">
      <c r="A135" s="47" t="s">
        <v>48</v>
      </c>
      <c r="B135" s="48"/>
      <c r="C135" s="49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50"/>
      <c r="W135" s="50"/>
      <c r="X135" s="50"/>
      <c r="Y135" s="50"/>
      <c r="Z135" s="50"/>
      <c r="AA135" s="51">
        <f t="shared" ref="AA135:AA136" si="47">SUM(B135:Z135)</f>
        <v>0</v>
      </c>
      <c r="AB135" s="31"/>
      <c r="AC135" s="2"/>
    </row>
    <row r="136">
      <c r="A136" s="47" t="s">
        <v>49</v>
      </c>
      <c r="B136" s="48"/>
      <c r="C136" s="49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50"/>
      <c r="W136" s="50"/>
      <c r="X136" s="50"/>
      <c r="Y136" s="50"/>
      <c r="Z136" s="50"/>
      <c r="AA136" s="51">
        <f t="shared" si="47"/>
        <v>0</v>
      </c>
      <c r="AB136" s="31"/>
      <c r="AC136" s="2"/>
    </row>
    <row r="137">
      <c r="A137" s="47" t="s">
        <v>50</v>
      </c>
      <c r="B137" s="49"/>
      <c r="C137" s="49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50"/>
      <c r="W137" s="50"/>
      <c r="X137" s="50"/>
      <c r="Y137" s="50"/>
      <c r="Z137" s="50"/>
      <c r="AA137" s="51" t="str">
        <f>AVERAGE(B137:Z137)</f>
        <v>#DIV/0!</v>
      </c>
      <c r="AB137" s="31"/>
      <c r="AC137" s="2"/>
    </row>
    <row r="138">
      <c r="A138" s="52" t="s">
        <v>53</v>
      </c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7"/>
      <c r="AA138" s="38"/>
      <c r="AB138" s="39"/>
      <c r="AC138" s="2"/>
    </row>
    <row r="139">
      <c r="A139" s="40" t="s">
        <v>48</v>
      </c>
      <c r="B139" s="41"/>
      <c r="C139" s="42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3"/>
      <c r="W139" s="43"/>
      <c r="X139" s="43"/>
      <c r="Y139" s="43"/>
      <c r="Z139" s="43"/>
      <c r="AA139" s="44">
        <f t="shared" ref="AA139:AA140" si="48">SUM(B139:Z139)</f>
        <v>0</v>
      </c>
      <c r="AB139" s="31"/>
      <c r="AC139" s="2"/>
    </row>
    <row r="140">
      <c r="A140" s="40" t="s">
        <v>49</v>
      </c>
      <c r="B140" s="41"/>
      <c r="C140" s="42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3"/>
      <c r="W140" s="43"/>
      <c r="X140" s="43"/>
      <c r="Y140" s="43"/>
      <c r="Z140" s="43"/>
      <c r="AA140" s="44">
        <f t="shared" si="48"/>
        <v>0</v>
      </c>
      <c r="AB140" s="31"/>
      <c r="AC140" s="2"/>
    </row>
    <row r="141">
      <c r="A141" s="53" t="s">
        <v>50</v>
      </c>
      <c r="B141" s="54"/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6"/>
      <c r="W141" s="56"/>
      <c r="X141" s="56"/>
      <c r="Y141" s="56"/>
      <c r="Z141" s="56"/>
      <c r="AA141" s="57" t="str">
        <f>AVERAGE(B141:Z141)</f>
        <v>#DIV/0!</v>
      </c>
      <c r="AB141" s="58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59"/>
      <c r="AB142" s="59"/>
      <c r="AC142" s="2"/>
    </row>
    <row r="143">
      <c r="A143" s="13">
        <v>46127.0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 t="s">
        <v>37</v>
      </c>
      <c r="AB143" s="16" t="s">
        <v>38</v>
      </c>
      <c r="AC143" s="2"/>
    </row>
    <row r="144">
      <c r="A144" s="17" t="s">
        <v>39</v>
      </c>
      <c r="B144" s="19">
        <v>1.0</v>
      </c>
      <c r="C144" s="19">
        <v>1.0</v>
      </c>
      <c r="D144" s="19">
        <v>1.0</v>
      </c>
      <c r="E144" s="19">
        <v>1.0</v>
      </c>
      <c r="F144" s="19">
        <v>1.0</v>
      </c>
      <c r="G144" s="19">
        <v>1.0</v>
      </c>
      <c r="H144" s="19">
        <v>1.0</v>
      </c>
      <c r="I144" s="19">
        <v>1.0</v>
      </c>
      <c r="J144" s="19">
        <v>1.0</v>
      </c>
      <c r="K144" s="19">
        <v>1.0</v>
      </c>
      <c r="L144" s="19">
        <v>1.0</v>
      </c>
      <c r="M144" s="19">
        <v>1.0</v>
      </c>
      <c r="N144" s="19">
        <v>1.0</v>
      </c>
      <c r="O144" s="19">
        <v>1.0</v>
      </c>
      <c r="P144" s="19">
        <v>1.0</v>
      </c>
      <c r="Q144" s="19">
        <v>1.0</v>
      </c>
      <c r="R144" s="19">
        <v>1.0</v>
      </c>
      <c r="S144" s="19">
        <v>1.0</v>
      </c>
      <c r="T144" s="19">
        <v>1.0</v>
      </c>
      <c r="U144" s="19">
        <v>1.0</v>
      </c>
      <c r="V144" s="19">
        <v>0.0</v>
      </c>
      <c r="W144" s="19">
        <v>0.0</v>
      </c>
      <c r="X144" s="19">
        <v>1.0</v>
      </c>
      <c r="Y144" s="18"/>
      <c r="Z144" s="18"/>
      <c r="AA144" s="20">
        <f t="shared" ref="AA144:AA148" si="49">SUM(B144:Z144)</f>
        <v>21</v>
      </c>
      <c r="AB144" s="21">
        <f t="shared" ref="AB144:AB147" si="50">AA144/(COUNT(B144:Z144)*1)</f>
        <v>0.9130434783</v>
      </c>
      <c r="AC144" s="2"/>
    </row>
    <row r="145">
      <c r="A145" s="17" t="s">
        <v>40</v>
      </c>
      <c r="B145" s="19">
        <v>1.0</v>
      </c>
      <c r="C145" s="19">
        <v>1.0</v>
      </c>
      <c r="D145" s="19">
        <v>1.0</v>
      </c>
      <c r="E145" s="19">
        <v>1.0</v>
      </c>
      <c r="F145" s="19">
        <v>1.0</v>
      </c>
      <c r="G145" s="19">
        <v>1.0</v>
      </c>
      <c r="H145" s="19">
        <v>1.0</v>
      </c>
      <c r="I145" s="19">
        <v>1.0</v>
      </c>
      <c r="J145" s="19">
        <v>1.0</v>
      </c>
      <c r="K145" s="19">
        <v>1.0</v>
      </c>
      <c r="L145" s="19">
        <v>1.0</v>
      </c>
      <c r="M145" s="19">
        <v>1.0</v>
      </c>
      <c r="N145" s="19">
        <v>1.0</v>
      </c>
      <c r="O145" s="19">
        <v>1.0</v>
      </c>
      <c r="P145" s="19">
        <v>1.0</v>
      </c>
      <c r="Q145" s="19">
        <v>1.0</v>
      </c>
      <c r="R145" s="19">
        <v>1.0</v>
      </c>
      <c r="S145" s="19">
        <v>1.0</v>
      </c>
      <c r="T145" s="19">
        <v>1.0</v>
      </c>
      <c r="U145" s="19">
        <v>1.0</v>
      </c>
      <c r="V145" s="19">
        <v>0.0</v>
      </c>
      <c r="W145" s="19">
        <v>0.0</v>
      </c>
      <c r="X145" s="19">
        <v>1.0</v>
      </c>
      <c r="Y145" s="18"/>
      <c r="Z145" s="18"/>
      <c r="AA145" s="20">
        <f t="shared" si="49"/>
        <v>21</v>
      </c>
      <c r="AB145" s="21">
        <f t="shared" si="50"/>
        <v>0.9130434783</v>
      </c>
      <c r="AC145" s="2"/>
    </row>
    <row r="146">
      <c r="A146" s="17" t="s">
        <v>41</v>
      </c>
      <c r="B146" s="19">
        <v>1.0</v>
      </c>
      <c r="C146" s="19">
        <v>0.0</v>
      </c>
      <c r="D146" s="19">
        <v>1.0</v>
      </c>
      <c r="E146" s="19">
        <v>1.0</v>
      </c>
      <c r="F146" s="19">
        <v>1.0</v>
      </c>
      <c r="G146" s="19">
        <v>1.0</v>
      </c>
      <c r="H146" s="19">
        <v>1.0</v>
      </c>
      <c r="I146" s="19">
        <v>1.0</v>
      </c>
      <c r="J146" s="19">
        <v>1.0</v>
      </c>
      <c r="K146" s="19">
        <v>1.0</v>
      </c>
      <c r="L146" s="19">
        <v>1.0</v>
      </c>
      <c r="M146" s="19">
        <v>1.0</v>
      </c>
      <c r="N146" s="19">
        <v>1.0</v>
      </c>
      <c r="O146" s="19">
        <v>1.0</v>
      </c>
      <c r="P146" s="19">
        <v>1.0</v>
      </c>
      <c r="Q146" s="19">
        <v>1.0</v>
      </c>
      <c r="R146" s="19">
        <v>1.0</v>
      </c>
      <c r="S146" s="19">
        <v>0.0</v>
      </c>
      <c r="T146" s="19">
        <v>1.0</v>
      </c>
      <c r="U146" s="19">
        <v>0.0</v>
      </c>
      <c r="V146" s="19">
        <v>0.0</v>
      </c>
      <c r="W146" s="19">
        <v>0.0</v>
      </c>
      <c r="X146" s="19">
        <v>1.0</v>
      </c>
      <c r="Y146" s="18"/>
      <c r="Z146" s="18"/>
      <c r="AA146" s="20">
        <f t="shared" si="49"/>
        <v>18</v>
      </c>
      <c r="AB146" s="21">
        <f t="shared" si="50"/>
        <v>0.7826086957</v>
      </c>
      <c r="AC146" s="2"/>
    </row>
    <row r="147">
      <c r="A147" s="17" t="s">
        <v>42</v>
      </c>
      <c r="B147" s="19">
        <v>1.0</v>
      </c>
      <c r="C147" s="19">
        <v>1.0</v>
      </c>
      <c r="D147" s="19">
        <v>0.0</v>
      </c>
      <c r="E147" s="19">
        <v>1.0</v>
      </c>
      <c r="F147" s="19">
        <v>1.0</v>
      </c>
      <c r="G147" s="19">
        <v>1.0</v>
      </c>
      <c r="H147" s="19">
        <v>1.0</v>
      </c>
      <c r="I147" s="19">
        <v>1.0</v>
      </c>
      <c r="J147" s="19">
        <v>1.0</v>
      </c>
      <c r="K147" s="19">
        <v>1.0</v>
      </c>
      <c r="L147" s="19">
        <v>1.0</v>
      </c>
      <c r="M147" s="19">
        <v>1.0</v>
      </c>
      <c r="N147" s="19">
        <v>1.0</v>
      </c>
      <c r="O147" s="19">
        <v>1.0</v>
      </c>
      <c r="P147" s="19">
        <v>1.0</v>
      </c>
      <c r="Q147" s="19">
        <v>1.0</v>
      </c>
      <c r="R147" s="19">
        <v>1.0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8"/>
      <c r="Z147" s="18"/>
      <c r="AA147" s="20">
        <f t="shared" si="49"/>
        <v>16</v>
      </c>
      <c r="AB147" s="21">
        <f t="shared" si="50"/>
        <v>0.6956521739</v>
      </c>
      <c r="AC147" s="2"/>
    </row>
    <row r="148">
      <c r="A148" s="17" t="s">
        <v>43</v>
      </c>
      <c r="B148" s="22">
        <f t="shared" ref="B148:Z148" si="51">SUM(B144:B147)</f>
        <v>4</v>
      </c>
      <c r="C148" s="22">
        <f t="shared" si="51"/>
        <v>3</v>
      </c>
      <c r="D148" s="22">
        <f t="shared" si="51"/>
        <v>3</v>
      </c>
      <c r="E148" s="22">
        <f t="shared" si="51"/>
        <v>4</v>
      </c>
      <c r="F148" s="22">
        <f t="shared" si="51"/>
        <v>4</v>
      </c>
      <c r="G148" s="22">
        <f t="shared" si="51"/>
        <v>4</v>
      </c>
      <c r="H148" s="22">
        <f t="shared" si="51"/>
        <v>4</v>
      </c>
      <c r="I148" s="22">
        <f t="shared" si="51"/>
        <v>4</v>
      </c>
      <c r="J148" s="22">
        <f t="shared" si="51"/>
        <v>4</v>
      </c>
      <c r="K148" s="22">
        <f t="shared" si="51"/>
        <v>4</v>
      </c>
      <c r="L148" s="22">
        <f t="shared" si="51"/>
        <v>4</v>
      </c>
      <c r="M148" s="22">
        <f t="shared" si="51"/>
        <v>4</v>
      </c>
      <c r="N148" s="22">
        <f t="shared" si="51"/>
        <v>4</v>
      </c>
      <c r="O148" s="22">
        <f t="shared" si="51"/>
        <v>4</v>
      </c>
      <c r="P148" s="22">
        <f t="shared" si="51"/>
        <v>4</v>
      </c>
      <c r="Q148" s="22">
        <f t="shared" si="51"/>
        <v>4</v>
      </c>
      <c r="R148" s="22">
        <f t="shared" si="51"/>
        <v>4</v>
      </c>
      <c r="S148" s="22">
        <f t="shared" si="51"/>
        <v>2</v>
      </c>
      <c r="T148" s="22">
        <f t="shared" si="51"/>
        <v>3</v>
      </c>
      <c r="U148" s="22">
        <f t="shared" si="51"/>
        <v>2</v>
      </c>
      <c r="V148" s="22">
        <f t="shared" si="51"/>
        <v>0</v>
      </c>
      <c r="W148" s="22">
        <f t="shared" si="51"/>
        <v>0</v>
      </c>
      <c r="X148" s="22">
        <f t="shared" si="51"/>
        <v>3</v>
      </c>
      <c r="Y148" s="22">
        <f t="shared" si="51"/>
        <v>0</v>
      </c>
      <c r="Z148" s="22">
        <f t="shared" si="51"/>
        <v>0</v>
      </c>
      <c r="AA148" s="20">
        <f t="shared" si="49"/>
        <v>76</v>
      </c>
      <c r="AB148" s="23"/>
      <c r="AC148" s="2"/>
    </row>
    <row r="149">
      <c r="A149" s="17" t="s">
        <v>38</v>
      </c>
      <c r="B149" s="24">
        <f t="shared" ref="B149:Z149" si="52">B148/(COUNT(B144:B147)*1)</f>
        <v>1</v>
      </c>
      <c r="C149" s="24">
        <f t="shared" si="52"/>
        <v>0.75</v>
      </c>
      <c r="D149" s="24">
        <f t="shared" si="52"/>
        <v>0.75</v>
      </c>
      <c r="E149" s="24">
        <f t="shared" si="52"/>
        <v>1</v>
      </c>
      <c r="F149" s="24">
        <f t="shared" si="52"/>
        <v>1</v>
      </c>
      <c r="G149" s="24">
        <f t="shared" si="52"/>
        <v>1</v>
      </c>
      <c r="H149" s="24">
        <f t="shared" si="52"/>
        <v>1</v>
      </c>
      <c r="I149" s="24">
        <f t="shared" si="52"/>
        <v>1</v>
      </c>
      <c r="J149" s="24">
        <f t="shared" si="52"/>
        <v>1</v>
      </c>
      <c r="K149" s="24">
        <f t="shared" si="52"/>
        <v>1</v>
      </c>
      <c r="L149" s="24">
        <f t="shared" si="52"/>
        <v>1</v>
      </c>
      <c r="M149" s="24">
        <f t="shared" si="52"/>
        <v>1</v>
      </c>
      <c r="N149" s="24">
        <f t="shared" si="52"/>
        <v>1</v>
      </c>
      <c r="O149" s="24">
        <f t="shared" si="52"/>
        <v>1</v>
      </c>
      <c r="P149" s="24">
        <f t="shared" si="52"/>
        <v>1</v>
      </c>
      <c r="Q149" s="24">
        <f t="shared" si="52"/>
        <v>1</v>
      </c>
      <c r="R149" s="24">
        <f t="shared" si="52"/>
        <v>1</v>
      </c>
      <c r="S149" s="24">
        <f t="shared" si="52"/>
        <v>0.5</v>
      </c>
      <c r="T149" s="24">
        <f t="shared" si="52"/>
        <v>0.75</v>
      </c>
      <c r="U149" s="24">
        <f t="shared" si="52"/>
        <v>0.5</v>
      </c>
      <c r="V149" s="24">
        <f t="shared" si="52"/>
        <v>0</v>
      </c>
      <c r="W149" s="24">
        <f t="shared" si="52"/>
        <v>0</v>
      </c>
      <c r="X149" s="24">
        <f t="shared" si="52"/>
        <v>0.75</v>
      </c>
      <c r="Y149" s="24" t="str">
        <f t="shared" si="52"/>
        <v>#DIV/0!</v>
      </c>
      <c r="Z149" s="24" t="str">
        <f t="shared" si="52"/>
        <v>#DIV/0!</v>
      </c>
      <c r="AA149" s="25"/>
      <c r="AB149" s="26">
        <f>SUM(AB144:AB147)/4</f>
        <v>0.8260869565</v>
      </c>
      <c r="AC149" s="2"/>
    </row>
    <row r="150">
      <c r="A150" s="27" t="s">
        <v>44</v>
      </c>
      <c r="B150" s="60"/>
      <c r="C150" s="61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30">
        <f t="shared" ref="AA150:AA152" si="53">SUM(B150:Z150)</f>
        <v>0</v>
      </c>
      <c r="AB150" s="31"/>
      <c r="AC150" s="2"/>
    </row>
    <row r="151">
      <c r="A151" s="32" t="s">
        <v>45</v>
      </c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128">
        <v>2.0</v>
      </c>
      <c r="T151" s="128">
        <v>2.0</v>
      </c>
      <c r="U151" s="128">
        <v>3.0</v>
      </c>
      <c r="V151" s="68">
        <v>6.0</v>
      </c>
      <c r="W151" s="60"/>
      <c r="X151" s="60"/>
      <c r="Y151" s="60"/>
      <c r="Z151" s="60"/>
      <c r="AA151" s="30">
        <f t="shared" si="53"/>
        <v>13</v>
      </c>
      <c r="AB151" s="31"/>
      <c r="AC151" s="9"/>
    </row>
    <row r="152">
      <c r="A152" s="34" t="s">
        <v>46</v>
      </c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0"/>
      <c r="W152" s="60"/>
      <c r="X152" s="60"/>
      <c r="Y152" s="60"/>
      <c r="Z152" s="60"/>
      <c r="AA152" s="30">
        <f t="shared" si="53"/>
        <v>0</v>
      </c>
      <c r="AB152" s="31"/>
      <c r="AC152" s="9"/>
    </row>
    <row r="153">
      <c r="A153" s="35" t="s">
        <v>47</v>
      </c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7"/>
      <c r="AA153" s="38"/>
      <c r="AB153" s="39"/>
      <c r="AC153" s="2"/>
    </row>
    <row r="154">
      <c r="A154" s="40" t="s">
        <v>48</v>
      </c>
      <c r="B154" s="63"/>
      <c r="C154" s="64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9">
        <v>1.0</v>
      </c>
      <c r="W154" s="69">
        <v>1.0</v>
      </c>
      <c r="X154" s="69">
        <v>1.0</v>
      </c>
      <c r="Y154" s="66"/>
      <c r="Z154" s="66"/>
      <c r="AA154" s="44">
        <f t="shared" ref="AA154:AA155" si="54">SUM(B154:Z154)</f>
        <v>3</v>
      </c>
      <c r="AB154" s="31"/>
      <c r="AC154" s="2"/>
    </row>
    <row r="155">
      <c r="A155" s="40" t="s">
        <v>49</v>
      </c>
      <c r="B155" s="63"/>
      <c r="C155" s="64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9">
        <v>20.0</v>
      </c>
      <c r="W155" s="69">
        <v>10.0</v>
      </c>
      <c r="X155" s="69">
        <v>3.0</v>
      </c>
      <c r="Y155" s="66"/>
      <c r="Z155" s="66"/>
      <c r="AA155" s="44">
        <f t="shared" si="54"/>
        <v>33</v>
      </c>
      <c r="AB155" s="31"/>
      <c r="AC155" s="2"/>
    </row>
    <row r="156">
      <c r="A156" s="40" t="s">
        <v>50</v>
      </c>
      <c r="B156" s="64"/>
      <c r="C156" s="64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9">
        <v>2.0</v>
      </c>
      <c r="W156" s="69">
        <v>3.0</v>
      </c>
      <c r="X156" s="69">
        <v>1.0</v>
      </c>
      <c r="Y156" s="66"/>
      <c r="Z156" s="66"/>
      <c r="AA156" s="44">
        <f>AVERAGE(B156:Z156)</f>
        <v>2</v>
      </c>
      <c r="AB156" s="31"/>
      <c r="AC156" s="2"/>
    </row>
    <row r="157">
      <c r="A157" s="45" t="s">
        <v>51</v>
      </c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7"/>
      <c r="AA157" s="46"/>
      <c r="AB157" s="39"/>
      <c r="AC157" s="2"/>
    </row>
    <row r="158">
      <c r="A158" s="47" t="s">
        <v>48</v>
      </c>
      <c r="B158" s="48"/>
      <c r="C158" s="49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50"/>
      <c r="W158" s="50"/>
      <c r="X158" s="50"/>
      <c r="Y158" s="50"/>
      <c r="Z158" s="50"/>
      <c r="AA158" s="51">
        <f t="shared" ref="AA158:AA159" si="55">SUM(B158:Z158)</f>
        <v>0</v>
      </c>
      <c r="AB158" s="31"/>
      <c r="AC158" s="2"/>
    </row>
    <row r="159">
      <c r="A159" s="47" t="s">
        <v>49</v>
      </c>
      <c r="B159" s="48"/>
      <c r="C159" s="49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50"/>
      <c r="W159" s="50"/>
      <c r="X159" s="50"/>
      <c r="Y159" s="50"/>
      <c r="Z159" s="50"/>
      <c r="AA159" s="51">
        <f t="shared" si="55"/>
        <v>0</v>
      </c>
      <c r="AB159" s="31"/>
      <c r="AC159" s="2"/>
    </row>
    <row r="160">
      <c r="A160" s="47" t="s">
        <v>50</v>
      </c>
      <c r="B160" s="49"/>
      <c r="C160" s="49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50"/>
      <c r="W160" s="50"/>
      <c r="X160" s="50"/>
      <c r="Y160" s="50"/>
      <c r="Z160" s="50"/>
      <c r="AA160" s="51" t="str">
        <f>AVERAGE(B160:Z160)</f>
        <v>#DIV/0!</v>
      </c>
      <c r="AB160" s="31"/>
      <c r="AC160" s="2"/>
    </row>
    <row r="161">
      <c r="A161" s="52" t="s">
        <v>53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7"/>
      <c r="AA161" s="38"/>
      <c r="AB161" s="39"/>
      <c r="AC161" s="2"/>
    </row>
    <row r="162">
      <c r="A162" s="40" t="s">
        <v>48</v>
      </c>
      <c r="B162" s="41"/>
      <c r="C162" s="42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3"/>
      <c r="W162" s="43"/>
      <c r="X162" s="43"/>
      <c r="Y162" s="43"/>
      <c r="Z162" s="43"/>
      <c r="AA162" s="44">
        <f t="shared" ref="AA162:AA163" si="56">SUM(B162:Z162)</f>
        <v>0</v>
      </c>
      <c r="AB162" s="31"/>
      <c r="AC162" s="2"/>
    </row>
    <row r="163">
      <c r="A163" s="40" t="s">
        <v>49</v>
      </c>
      <c r="B163" s="41"/>
      <c r="C163" s="42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3"/>
      <c r="W163" s="43"/>
      <c r="X163" s="43"/>
      <c r="Y163" s="43"/>
      <c r="Z163" s="43"/>
      <c r="AA163" s="44">
        <f t="shared" si="56"/>
        <v>0</v>
      </c>
      <c r="AB163" s="31"/>
      <c r="AC163" s="2"/>
    </row>
    <row r="164">
      <c r="A164" s="53" t="s">
        <v>50</v>
      </c>
      <c r="B164" s="54"/>
      <c r="C164" s="54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6"/>
      <c r="W164" s="56"/>
      <c r="X164" s="56"/>
      <c r="Y164" s="56"/>
      <c r="Z164" s="56"/>
      <c r="AA164" s="57" t="str">
        <f>AVERAGE(B164:Z164)</f>
        <v>#DIV/0!</v>
      </c>
      <c r="AB164" s="58"/>
      <c r="AC164" s="2"/>
    </row>
    <row r="165">
      <c r="A165" s="9"/>
      <c r="B165" s="9"/>
      <c r="C165" s="9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13">
        <v>46128.0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5" t="s">
        <v>37</v>
      </c>
      <c r="AB166" s="16" t="s">
        <v>38</v>
      </c>
      <c r="AC166" s="2"/>
    </row>
    <row r="167">
      <c r="A167" s="17" t="s">
        <v>39</v>
      </c>
      <c r="B167" s="19">
        <v>1.0</v>
      </c>
      <c r="C167" s="19">
        <v>1.0</v>
      </c>
      <c r="D167" s="19">
        <v>1.0</v>
      </c>
      <c r="E167" s="19">
        <v>1.0</v>
      </c>
      <c r="F167" s="19">
        <v>1.0</v>
      </c>
      <c r="G167" s="19">
        <v>1.0</v>
      </c>
      <c r="H167" s="19">
        <v>1.0</v>
      </c>
      <c r="I167" s="19">
        <v>1.0</v>
      </c>
      <c r="J167" s="19">
        <v>0.0</v>
      </c>
      <c r="K167" s="19">
        <v>1.0</v>
      </c>
      <c r="L167" s="19">
        <v>1.0</v>
      </c>
      <c r="M167" s="19">
        <v>1.0</v>
      </c>
      <c r="N167" s="19">
        <v>1.0</v>
      </c>
      <c r="O167" s="19">
        <v>1.0</v>
      </c>
      <c r="P167" s="19">
        <v>0.0</v>
      </c>
      <c r="Q167" s="19">
        <v>1.0</v>
      </c>
      <c r="R167" s="19">
        <v>1.0</v>
      </c>
      <c r="S167" s="19">
        <v>0.0</v>
      </c>
      <c r="T167" s="19">
        <v>0.0</v>
      </c>
      <c r="U167" s="19">
        <v>1.0</v>
      </c>
      <c r="V167" s="19">
        <v>1.0</v>
      </c>
      <c r="W167" s="19">
        <v>1.0</v>
      </c>
      <c r="X167" s="19">
        <v>1.0</v>
      </c>
      <c r="Y167" s="19">
        <v>1.0</v>
      </c>
      <c r="Z167" s="18"/>
      <c r="AA167" s="20">
        <f t="shared" ref="AA167:AA171" si="57">SUM(B167:Z167)</f>
        <v>20</v>
      </c>
      <c r="AB167" s="21">
        <f t="shared" ref="AB167:AB170" si="58">AA167/(COUNT(B167:Z167)*1)</f>
        <v>0.8333333333</v>
      </c>
      <c r="AC167" s="2"/>
    </row>
    <row r="168">
      <c r="A168" s="17" t="s">
        <v>40</v>
      </c>
      <c r="B168" s="19">
        <v>1.0</v>
      </c>
      <c r="C168" s="19">
        <v>1.0</v>
      </c>
      <c r="D168" s="19">
        <v>1.0</v>
      </c>
      <c r="E168" s="19">
        <v>1.0</v>
      </c>
      <c r="F168" s="19">
        <v>1.0</v>
      </c>
      <c r="G168" s="19">
        <v>1.0</v>
      </c>
      <c r="H168" s="19">
        <v>1.0</v>
      </c>
      <c r="I168" s="19">
        <v>1.0</v>
      </c>
      <c r="J168" s="19">
        <v>1.0</v>
      </c>
      <c r="K168" s="19">
        <v>0.0</v>
      </c>
      <c r="L168" s="19">
        <v>1.0</v>
      </c>
      <c r="M168" s="19">
        <v>1.0</v>
      </c>
      <c r="N168" s="19">
        <v>1.0</v>
      </c>
      <c r="O168" s="19">
        <v>1.0</v>
      </c>
      <c r="P168" s="19">
        <v>0.0</v>
      </c>
      <c r="Q168" s="19">
        <v>1.0</v>
      </c>
      <c r="R168" s="19">
        <v>1.0</v>
      </c>
      <c r="S168" s="19">
        <v>0.0</v>
      </c>
      <c r="T168" s="19">
        <v>1.0</v>
      </c>
      <c r="U168" s="19">
        <v>1.0</v>
      </c>
      <c r="V168" s="19">
        <v>1.0</v>
      </c>
      <c r="W168" s="19">
        <v>1.0</v>
      </c>
      <c r="X168" s="19">
        <v>1.0</v>
      </c>
      <c r="Y168" s="19">
        <v>1.0</v>
      </c>
      <c r="Z168" s="18"/>
      <c r="AA168" s="20">
        <f t="shared" si="57"/>
        <v>21</v>
      </c>
      <c r="AB168" s="21">
        <f t="shared" si="58"/>
        <v>0.875</v>
      </c>
      <c r="AC168" s="2"/>
    </row>
    <row r="169">
      <c r="A169" s="17" t="s">
        <v>41</v>
      </c>
      <c r="B169" s="19">
        <v>1.0</v>
      </c>
      <c r="C169" s="19">
        <v>0.0</v>
      </c>
      <c r="D169" s="19">
        <v>0.0</v>
      </c>
      <c r="E169" s="19">
        <v>1.0</v>
      </c>
      <c r="F169" s="19">
        <v>1.0</v>
      </c>
      <c r="G169" s="19">
        <v>1.0</v>
      </c>
      <c r="H169" s="19">
        <v>0.0</v>
      </c>
      <c r="I169" s="19">
        <v>1.0</v>
      </c>
      <c r="J169" s="19">
        <v>0.0</v>
      </c>
      <c r="K169" s="19">
        <v>0.0</v>
      </c>
      <c r="L169" s="19">
        <v>1.0</v>
      </c>
      <c r="M169" s="19">
        <v>1.0</v>
      </c>
      <c r="N169" s="19">
        <v>1.0</v>
      </c>
      <c r="O169" s="19">
        <v>1.0</v>
      </c>
      <c r="P169" s="19">
        <v>0.0</v>
      </c>
      <c r="Q169" s="19">
        <v>1.0</v>
      </c>
      <c r="R169" s="19">
        <v>1.0</v>
      </c>
      <c r="S169" s="19">
        <v>0.0</v>
      </c>
      <c r="T169" s="19">
        <v>1.0</v>
      </c>
      <c r="U169" s="19">
        <v>0.0</v>
      </c>
      <c r="V169" s="19">
        <v>0.0</v>
      </c>
      <c r="W169" s="19">
        <v>1.0</v>
      </c>
      <c r="X169" s="19">
        <v>1.0</v>
      </c>
      <c r="Y169" s="19">
        <v>1.0</v>
      </c>
      <c r="Z169" s="18"/>
      <c r="AA169" s="20">
        <f t="shared" si="57"/>
        <v>15</v>
      </c>
      <c r="AB169" s="21">
        <f t="shared" si="58"/>
        <v>0.625</v>
      </c>
      <c r="AC169" s="2"/>
    </row>
    <row r="170">
      <c r="A170" s="17" t="s">
        <v>42</v>
      </c>
      <c r="B170" s="19">
        <v>1.0</v>
      </c>
      <c r="C170" s="19">
        <v>1.0</v>
      </c>
      <c r="D170" s="19">
        <v>1.0</v>
      </c>
      <c r="E170" s="19">
        <v>1.0</v>
      </c>
      <c r="F170" s="19">
        <v>1.0</v>
      </c>
      <c r="G170" s="19">
        <v>0.0</v>
      </c>
      <c r="H170" s="19">
        <v>1.0</v>
      </c>
      <c r="I170" s="19">
        <v>0.0</v>
      </c>
      <c r="J170" s="19">
        <v>0.0</v>
      </c>
      <c r="K170" s="19">
        <v>0.0</v>
      </c>
      <c r="L170" s="19">
        <v>1.0</v>
      </c>
      <c r="M170" s="19">
        <v>1.0</v>
      </c>
      <c r="N170" s="19">
        <v>1.0</v>
      </c>
      <c r="O170" s="19">
        <v>1.0</v>
      </c>
      <c r="P170" s="19">
        <v>0.0</v>
      </c>
      <c r="Q170" s="19">
        <v>1.0</v>
      </c>
      <c r="R170" s="19">
        <v>1.0</v>
      </c>
      <c r="S170" s="19">
        <v>0.0</v>
      </c>
      <c r="T170" s="19">
        <v>0.0</v>
      </c>
      <c r="U170" s="19">
        <v>1.0</v>
      </c>
      <c r="V170" s="19">
        <v>1.0</v>
      </c>
      <c r="W170" s="19">
        <v>1.0</v>
      </c>
      <c r="X170" s="19">
        <v>1.0</v>
      </c>
      <c r="Y170" s="19">
        <v>1.0</v>
      </c>
      <c r="Z170" s="18"/>
      <c r="AA170" s="20">
        <f t="shared" si="57"/>
        <v>17</v>
      </c>
      <c r="AB170" s="21">
        <f t="shared" si="58"/>
        <v>0.7083333333</v>
      </c>
      <c r="AC170" s="2"/>
    </row>
    <row r="171">
      <c r="A171" s="17" t="s">
        <v>43</v>
      </c>
      <c r="B171" s="22">
        <f t="shared" ref="B171:Z171" si="59">SUM(B167:B170)</f>
        <v>4</v>
      </c>
      <c r="C171" s="22">
        <f t="shared" si="59"/>
        <v>3</v>
      </c>
      <c r="D171" s="22">
        <f t="shared" si="59"/>
        <v>3</v>
      </c>
      <c r="E171" s="22">
        <f t="shared" si="59"/>
        <v>4</v>
      </c>
      <c r="F171" s="22">
        <f t="shared" si="59"/>
        <v>4</v>
      </c>
      <c r="G171" s="22">
        <f t="shared" si="59"/>
        <v>3</v>
      </c>
      <c r="H171" s="22">
        <f t="shared" si="59"/>
        <v>3</v>
      </c>
      <c r="I171" s="22">
        <f t="shared" si="59"/>
        <v>3</v>
      </c>
      <c r="J171" s="22">
        <f t="shared" si="59"/>
        <v>1</v>
      </c>
      <c r="K171" s="22">
        <f t="shared" si="59"/>
        <v>1</v>
      </c>
      <c r="L171" s="22">
        <f t="shared" si="59"/>
        <v>4</v>
      </c>
      <c r="M171" s="22">
        <f t="shared" si="59"/>
        <v>4</v>
      </c>
      <c r="N171" s="22">
        <f t="shared" si="59"/>
        <v>4</v>
      </c>
      <c r="O171" s="22">
        <f t="shared" si="59"/>
        <v>4</v>
      </c>
      <c r="P171" s="22">
        <f t="shared" si="59"/>
        <v>0</v>
      </c>
      <c r="Q171" s="22">
        <f t="shared" si="59"/>
        <v>4</v>
      </c>
      <c r="R171" s="22">
        <f t="shared" si="59"/>
        <v>4</v>
      </c>
      <c r="S171" s="22">
        <f t="shared" si="59"/>
        <v>0</v>
      </c>
      <c r="T171" s="22">
        <f t="shared" si="59"/>
        <v>2</v>
      </c>
      <c r="U171" s="22">
        <f t="shared" si="59"/>
        <v>3</v>
      </c>
      <c r="V171" s="22">
        <f t="shared" si="59"/>
        <v>3</v>
      </c>
      <c r="W171" s="22">
        <f t="shared" si="59"/>
        <v>4</v>
      </c>
      <c r="X171" s="22">
        <f t="shared" si="59"/>
        <v>4</v>
      </c>
      <c r="Y171" s="22">
        <f t="shared" si="59"/>
        <v>4</v>
      </c>
      <c r="Z171" s="22">
        <f t="shared" si="59"/>
        <v>0</v>
      </c>
      <c r="AA171" s="20">
        <f t="shared" si="57"/>
        <v>73</v>
      </c>
      <c r="AB171" s="23"/>
      <c r="AC171" s="2"/>
    </row>
    <row r="172">
      <c r="A172" s="17" t="s">
        <v>38</v>
      </c>
      <c r="B172" s="24">
        <f t="shared" ref="B172:Z172" si="60">B171/(COUNT(B167:B170)*1)</f>
        <v>1</v>
      </c>
      <c r="C172" s="24">
        <f t="shared" si="60"/>
        <v>0.75</v>
      </c>
      <c r="D172" s="24">
        <f t="shared" si="60"/>
        <v>0.75</v>
      </c>
      <c r="E172" s="24">
        <f t="shared" si="60"/>
        <v>1</v>
      </c>
      <c r="F172" s="24">
        <f t="shared" si="60"/>
        <v>1</v>
      </c>
      <c r="G172" s="24">
        <f t="shared" si="60"/>
        <v>0.75</v>
      </c>
      <c r="H172" s="24">
        <f t="shared" si="60"/>
        <v>0.75</v>
      </c>
      <c r="I172" s="24">
        <f t="shared" si="60"/>
        <v>0.75</v>
      </c>
      <c r="J172" s="24">
        <f t="shared" si="60"/>
        <v>0.25</v>
      </c>
      <c r="K172" s="24">
        <f t="shared" si="60"/>
        <v>0.25</v>
      </c>
      <c r="L172" s="24">
        <f t="shared" si="60"/>
        <v>1</v>
      </c>
      <c r="M172" s="24">
        <f t="shared" si="60"/>
        <v>1</v>
      </c>
      <c r="N172" s="24">
        <f t="shared" si="60"/>
        <v>1</v>
      </c>
      <c r="O172" s="24">
        <f t="shared" si="60"/>
        <v>1</v>
      </c>
      <c r="P172" s="24">
        <f t="shared" si="60"/>
        <v>0</v>
      </c>
      <c r="Q172" s="24">
        <f t="shared" si="60"/>
        <v>1</v>
      </c>
      <c r="R172" s="24">
        <f t="shared" si="60"/>
        <v>1</v>
      </c>
      <c r="S172" s="24">
        <f t="shared" si="60"/>
        <v>0</v>
      </c>
      <c r="T172" s="24">
        <f t="shared" si="60"/>
        <v>0.5</v>
      </c>
      <c r="U172" s="24">
        <f t="shared" si="60"/>
        <v>0.75</v>
      </c>
      <c r="V172" s="24">
        <f t="shared" si="60"/>
        <v>0.75</v>
      </c>
      <c r="W172" s="24">
        <f t="shared" si="60"/>
        <v>1</v>
      </c>
      <c r="X172" s="24">
        <f t="shared" si="60"/>
        <v>1</v>
      </c>
      <c r="Y172" s="24">
        <f t="shared" si="60"/>
        <v>1</v>
      </c>
      <c r="Z172" s="24" t="str">
        <f t="shared" si="60"/>
        <v>#DIV/0!</v>
      </c>
      <c r="AA172" s="25"/>
      <c r="AB172" s="26">
        <f>SUM(AB167:AB170)/4</f>
        <v>0.7604166667</v>
      </c>
      <c r="AC172" s="2"/>
    </row>
    <row r="173">
      <c r="A173" s="27" t="s">
        <v>44</v>
      </c>
      <c r="B173" s="60"/>
      <c r="C173" s="61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30">
        <f t="shared" ref="AA173:AA175" si="61">SUM(B173:Z173)</f>
        <v>0</v>
      </c>
      <c r="AB173" s="31"/>
      <c r="AC173" s="2"/>
    </row>
    <row r="174">
      <c r="A174" s="32" t="s">
        <v>45</v>
      </c>
      <c r="B174" s="62"/>
      <c r="C174" s="62"/>
      <c r="D174" s="62"/>
      <c r="E174" s="62"/>
      <c r="F174" s="62"/>
      <c r="G174" s="62"/>
      <c r="H174" s="62"/>
      <c r="I174" s="62"/>
      <c r="J174" s="128">
        <v>4.0</v>
      </c>
      <c r="K174" s="128">
        <v>4.0</v>
      </c>
      <c r="L174" s="62"/>
      <c r="M174" s="62"/>
      <c r="N174" s="62"/>
      <c r="O174" s="62"/>
      <c r="P174" s="128">
        <v>7.0</v>
      </c>
      <c r="Q174" s="62"/>
      <c r="R174" s="62"/>
      <c r="S174" s="128">
        <v>8.0</v>
      </c>
      <c r="T174" s="128"/>
      <c r="U174" s="62"/>
      <c r="V174" s="60"/>
      <c r="W174" s="60"/>
      <c r="X174" s="60"/>
      <c r="Y174" s="60"/>
      <c r="Z174" s="60"/>
      <c r="AA174" s="30">
        <f t="shared" si="61"/>
        <v>23</v>
      </c>
      <c r="AB174" s="31"/>
      <c r="AC174" s="9"/>
    </row>
    <row r="175">
      <c r="A175" s="34" t="s">
        <v>46</v>
      </c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0"/>
      <c r="W175" s="60"/>
      <c r="X175" s="60"/>
      <c r="Y175" s="60"/>
      <c r="Z175" s="60"/>
      <c r="AA175" s="30">
        <f t="shared" si="61"/>
        <v>0</v>
      </c>
      <c r="AB175" s="31"/>
      <c r="AC175" s="9"/>
    </row>
    <row r="176">
      <c r="A176" s="35" t="s">
        <v>47</v>
      </c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7"/>
      <c r="AA176" s="38"/>
      <c r="AB176" s="39"/>
      <c r="AC176" s="2"/>
    </row>
    <row r="177">
      <c r="A177" s="40" t="s">
        <v>48</v>
      </c>
      <c r="B177" s="63"/>
      <c r="C177" s="64"/>
      <c r="D177" s="63"/>
      <c r="E177" s="63"/>
      <c r="F177" s="63"/>
      <c r="G177" s="63"/>
      <c r="H177" s="63"/>
      <c r="I177" s="63"/>
      <c r="J177" s="65">
        <v>1.0</v>
      </c>
      <c r="K177" s="63"/>
      <c r="L177" s="63"/>
      <c r="M177" s="63"/>
      <c r="N177" s="63"/>
      <c r="O177" s="63"/>
      <c r="P177" s="65">
        <v>1.0</v>
      </c>
      <c r="Q177" s="63"/>
      <c r="R177" s="63"/>
      <c r="S177" s="65">
        <v>1.0</v>
      </c>
      <c r="T177" s="65">
        <v>1.0</v>
      </c>
      <c r="U177" s="63"/>
      <c r="V177" s="66"/>
      <c r="W177" s="66"/>
      <c r="X177" s="66"/>
      <c r="Y177" s="66"/>
      <c r="Z177" s="66"/>
      <c r="AA177" s="44">
        <f t="shared" ref="AA177:AA178" si="62">SUM(B177:Z177)</f>
        <v>4</v>
      </c>
      <c r="AB177" s="31"/>
      <c r="AC177" s="2"/>
    </row>
    <row r="178">
      <c r="A178" s="40" t="s">
        <v>49</v>
      </c>
      <c r="B178" s="63"/>
      <c r="C178" s="64"/>
      <c r="D178" s="63"/>
      <c r="E178" s="63"/>
      <c r="F178" s="63"/>
      <c r="G178" s="63"/>
      <c r="H178" s="63"/>
      <c r="I178" s="63"/>
      <c r="J178" s="65">
        <v>5.0</v>
      </c>
      <c r="K178" s="63"/>
      <c r="L178" s="63"/>
      <c r="M178" s="63"/>
      <c r="N178" s="63"/>
      <c r="O178" s="63"/>
      <c r="P178" s="65">
        <v>5.0</v>
      </c>
      <c r="Q178" s="63"/>
      <c r="R178" s="63"/>
      <c r="S178" s="65">
        <v>20.0</v>
      </c>
      <c r="T178" s="65">
        <v>20.0</v>
      </c>
      <c r="U178" s="63"/>
      <c r="V178" s="66"/>
      <c r="W178" s="66"/>
      <c r="X178" s="66"/>
      <c r="Y178" s="66"/>
      <c r="Z178" s="66"/>
      <c r="AA178" s="44">
        <f t="shared" si="62"/>
        <v>50</v>
      </c>
      <c r="AB178" s="31"/>
      <c r="AC178" s="2"/>
    </row>
    <row r="179">
      <c r="A179" s="40" t="s">
        <v>50</v>
      </c>
      <c r="B179" s="64"/>
      <c r="C179" s="64"/>
      <c r="D179" s="63"/>
      <c r="E179" s="63"/>
      <c r="F179" s="63"/>
      <c r="G179" s="63"/>
      <c r="H179" s="63"/>
      <c r="I179" s="63"/>
      <c r="J179" s="65">
        <v>2.0</v>
      </c>
      <c r="K179" s="63"/>
      <c r="L179" s="63"/>
      <c r="M179" s="63"/>
      <c r="N179" s="63"/>
      <c r="O179" s="63"/>
      <c r="P179" s="65">
        <v>2.0</v>
      </c>
      <c r="Q179" s="63"/>
      <c r="R179" s="63"/>
      <c r="S179" s="65">
        <v>2.0</v>
      </c>
      <c r="T179" s="65">
        <v>3.0</v>
      </c>
      <c r="U179" s="63"/>
      <c r="V179" s="66"/>
      <c r="W179" s="66"/>
      <c r="X179" s="66"/>
      <c r="Y179" s="66"/>
      <c r="Z179" s="66"/>
      <c r="AA179" s="44">
        <f>AVERAGE(B179:Z179)</f>
        <v>2.25</v>
      </c>
      <c r="AB179" s="31"/>
      <c r="AC179" s="2"/>
    </row>
    <row r="180">
      <c r="A180" s="45" t="s">
        <v>51</v>
      </c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7"/>
      <c r="AA180" s="46"/>
      <c r="AB180" s="39"/>
      <c r="AC180" s="2"/>
    </row>
    <row r="181">
      <c r="A181" s="47" t="s">
        <v>48</v>
      </c>
      <c r="B181" s="48"/>
      <c r="C181" s="49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50"/>
      <c r="W181" s="50"/>
      <c r="X181" s="50"/>
      <c r="Y181" s="50"/>
      <c r="Z181" s="50"/>
      <c r="AA181" s="51">
        <f t="shared" ref="AA181:AA182" si="63">SUM(B181:Z181)</f>
        <v>0</v>
      </c>
      <c r="AB181" s="31"/>
      <c r="AC181" s="2"/>
    </row>
    <row r="182">
      <c r="A182" s="47" t="s">
        <v>49</v>
      </c>
      <c r="B182" s="48"/>
      <c r="C182" s="49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50"/>
      <c r="W182" s="50"/>
      <c r="X182" s="50"/>
      <c r="Y182" s="50"/>
      <c r="Z182" s="50"/>
      <c r="AA182" s="51">
        <f t="shared" si="63"/>
        <v>0</v>
      </c>
      <c r="AB182" s="31"/>
      <c r="AC182" s="2"/>
    </row>
    <row r="183">
      <c r="A183" s="47" t="s">
        <v>50</v>
      </c>
      <c r="B183" s="49"/>
      <c r="C183" s="49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50"/>
      <c r="W183" s="50"/>
      <c r="X183" s="50"/>
      <c r="Y183" s="50"/>
      <c r="Z183" s="50"/>
      <c r="AA183" s="51" t="str">
        <f>AVERAGE(B183:Z183)</f>
        <v>#DIV/0!</v>
      </c>
      <c r="AB183" s="31"/>
      <c r="AC183" s="2"/>
    </row>
    <row r="184">
      <c r="A184" s="52" t="s">
        <v>53</v>
      </c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7"/>
      <c r="AA184" s="38"/>
      <c r="AB184" s="39"/>
      <c r="AC184" s="2"/>
    </row>
    <row r="185">
      <c r="A185" s="40" t="s">
        <v>48</v>
      </c>
      <c r="B185" s="41"/>
      <c r="C185" s="42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3"/>
      <c r="W185" s="43"/>
      <c r="X185" s="43"/>
      <c r="Y185" s="43"/>
      <c r="Z185" s="43"/>
      <c r="AA185" s="44">
        <f t="shared" ref="AA185:AA186" si="64">SUM(B185:Z185)</f>
        <v>0</v>
      </c>
      <c r="AB185" s="31"/>
      <c r="AC185" s="2"/>
    </row>
    <row r="186">
      <c r="A186" s="40" t="s">
        <v>49</v>
      </c>
      <c r="B186" s="41"/>
      <c r="C186" s="42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3"/>
      <c r="W186" s="43"/>
      <c r="X186" s="43"/>
      <c r="Y186" s="43"/>
      <c r="Z186" s="43"/>
      <c r="AA186" s="44">
        <f t="shared" si="64"/>
        <v>0</v>
      </c>
      <c r="AB186" s="31"/>
      <c r="AC186" s="2"/>
    </row>
    <row r="187">
      <c r="A187" s="53" t="s">
        <v>50</v>
      </c>
      <c r="B187" s="54"/>
      <c r="C187" s="54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6"/>
      <c r="W187" s="56"/>
      <c r="X187" s="56"/>
      <c r="Y187" s="56"/>
      <c r="Z187" s="56"/>
      <c r="AA187" s="57" t="str">
        <f>AVERAGE(B187:Z187)</f>
        <v>#DIV/0!</v>
      </c>
      <c r="AB187" s="58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59"/>
      <c r="AB188" s="59"/>
      <c r="AC188" s="2"/>
    </row>
    <row r="189">
      <c r="A189" s="13">
        <v>46132.0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5" t="s">
        <v>37</v>
      </c>
      <c r="AB189" s="16" t="s">
        <v>38</v>
      </c>
      <c r="AC189" s="2"/>
    </row>
    <row r="190">
      <c r="A190" s="17" t="s">
        <v>39</v>
      </c>
      <c r="B190" s="18"/>
      <c r="C190" s="19">
        <v>1.0</v>
      </c>
      <c r="D190" s="19">
        <v>1.0</v>
      </c>
      <c r="E190" s="19">
        <v>1.0</v>
      </c>
      <c r="F190" s="19">
        <v>1.0</v>
      </c>
      <c r="G190" s="19">
        <v>1.0</v>
      </c>
      <c r="H190" s="19">
        <v>1.0</v>
      </c>
      <c r="I190" s="19">
        <v>1.0</v>
      </c>
      <c r="J190" s="19">
        <v>1.0</v>
      </c>
      <c r="K190" s="19">
        <v>1.0</v>
      </c>
      <c r="L190" s="19">
        <v>1.0</v>
      </c>
      <c r="M190" s="19">
        <v>1.0</v>
      </c>
      <c r="N190" s="19">
        <v>1.0</v>
      </c>
      <c r="O190" s="19">
        <v>1.0</v>
      </c>
      <c r="P190" s="19">
        <v>1.0</v>
      </c>
      <c r="Q190" s="19">
        <v>1.0</v>
      </c>
      <c r="R190" s="19">
        <v>1.0</v>
      </c>
      <c r="S190" s="19">
        <v>1.0</v>
      </c>
      <c r="T190" s="19">
        <v>1.0</v>
      </c>
      <c r="U190" s="19">
        <v>0.0</v>
      </c>
      <c r="V190" s="19">
        <v>0.0</v>
      </c>
      <c r="W190" s="19">
        <v>1.0</v>
      </c>
      <c r="X190" s="18"/>
      <c r="Y190" s="18"/>
      <c r="Z190" s="18"/>
      <c r="AA190" s="20">
        <f t="shared" ref="AA190:AA194" si="65">SUM(B190:Z190)</f>
        <v>19</v>
      </c>
      <c r="AB190" s="21">
        <f t="shared" ref="AB190:AB193" si="66">AA190/(COUNT(B190:Z190)*1)</f>
        <v>0.9047619048</v>
      </c>
      <c r="AC190" s="2"/>
    </row>
    <row r="191">
      <c r="A191" s="17" t="s">
        <v>40</v>
      </c>
      <c r="B191" s="18"/>
      <c r="C191" s="19">
        <v>1.0</v>
      </c>
      <c r="D191" s="19">
        <v>1.0</v>
      </c>
      <c r="E191" s="19">
        <v>1.0</v>
      </c>
      <c r="F191" s="19">
        <v>1.0</v>
      </c>
      <c r="G191" s="19">
        <v>1.0</v>
      </c>
      <c r="H191" s="19">
        <v>1.0</v>
      </c>
      <c r="I191" s="19">
        <v>1.0</v>
      </c>
      <c r="J191" s="19">
        <v>1.0</v>
      </c>
      <c r="K191" s="19">
        <v>1.0</v>
      </c>
      <c r="L191" s="19">
        <v>1.0</v>
      </c>
      <c r="M191" s="19">
        <v>1.0</v>
      </c>
      <c r="N191" s="19">
        <v>1.0</v>
      </c>
      <c r="O191" s="19">
        <v>1.0</v>
      </c>
      <c r="P191" s="19">
        <v>1.0</v>
      </c>
      <c r="Q191" s="19">
        <v>1.0</v>
      </c>
      <c r="R191" s="19">
        <v>1.0</v>
      </c>
      <c r="S191" s="19">
        <v>1.0</v>
      </c>
      <c r="T191" s="19">
        <v>1.0</v>
      </c>
      <c r="U191" s="19">
        <v>1.0</v>
      </c>
      <c r="V191" s="19">
        <v>1.0</v>
      </c>
      <c r="W191" s="19">
        <v>1.0</v>
      </c>
      <c r="X191" s="18"/>
      <c r="Y191" s="18"/>
      <c r="Z191" s="18"/>
      <c r="AA191" s="20">
        <f t="shared" si="65"/>
        <v>21</v>
      </c>
      <c r="AB191" s="21">
        <f t="shared" si="66"/>
        <v>1</v>
      </c>
      <c r="AC191" s="2"/>
    </row>
    <row r="192">
      <c r="A192" s="17" t="s">
        <v>41</v>
      </c>
      <c r="B192" s="18"/>
      <c r="C192" s="19">
        <v>1.0</v>
      </c>
      <c r="D192" s="19">
        <v>1.0</v>
      </c>
      <c r="E192" s="19">
        <v>1.0</v>
      </c>
      <c r="F192" s="19">
        <v>1.0</v>
      </c>
      <c r="G192" s="19">
        <v>1.0</v>
      </c>
      <c r="H192" s="19">
        <v>1.0</v>
      </c>
      <c r="I192" s="19">
        <v>1.0</v>
      </c>
      <c r="J192" s="19">
        <v>1.0</v>
      </c>
      <c r="K192" s="19">
        <v>1.0</v>
      </c>
      <c r="L192" s="19">
        <v>1.0</v>
      </c>
      <c r="M192" s="19">
        <v>1.0</v>
      </c>
      <c r="N192" s="19">
        <v>1.0</v>
      </c>
      <c r="O192" s="19">
        <v>0.0</v>
      </c>
      <c r="P192" s="19">
        <v>1.0</v>
      </c>
      <c r="Q192" s="19">
        <v>1.0</v>
      </c>
      <c r="R192" s="19">
        <v>1.0</v>
      </c>
      <c r="S192" s="19">
        <v>1.0</v>
      </c>
      <c r="T192" s="19">
        <v>1.0</v>
      </c>
      <c r="U192" s="19">
        <v>1.0</v>
      </c>
      <c r="V192" s="19">
        <v>1.0</v>
      </c>
      <c r="W192" s="19">
        <v>1.0</v>
      </c>
      <c r="X192" s="18"/>
      <c r="Y192" s="18"/>
      <c r="Z192" s="18"/>
      <c r="AA192" s="20">
        <f t="shared" si="65"/>
        <v>20</v>
      </c>
      <c r="AB192" s="21">
        <f t="shared" si="66"/>
        <v>0.9523809524</v>
      </c>
      <c r="AC192" s="2"/>
    </row>
    <row r="193">
      <c r="A193" s="17" t="s">
        <v>42</v>
      </c>
      <c r="B193" s="18"/>
      <c r="C193" s="19">
        <v>1.0</v>
      </c>
      <c r="D193" s="19">
        <v>1.0</v>
      </c>
      <c r="E193" s="19">
        <v>1.0</v>
      </c>
      <c r="F193" s="19">
        <v>1.0</v>
      </c>
      <c r="G193" s="19">
        <v>1.0</v>
      </c>
      <c r="H193" s="19">
        <v>0.0</v>
      </c>
      <c r="I193" s="19">
        <v>0.0</v>
      </c>
      <c r="J193" s="19">
        <v>0.0</v>
      </c>
      <c r="K193" s="19">
        <v>1.0</v>
      </c>
      <c r="L193" s="19">
        <v>1.0</v>
      </c>
      <c r="M193" s="19">
        <v>1.0</v>
      </c>
      <c r="N193" s="19">
        <v>1.0</v>
      </c>
      <c r="O193" s="19">
        <v>0.0</v>
      </c>
      <c r="P193" s="19">
        <v>1.0</v>
      </c>
      <c r="Q193" s="19">
        <v>1.0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8"/>
      <c r="Y193" s="18"/>
      <c r="Z193" s="18"/>
      <c r="AA193" s="20">
        <f t="shared" si="65"/>
        <v>11</v>
      </c>
      <c r="AB193" s="21">
        <f t="shared" si="66"/>
        <v>0.5238095238</v>
      </c>
      <c r="AC193" s="2"/>
    </row>
    <row r="194">
      <c r="A194" s="17" t="s">
        <v>43</v>
      </c>
      <c r="B194" s="22">
        <f t="shared" ref="B194:Z194" si="67">SUM(B190:B193)</f>
        <v>0</v>
      </c>
      <c r="C194" s="22">
        <f t="shared" si="67"/>
        <v>4</v>
      </c>
      <c r="D194" s="22">
        <f t="shared" si="67"/>
        <v>4</v>
      </c>
      <c r="E194" s="22">
        <f t="shared" si="67"/>
        <v>4</v>
      </c>
      <c r="F194" s="22">
        <f t="shared" si="67"/>
        <v>4</v>
      </c>
      <c r="G194" s="22">
        <f t="shared" si="67"/>
        <v>4</v>
      </c>
      <c r="H194" s="22">
        <f t="shared" si="67"/>
        <v>3</v>
      </c>
      <c r="I194" s="22">
        <f t="shared" si="67"/>
        <v>3</v>
      </c>
      <c r="J194" s="22">
        <f t="shared" si="67"/>
        <v>3</v>
      </c>
      <c r="K194" s="22">
        <f t="shared" si="67"/>
        <v>4</v>
      </c>
      <c r="L194" s="22">
        <f t="shared" si="67"/>
        <v>4</v>
      </c>
      <c r="M194" s="22">
        <f t="shared" si="67"/>
        <v>4</v>
      </c>
      <c r="N194" s="22">
        <f t="shared" si="67"/>
        <v>4</v>
      </c>
      <c r="O194" s="22">
        <f t="shared" si="67"/>
        <v>2</v>
      </c>
      <c r="P194" s="22">
        <f t="shared" si="67"/>
        <v>4</v>
      </c>
      <c r="Q194" s="22">
        <f t="shared" si="67"/>
        <v>4</v>
      </c>
      <c r="R194" s="22">
        <f t="shared" si="67"/>
        <v>3</v>
      </c>
      <c r="S194" s="22">
        <f t="shared" si="67"/>
        <v>3</v>
      </c>
      <c r="T194" s="22">
        <f t="shared" si="67"/>
        <v>3</v>
      </c>
      <c r="U194" s="22">
        <f t="shared" si="67"/>
        <v>2</v>
      </c>
      <c r="V194" s="22">
        <f t="shared" si="67"/>
        <v>2</v>
      </c>
      <c r="W194" s="22">
        <f t="shared" si="67"/>
        <v>3</v>
      </c>
      <c r="X194" s="22">
        <f t="shared" si="67"/>
        <v>0</v>
      </c>
      <c r="Y194" s="22">
        <f t="shared" si="67"/>
        <v>0</v>
      </c>
      <c r="Z194" s="22">
        <f t="shared" si="67"/>
        <v>0</v>
      </c>
      <c r="AA194" s="20">
        <f t="shared" si="65"/>
        <v>71</v>
      </c>
      <c r="AB194" s="23"/>
      <c r="AC194" s="2"/>
    </row>
    <row r="195">
      <c r="A195" s="17" t="s">
        <v>38</v>
      </c>
      <c r="B195" s="24" t="str">
        <f t="shared" ref="B195:Z195" si="68">B194/(COUNT(B190:B193)*1)</f>
        <v>#DIV/0!</v>
      </c>
      <c r="C195" s="24">
        <f t="shared" si="68"/>
        <v>1</v>
      </c>
      <c r="D195" s="24">
        <f t="shared" si="68"/>
        <v>1</v>
      </c>
      <c r="E195" s="24">
        <f t="shared" si="68"/>
        <v>1</v>
      </c>
      <c r="F195" s="24">
        <f t="shared" si="68"/>
        <v>1</v>
      </c>
      <c r="G195" s="24">
        <f t="shared" si="68"/>
        <v>1</v>
      </c>
      <c r="H195" s="24">
        <f t="shared" si="68"/>
        <v>0.75</v>
      </c>
      <c r="I195" s="24">
        <f t="shared" si="68"/>
        <v>0.75</v>
      </c>
      <c r="J195" s="24">
        <f t="shared" si="68"/>
        <v>0.75</v>
      </c>
      <c r="K195" s="24">
        <f t="shared" si="68"/>
        <v>1</v>
      </c>
      <c r="L195" s="24">
        <f t="shared" si="68"/>
        <v>1</v>
      </c>
      <c r="M195" s="24">
        <f t="shared" si="68"/>
        <v>1</v>
      </c>
      <c r="N195" s="24">
        <f t="shared" si="68"/>
        <v>1</v>
      </c>
      <c r="O195" s="24">
        <f t="shared" si="68"/>
        <v>0.5</v>
      </c>
      <c r="P195" s="24">
        <f t="shared" si="68"/>
        <v>1</v>
      </c>
      <c r="Q195" s="24">
        <f t="shared" si="68"/>
        <v>1</v>
      </c>
      <c r="R195" s="24">
        <f t="shared" si="68"/>
        <v>0.75</v>
      </c>
      <c r="S195" s="24">
        <f t="shared" si="68"/>
        <v>0.75</v>
      </c>
      <c r="T195" s="24">
        <f t="shared" si="68"/>
        <v>0.75</v>
      </c>
      <c r="U195" s="24">
        <f t="shared" si="68"/>
        <v>0.5</v>
      </c>
      <c r="V195" s="24">
        <f t="shared" si="68"/>
        <v>0.5</v>
      </c>
      <c r="W195" s="24">
        <f t="shared" si="68"/>
        <v>0.75</v>
      </c>
      <c r="X195" s="24" t="str">
        <f t="shared" si="68"/>
        <v>#DIV/0!</v>
      </c>
      <c r="Y195" s="24" t="str">
        <f t="shared" si="68"/>
        <v>#DIV/0!</v>
      </c>
      <c r="Z195" s="24" t="str">
        <f t="shared" si="68"/>
        <v>#DIV/0!</v>
      </c>
      <c r="AA195" s="25"/>
      <c r="AB195" s="26">
        <f>SUM(AB190:AB193)/4</f>
        <v>0.8452380952</v>
      </c>
      <c r="AC195" s="2"/>
    </row>
    <row r="196">
      <c r="A196" s="27" t="s">
        <v>44</v>
      </c>
      <c r="B196" s="28"/>
      <c r="C196" s="29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30">
        <f t="shared" ref="AA196:AA198" si="69">SUM(B196:Z196)</f>
        <v>0</v>
      </c>
      <c r="AB196" s="31"/>
      <c r="AC196" s="2"/>
    </row>
    <row r="197">
      <c r="A197" s="32" t="s">
        <v>45</v>
      </c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28"/>
      <c r="W197" s="28"/>
      <c r="X197" s="28"/>
      <c r="Y197" s="28"/>
      <c r="Z197" s="28"/>
      <c r="AA197" s="30">
        <f t="shared" si="69"/>
        <v>0</v>
      </c>
      <c r="AB197" s="31"/>
      <c r="AC197" s="9"/>
    </row>
    <row r="198">
      <c r="A198" s="34" t="s">
        <v>46</v>
      </c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28"/>
      <c r="W198" s="28"/>
      <c r="X198" s="28"/>
      <c r="Y198" s="28"/>
      <c r="Z198" s="28"/>
      <c r="AA198" s="30">
        <f t="shared" si="69"/>
        <v>0</v>
      </c>
      <c r="AB198" s="31"/>
      <c r="AC198" s="9"/>
    </row>
    <row r="199">
      <c r="A199" s="35" t="s">
        <v>47</v>
      </c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7"/>
      <c r="AA199" s="38"/>
      <c r="AB199" s="39"/>
      <c r="AC199" s="2"/>
    </row>
    <row r="200">
      <c r="A200" s="40" t="s">
        <v>48</v>
      </c>
      <c r="B200" s="41"/>
      <c r="C200" s="42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3"/>
      <c r="W200" s="43"/>
      <c r="X200" s="43"/>
      <c r="Y200" s="43"/>
      <c r="Z200" s="43"/>
      <c r="AA200" s="44">
        <f t="shared" ref="AA200:AA201" si="70">SUM(B200:Z200)</f>
        <v>0</v>
      </c>
      <c r="AB200" s="31"/>
      <c r="AC200" s="2"/>
    </row>
    <row r="201">
      <c r="A201" s="40" t="s">
        <v>49</v>
      </c>
      <c r="B201" s="41"/>
      <c r="C201" s="42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3"/>
      <c r="W201" s="43"/>
      <c r="X201" s="43"/>
      <c r="Y201" s="43"/>
      <c r="Z201" s="43"/>
      <c r="AA201" s="44">
        <f t="shared" si="70"/>
        <v>0</v>
      </c>
      <c r="AB201" s="31"/>
      <c r="AC201" s="2"/>
    </row>
    <row r="202">
      <c r="A202" s="40" t="s">
        <v>50</v>
      </c>
      <c r="B202" s="42"/>
      <c r="C202" s="42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3"/>
      <c r="W202" s="43"/>
      <c r="X202" s="43"/>
      <c r="Y202" s="43"/>
      <c r="Z202" s="43"/>
      <c r="AA202" s="44" t="str">
        <f>AVERAGE(B202:Z202)</f>
        <v>#DIV/0!</v>
      </c>
      <c r="AB202" s="31"/>
      <c r="AC202" s="2"/>
    </row>
    <row r="203">
      <c r="A203" s="45" t="s">
        <v>51</v>
      </c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7"/>
      <c r="AA203" s="46"/>
      <c r="AB203" s="39"/>
      <c r="AC203" s="2"/>
    </row>
    <row r="204">
      <c r="A204" s="47" t="s">
        <v>48</v>
      </c>
      <c r="B204" s="48"/>
      <c r="C204" s="49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50"/>
      <c r="W204" s="50"/>
      <c r="X204" s="50"/>
      <c r="Y204" s="50"/>
      <c r="Z204" s="50"/>
      <c r="AA204" s="51">
        <f t="shared" ref="AA204:AA205" si="71">SUM(B204:Z204)</f>
        <v>0</v>
      </c>
      <c r="AB204" s="31"/>
      <c r="AC204" s="2"/>
    </row>
    <row r="205">
      <c r="A205" s="47" t="s">
        <v>49</v>
      </c>
      <c r="B205" s="48"/>
      <c r="C205" s="49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50"/>
      <c r="W205" s="50"/>
      <c r="X205" s="50"/>
      <c r="Y205" s="50"/>
      <c r="Z205" s="50"/>
      <c r="AA205" s="51">
        <f t="shared" si="71"/>
        <v>0</v>
      </c>
      <c r="AB205" s="31"/>
      <c r="AC205" s="2"/>
    </row>
    <row r="206">
      <c r="A206" s="47" t="s">
        <v>50</v>
      </c>
      <c r="B206" s="49"/>
      <c r="C206" s="49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50"/>
      <c r="W206" s="50"/>
      <c r="X206" s="50"/>
      <c r="Y206" s="50"/>
      <c r="Z206" s="50"/>
      <c r="AA206" s="51" t="str">
        <f>AVERAGE(B206:Z206)</f>
        <v>#DIV/0!</v>
      </c>
      <c r="AB206" s="31"/>
      <c r="AC206" s="2"/>
    </row>
    <row r="207">
      <c r="A207" s="52" t="s">
        <v>53</v>
      </c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7"/>
      <c r="AA207" s="38"/>
      <c r="AB207" s="39"/>
      <c r="AC207" s="2"/>
    </row>
    <row r="208">
      <c r="A208" s="40" t="s">
        <v>48</v>
      </c>
      <c r="B208" s="41"/>
      <c r="C208" s="42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3"/>
      <c r="W208" s="43"/>
      <c r="X208" s="43"/>
      <c r="Y208" s="43"/>
      <c r="Z208" s="43"/>
      <c r="AA208" s="44">
        <f t="shared" ref="AA208:AA209" si="72">SUM(B208:Z208)</f>
        <v>0</v>
      </c>
      <c r="AB208" s="31"/>
      <c r="AC208" s="2"/>
    </row>
    <row r="209">
      <c r="A209" s="40" t="s">
        <v>49</v>
      </c>
      <c r="B209" s="41"/>
      <c r="C209" s="42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3"/>
      <c r="W209" s="43"/>
      <c r="X209" s="43"/>
      <c r="Y209" s="43"/>
      <c r="Z209" s="43"/>
      <c r="AA209" s="44">
        <f t="shared" si="72"/>
        <v>0</v>
      </c>
      <c r="AB209" s="31"/>
      <c r="AC209" s="2"/>
    </row>
    <row r="210">
      <c r="A210" s="53" t="s">
        <v>50</v>
      </c>
      <c r="B210" s="54"/>
      <c r="C210" s="54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6"/>
      <c r="W210" s="56"/>
      <c r="X210" s="56"/>
      <c r="Y210" s="56"/>
      <c r="Z210" s="56"/>
      <c r="AA210" s="57" t="str">
        <f>AVERAGE(B210:Z210)</f>
        <v>#DIV/0!</v>
      </c>
      <c r="AB210" s="58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59"/>
      <c r="AB211" s="59"/>
      <c r="AC211" s="2"/>
    </row>
    <row r="212">
      <c r="A212" s="13">
        <v>46133.0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70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5" t="s">
        <v>37</v>
      </c>
      <c r="AB212" s="16" t="s">
        <v>38</v>
      </c>
      <c r="AC212" s="2"/>
    </row>
    <row r="213">
      <c r="A213" s="17" t="s">
        <v>39</v>
      </c>
      <c r="B213" s="19">
        <v>1.0</v>
      </c>
      <c r="C213" s="19">
        <v>1.0</v>
      </c>
      <c r="D213" s="19">
        <v>1.0</v>
      </c>
      <c r="E213" s="19">
        <v>1.0</v>
      </c>
      <c r="F213" s="19">
        <v>0.0</v>
      </c>
      <c r="G213" s="19">
        <v>0.0</v>
      </c>
      <c r="H213" s="19">
        <v>0.0</v>
      </c>
      <c r="I213" s="19">
        <v>0.0</v>
      </c>
      <c r="J213" s="19">
        <v>1.0</v>
      </c>
      <c r="K213" s="19">
        <v>0.0</v>
      </c>
      <c r="L213" s="19">
        <v>0.0</v>
      </c>
      <c r="M213" s="19">
        <v>0.0</v>
      </c>
      <c r="N213" s="19">
        <v>0.0</v>
      </c>
      <c r="O213" s="19">
        <v>1.0</v>
      </c>
      <c r="P213" s="19">
        <v>1.0</v>
      </c>
      <c r="Q213" s="19">
        <v>0.0</v>
      </c>
      <c r="R213" s="19">
        <v>0.0</v>
      </c>
      <c r="S213" s="19">
        <v>0.0</v>
      </c>
      <c r="T213" s="19">
        <v>0.0</v>
      </c>
      <c r="U213" s="19">
        <v>0.0</v>
      </c>
      <c r="V213" s="19">
        <v>0.0</v>
      </c>
      <c r="W213" s="19">
        <v>1.0</v>
      </c>
      <c r="X213" s="18"/>
      <c r="Y213" s="18"/>
      <c r="Z213" s="18"/>
      <c r="AA213" s="20">
        <f t="shared" ref="AA213:AA217" si="73">SUM(B213:Z213)</f>
        <v>8</v>
      </c>
      <c r="AB213" s="21">
        <f t="shared" ref="AB213:AB216" si="74">AA213/(COUNT(B213:Z213)*1)</f>
        <v>0.3636363636</v>
      </c>
      <c r="AC213" s="2"/>
    </row>
    <row r="214">
      <c r="A214" s="17" t="s">
        <v>40</v>
      </c>
      <c r="B214" s="19">
        <v>1.0</v>
      </c>
      <c r="C214" s="19">
        <v>1.0</v>
      </c>
      <c r="D214" s="19">
        <v>1.0</v>
      </c>
      <c r="E214" s="19">
        <v>0.0</v>
      </c>
      <c r="F214" s="19">
        <v>1.0</v>
      </c>
      <c r="G214" s="19">
        <v>1.0</v>
      </c>
      <c r="H214" s="19">
        <v>0.0</v>
      </c>
      <c r="I214" s="19">
        <v>0.0</v>
      </c>
      <c r="J214" s="19">
        <v>1.0</v>
      </c>
      <c r="K214" s="19">
        <v>0.0</v>
      </c>
      <c r="L214" s="19">
        <v>0.0</v>
      </c>
      <c r="M214" s="19">
        <v>0.0</v>
      </c>
      <c r="N214" s="19">
        <v>1.0</v>
      </c>
      <c r="O214" s="19">
        <v>1.0</v>
      </c>
      <c r="P214" s="19">
        <v>0.0</v>
      </c>
      <c r="Q214" s="19">
        <v>1.0</v>
      </c>
      <c r="R214" s="19">
        <v>1.0</v>
      </c>
      <c r="S214" s="19">
        <v>1.0</v>
      </c>
      <c r="T214" s="19">
        <v>1.0</v>
      </c>
      <c r="U214" s="19">
        <v>1.0</v>
      </c>
      <c r="V214" s="19">
        <v>1.0</v>
      </c>
      <c r="W214" s="19">
        <v>1.0</v>
      </c>
      <c r="X214" s="18"/>
      <c r="Y214" s="18"/>
      <c r="Z214" s="18"/>
      <c r="AA214" s="20">
        <f t="shared" si="73"/>
        <v>15</v>
      </c>
      <c r="AB214" s="21">
        <f t="shared" si="74"/>
        <v>0.6818181818</v>
      </c>
      <c r="AC214" s="2"/>
    </row>
    <row r="215">
      <c r="A215" s="17" t="s">
        <v>41</v>
      </c>
      <c r="B215" s="19">
        <v>1.0</v>
      </c>
      <c r="C215" s="19">
        <v>1.0</v>
      </c>
      <c r="D215" s="19">
        <v>1.0</v>
      </c>
      <c r="E215" s="19">
        <v>1.0</v>
      </c>
      <c r="F215" s="19">
        <v>1.0</v>
      </c>
      <c r="G215" s="19">
        <v>1.0</v>
      </c>
      <c r="H215" s="19">
        <v>0.0</v>
      </c>
      <c r="I215" s="19">
        <v>1.0</v>
      </c>
      <c r="J215" s="19">
        <v>0.0</v>
      </c>
      <c r="K215" s="19">
        <v>0.0</v>
      </c>
      <c r="L215" s="19">
        <v>0.0</v>
      </c>
      <c r="M215" s="19">
        <v>0.0</v>
      </c>
      <c r="N215" s="19">
        <v>0.0</v>
      </c>
      <c r="O215" s="19">
        <v>1.0</v>
      </c>
      <c r="P215" s="19">
        <v>0.0</v>
      </c>
      <c r="Q215" s="19">
        <v>0.0</v>
      </c>
      <c r="R215" s="19">
        <v>1.0</v>
      </c>
      <c r="S215" s="19">
        <v>0.0</v>
      </c>
      <c r="T215" s="19">
        <v>1.0</v>
      </c>
      <c r="U215" s="19">
        <v>1.0</v>
      </c>
      <c r="V215" s="19">
        <v>1.0</v>
      </c>
      <c r="W215" s="19">
        <v>1.0</v>
      </c>
      <c r="X215" s="18"/>
      <c r="Y215" s="18"/>
      <c r="Z215" s="18"/>
      <c r="AA215" s="20">
        <f t="shared" si="73"/>
        <v>13</v>
      </c>
      <c r="AB215" s="21">
        <f t="shared" si="74"/>
        <v>0.5909090909</v>
      </c>
      <c r="AC215" s="2"/>
    </row>
    <row r="216">
      <c r="A216" s="17" t="s">
        <v>42</v>
      </c>
      <c r="B216" s="19">
        <v>1.0</v>
      </c>
      <c r="C216" s="19">
        <v>1.0</v>
      </c>
      <c r="D216" s="19">
        <v>1.0</v>
      </c>
      <c r="E216" s="19">
        <v>0.0</v>
      </c>
      <c r="F216" s="19">
        <v>1.0</v>
      </c>
      <c r="G216" s="19">
        <v>0.0</v>
      </c>
      <c r="H216" s="19">
        <v>0.0</v>
      </c>
      <c r="I216" s="19">
        <v>1.0</v>
      </c>
      <c r="J216" s="19">
        <v>1.0</v>
      </c>
      <c r="K216" s="19">
        <v>0.0</v>
      </c>
      <c r="L216" s="19">
        <v>0.0</v>
      </c>
      <c r="M216" s="19">
        <v>0.0</v>
      </c>
      <c r="N216" s="19">
        <v>0.0</v>
      </c>
      <c r="O216" s="19">
        <v>1.0</v>
      </c>
      <c r="P216" s="19">
        <v>0.0</v>
      </c>
      <c r="Q216" s="19">
        <v>1.0</v>
      </c>
      <c r="R216" s="19">
        <v>1.0</v>
      </c>
      <c r="S216" s="19">
        <v>0.0</v>
      </c>
      <c r="T216" s="19">
        <v>0.0</v>
      </c>
      <c r="U216" s="19">
        <v>0.0</v>
      </c>
      <c r="V216" s="19">
        <v>0.0</v>
      </c>
      <c r="W216" s="19">
        <v>1.0</v>
      </c>
      <c r="X216" s="18"/>
      <c r="Y216" s="18"/>
      <c r="Z216" s="18"/>
      <c r="AA216" s="20">
        <f t="shared" si="73"/>
        <v>10</v>
      </c>
      <c r="AB216" s="21">
        <f t="shared" si="74"/>
        <v>0.4545454545</v>
      </c>
      <c r="AC216" s="2"/>
    </row>
    <row r="217">
      <c r="A217" s="17" t="s">
        <v>43</v>
      </c>
      <c r="B217" s="22">
        <f t="shared" ref="B217:Z217" si="75">SUM(B213:B216)</f>
        <v>4</v>
      </c>
      <c r="C217" s="22">
        <f t="shared" si="75"/>
        <v>4</v>
      </c>
      <c r="D217" s="22">
        <f t="shared" si="75"/>
        <v>4</v>
      </c>
      <c r="E217" s="22">
        <f t="shared" si="75"/>
        <v>2</v>
      </c>
      <c r="F217" s="22">
        <f t="shared" si="75"/>
        <v>3</v>
      </c>
      <c r="G217" s="22">
        <f t="shared" si="75"/>
        <v>2</v>
      </c>
      <c r="H217" s="22">
        <f t="shared" si="75"/>
        <v>0</v>
      </c>
      <c r="I217" s="22">
        <f t="shared" si="75"/>
        <v>2</v>
      </c>
      <c r="J217" s="22">
        <f t="shared" si="75"/>
        <v>3</v>
      </c>
      <c r="K217" s="22">
        <f t="shared" si="75"/>
        <v>0</v>
      </c>
      <c r="L217" s="22">
        <f t="shared" si="75"/>
        <v>0</v>
      </c>
      <c r="M217" s="22">
        <f t="shared" si="75"/>
        <v>0</v>
      </c>
      <c r="N217" s="22">
        <f t="shared" si="75"/>
        <v>1</v>
      </c>
      <c r="O217" s="22">
        <f t="shared" si="75"/>
        <v>4</v>
      </c>
      <c r="P217" s="22">
        <f t="shared" si="75"/>
        <v>1</v>
      </c>
      <c r="Q217" s="22">
        <f t="shared" si="75"/>
        <v>2</v>
      </c>
      <c r="R217" s="22">
        <f t="shared" si="75"/>
        <v>3</v>
      </c>
      <c r="S217" s="22">
        <f t="shared" si="75"/>
        <v>1</v>
      </c>
      <c r="T217" s="22">
        <f t="shared" si="75"/>
        <v>2</v>
      </c>
      <c r="U217" s="22">
        <f t="shared" si="75"/>
        <v>2</v>
      </c>
      <c r="V217" s="22">
        <f t="shared" si="75"/>
        <v>2</v>
      </c>
      <c r="W217" s="22">
        <f t="shared" si="75"/>
        <v>4</v>
      </c>
      <c r="X217" s="22">
        <f t="shared" si="75"/>
        <v>0</v>
      </c>
      <c r="Y217" s="22">
        <f t="shared" si="75"/>
        <v>0</v>
      </c>
      <c r="Z217" s="22">
        <f t="shared" si="75"/>
        <v>0</v>
      </c>
      <c r="AA217" s="20">
        <f t="shared" si="73"/>
        <v>46</v>
      </c>
      <c r="AB217" s="23"/>
      <c r="AC217" s="2"/>
    </row>
    <row r="218">
      <c r="A218" s="17" t="s">
        <v>38</v>
      </c>
      <c r="B218" s="24">
        <f t="shared" ref="B218:Z218" si="76">B217/(COUNT(B213:B216)*1)</f>
        <v>1</v>
      </c>
      <c r="C218" s="24">
        <f t="shared" si="76"/>
        <v>1</v>
      </c>
      <c r="D218" s="24">
        <f t="shared" si="76"/>
        <v>1</v>
      </c>
      <c r="E218" s="24">
        <f t="shared" si="76"/>
        <v>0.5</v>
      </c>
      <c r="F218" s="24">
        <f t="shared" si="76"/>
        <v>0.75</v>
      </c>
      <c r="G218" s="24">
        <f t="shared" si="76"/>
        <v>0.5</v>
      </c>
      <c r="H218" s="24">
        <f t="shared" si="76"/>
        <v>0</v>
      </c>
      <c r="I218" s="24">
        <f t="shared" si="76"/>
        <v>0.5</v>
      </c>
      <c r="J218" s="24">
        <f t="shared" si="76"/>
        <v>0.75</v>
      </c>
      <c r="K218" s="24">
        <f t="shared" si="76"/>
        <v>0</v>
      </c>
      <c r="L218" s="24">
        <f t="shared" si="76"/>
        <v>0</v>
      </c>
      <c r="M218" s="24">
        <f t="shared" si="76"/>
        <v>0</v>
      </c>
      <c r="N218" s="24">
        <f t="shared" si="76"/>
        <v>0.25</v>
      </c>
      <c r="O218" s="24">
        <f t="shared" si="76"/>
        <v>1</v>
      </c>
      <c r="P218" s="24">
        <f t="shared" si="76"/>
        <v>0.25</v>
      </c>
      <c r="Q218" s="24">
        <f t="shared" si="76"/>
        <v>0.5</v>
      </c>
      <c r="R218" s="24">
        <f t="shared" si="76"/>
        <v>0.75</v>
      </c>
      <c r="S218" s="24">
        <f t="shared" si="76"/>
        <v>0.25</v>
      </c>
      <c r="T218" s="24">
        <f t="shared" si="76"/>
        <v>0.5</v>
      </c>
      <c r="U218" s="24">
        <f t="shared" si="76"/>
        <v>0.5</v>
      </c>
      <c r="V218" s="24">
        <f t="shared" si="76"/>
        <v>0.5</v>
      </c>
      <c r="W218" s="24">
        <f t="shared" si="76"/>
        <v>1</v>
      </c>
      <c r="X218" s="24" t="str">
        <f t="shared" si="76"/>
        <v>#DIV/0!</v>
      </c>
      <c r="Y218" s="24" t="str">
        <f t="shared" si="76"/>
        <v>#DIV/0!</v>
      </c>
      <c r="Z218" s="24" t="str">
        <f t="shared" si="76"/>
        <v>#DIV/0!</v>
      </c>
      <c r="AA218" s="25"/>
      <c r="AB218" s="26">
        <f>SUM(AB213:AB216)/4</f>
        <v>0.5227272727</v>
      </c>
      <c r="AC218" s="2"/>
    </row>
    <row r="219">
      <c r="A219" s="27" t="s">
        <v>44</v>
      </c>
      <c r="B219" s="60"/>
      <c r="C219" s="61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30">
        <f t="shared" ref="AA219:AA221" si="77">SUM(B219:Z219)</f>
        <v>0</v>
      </c>
      <c r="AB219" s="31"/>
      <c r="AC219" s="2"/>
    </row>
    <row r="220">
      <c r="A220" s="32" t="s">
        <v>45</v>
      </c>
      <c r="B220" s="62"/>
      <c r="C220" s="62"/>
      <c r="D220" s="62"/>
      <c r="E220" s="128">
        <v>9.0</v>
      </c>
      <c r="F220" s="128">
        <v>4.0</v>
      </c>
      <c r="G220" s="62"/>
      <c r="H220" s="62"/>
      <c r="I220" s="128">
        <v>3.0</v>
      </c>
      <c r="J220" s="62"/>
      <c r="K220" s="128">
        <v>4.0</v>
      </c>
      <c r="L220" s="62"/>
      <c r="M220" s="128">
        <v>5.0</v>
      </c>
      <c r="N220" s="62"/>
      <c r="O220" s="62"/>
      <c r="P220" s="62"/>
      <c r="Q220" s="62"/>
      <c r="R220" s="62"/>
      <c r="S220" s="128">
        <v>9.0</v>
      </c>
      <c r="T220" s="128">
        <v>5.0</v>
      </c>
      <c r="U220" s="62"/>
      <c r="V220" s="60"/>
      <c r="W220" s="60"/>
      <c r="X220" s="60"/>
      <c r="Y220" s="60"/>
      <c r="Z220" s="60"/>
      <c r="AA220" s="30">
        <f t="shared" si="77"/>
        <v>39</v>
      </c>
      <c r="AB220" s="31"/>
      <c r="AC220" s="9"/>
    </row>
    <row r="221">
      <c r="A221" s="34" t="s">
        <v>46</v>
      </c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0"/>
      <c r="W221" s="60"/>
      <c r="X221" s="60"/>
      <c r="Y221" s="60"/>
      <c r="Z221" s="60"/>
      <c r="AA221" s="30">
        <f t="shared" si="77"/>
        <v>0</v>
      </c>
      <c r="AB221" s="31"/>
      <c r="AC221" s="9"/>
    </row>
    <row r="222">
      <c r="A222" s="35" t="s">
        <v>47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7"/>
      <c r="AA222" s="38"/>
      <c r="AB222" s="39"/>
      <c r="AC222" s="2"/>
    </row>
    <row r="223">
      <c r="A223" s="40" t="s">
        <v>48</v>
      </c>
      <c r="B223" s="63"/>
      <c r="C223" s="64"/>
      <c r="D223" s="63"/>
      <c r="E223" s="63"/>
      <c r="F223" s="65">
        <v>1.0</v>
      </c>
      <c r="G223" s="65">
        <v>1.0</v>
      </c>
      <c r="H223" s="65">
        <v>1.0</v>
      </c>
      <c r="I223" s="65">
        <v>1.0</v>
      </c>
      <c r="J223" s="63"/>
      <c r="K223" s="63"/>
      <c r="L223" s="65">
        <v>1.0</v>
      </c>
      <c r="M223" s="65">
        <v>1.0</v>
      </c>
      <c r="N223" s="65">
        <v>1.0</v>
      </c>
      <c r="O223" s="63"/>
      <c r="P223" s="63"/>
      <c r="Q223" s="65">
        <v>1.0</v>
      </c>
      <c r="R223" s="65">
        <v>1.0</v>
      </c>
      <c r="S223" s="65">
        <v>1.0</v>
      </c>
      <c r="T223" s="65">
        <v>1.0</v>
      </c>
      <c r="U223" s="65">
        <v>1.0</v>
      </c>
      <c r="V223" s="69">
        <v>1.0</v>
      </c>
      <c r="W223" s="66"/>
      <c r="X223" s="66"/>
      <c r="Y223" s="66"/>
      <c r="Z223" s="66"/>
      <c r="AA223" s="44">
        <f t="shared" ref="AA223:AA224" si="78">SUM(B223:Z223)</f>
        <v>13</v>
      </c>
      <c r="AB223" s="31"/>
      <c r="AC223" s="2"/>
    </row>
    <row r="224">
      <c r="A224" s="40" t="s">
        <v>49</v>
      </c>
      <c r="B224" s="63"/>
      <c r="C224" s="64"/>
      <c r="D224" s="63"/>
      <c r="E224" s="63"/>
      <c r="F224" s="65">
        <v>20.0</v>
      </c>
      <c r="G224" s="65">
        <v>20.0</v>
      </c>
      <c r="H224" s="65">
        <v>20.0</v>
      </c>
      <c r="I224" s="65">
        <v>20.0</v>
      </c>
      <c r="J224" s="63"/>
      <c r="K224" s="63"/>
      <c r="L224" s="65">
        <v>20.0</v>
      </c>
      <c r="M224" s="65">
        <v>15.0</v>
      </c>
      <c r="N224" s="65">
        <v>10.0</v>
      </c>
      <c r="O224" s="63"/>
      <c r="P224" s="63"/>
      <c r="Q224" s="65">
        <v>20.0</v>
      </c>
      <c r="R224" s="65">
        <v>20.0</v>
      </c>
      <c r="S224" s="65">
        <v>20.0</v>
      </c>
      <c r="T224" s="65">
        <v>10.0</v>
      </c>
      <c r="U224" s="65">
        <v>20.0</v>
      </c>
      <c r="V224" s="69">
        <v>20.0</v>
      </c>
      <c r="W224" s="66"/>
      <c r="X224" s="66"/>
      <c r="Y224" s="66"/>
      <c r="Z224" s="66"/>
      <c r="AA224" s="44">
        <f t="shared" si="78"/>
        <v>235</v>
      </c>
      <c r="AB224" s="31"/>
      <c r="AC224" s="2"/>
    </row>
    <row r="225">
      <c r="A225" s="40" t="s">
        <v>50</v>
      </c>
      <c r="B225" s="64"/>
      <c r="C225" s="64"/>
      <c r="D225" s="63"/>
      <c r="E225" s="63"/>
      <c r="F225" s="65">
        <v>2.0</v>
      </c>
      <c r="G225" s="65">
        <v>0.0</v>
      </c>
      <c r="H225" s="65">
        <v>2.0</v>
      </c>
      <c r="I225" s="65">
        <v>2.0</v>
      </c>
      <c r="J225" s="63"/>
      <c r="K225" s="63"/>
      <c r="L225" s="65">
        <v>2.0</v>
      </c>
      <c r="M225" s="65">
        <v>2.0</v>
      </c>
      <c r="N225" s="65">
        <v>2.0</v>
      </c>
      <c r="O225" s="63"/>
      <c r="P225" s="63"/>
      <c r="Q225" s="65">
        <v>1.0</v>
      </c>
      <c r="R225" s="65">
        <v>1.0</v>
      </c>
      <c r="S225" s="65">
        <v>2.0</v>
      </c>
      <c r="T225" s="65">
        <v>2.0</v>
      </c>
      <c r="U225" s="65">
        <v>2.0</v>
      </c>
      <c r="V225" s="69">
        <v>2.0</v>
      </c>
      <c r="W225" s="66"/>
      <c r="X225" s="66"/>
      <c r="Y225" s="66"/>
      <c r="Z225" s="66"/>
      <c r="AA225" s="44">
        <f>AVERAGE(B225:Z225)</f>
        <v>1.692307692</v>
      </c>
      <c r="AB225" s="31"/>
      <c r="AC225" s="2"/>
    </row>
    <row r="226">
      <c r="A226" s="45" t="s">
        <v>51</v>
      </c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7"/>
      <c r="AA226" s="46"/>
      <c r="AB226" s="39"/>
      <c r="AC226" s="2"/>
    </row>
    <row r="227">
      <c r="A227" s="47" t="s">
        <v>48</v>
      </c>
      <c r="B227" s="48"/>
      <c r="C227" s="49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50"/>
      <c r="W227" s="50"/>
      <c r="X227" s="50"/>
      <c r="Y227" s="50"/>
      <c r="Z227" s="50"/>
      <c r="AA227" s="51">
        <f t="shared" ref="AA227:AA228" si="79">SUM(B227:Z227)</f>
        <v>0</v>
      </c>
      <c r="AB227" s="31"/>
      <c r="AC227" s="2"/>
    </row>
    <row r="228">
      <c r="A228" s="47" t="s">
        <v>49</v>
      </c>
      <c r="B228" s="48"/>
      <c r="C228" s="49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50"/>
      <c r="W228" s="50"/>
      <c r="X228" s="50"/>
      <c r="Y228" s="50"/>
      <c r="Z228" s="50"/>
      <c r="AA228" s="51">
        <f t="shared" si="79"/>
        <v>0</v>
      </c>
      <c r="AB228" s="31"/>
      <c r="AC228" s="2"/>
    </row>
    <row r="229">
      <c r="A229" s="47" t="s">
        <v>50</v>
      </c>
      <c r="B229" s="49"/>
      <c r="C229" s="49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50"/>
      <c r="W229" s="50"/>
      <c r="X229" s="50"/>
      <c r="Y229" s="50"/>
      <c r="Z229" s="50"/>
      <c r="AA229" s="51" t="str">
        <f>AVERAGE(B29:Z229)</f>
        <v>#DIV/0!</v>
      </c>
      <c r="AB229" s="31"/>
      <c r="AC229" s="2"/>
    </row>
    <row r="230">
      <c r="A230" s="52" t="s">
        <v>53</v>
      </c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7"/>
      <c r="AA230" s="38"/>
      <c r="AB230" s="39"/>
      <c r="AC230" s="2"/>
    </row>
    <row r="231">
      <c r="A231" s="40" t="s">
        <v>48</v>
      </c>
      <c r="B231" s="41"/>
      <c r="C231" s="42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3"/>
      <c r="W231" s="43"/>
      <c r="X231" s="43"/>
      <c r="Y231" s="43"/>
      <c r="Z231" s="43"/>
      <c r="AA231" s="44">
        <f t="shared" ref="AA231:AA232" si="80">SUM(B231:Z231)</f>
        <v>0</v>
      </c>
      <c r="AB231" s="31"/>
      <c r="AC231" s="2"/>
    </row>
    <row r="232">
      <c r="A232" s="40" t="s">
        <v>49</v>
      </c>
      <c r="B232" s="41"/>
      <c r="C232" s="42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3"/>
      <c r="W232" s="43"/>
      <c r="X232" s="43"/>
      <c r="Y232" s="43"/>
      <c r="Z232" s="43"/>
      <c r="AA232" s="44">
        <f t="shared" si="80"/>
        <v>0</v>
      </c>
      <c r="AB232" s="31"/>
      <c r="AC232" s="2"/>
    </row>
    <row r="233">
      <c r="A233" s="53" t="s">
        <v>50</v>
      </c>
      <c r="B233" s="54"/>
      <c r="C233" s="54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6"/>
      <c r="W233" s="56"/>
      <c r="X233" s="56"/>
      <c r="Y233" s="56"/>
      <c r="Z233" s="56"/>
      <c r="AA233" s="57" t="str">
        <f>AVERAGE(B233:Z233)</f>
        <v>#DIV/0!</v>
      </c>
      <c r="AB233" s="58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59"/>
      <c r="AB234" s="59"/>
      <c r="AC234" s="2"/>
    </row>
    <row r="235">
      <c r="A235" s="13">
        <v>46134.0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 t="s">
        <v>37</v>
      </c>
      <c r="AB235" s="16" t="s">
        <v>38</v>
      </c>
      <c r="AC235" s="2"/>
    </row>
    <row r="236">
      <c r="A236" s="17" t="s">
        <v>39</v>
      </c>
      <c r="B236" s="19">
        <v>1.0</v>
      </c>
      <c r="C236" s="19">
        <v>1.0</v>
      </c>
      <c r="D236" s="19">
        <v>0.0</v>
      </c>
      <c r="E236" s="19">
        <v>1.0</v>
      </c>
      <c r="F236" s="19">
        <v>1.0</v>
      </c>
      <c r="G236" s="19">
        <v>1.0</v>
      </c>
      <c r="H236" s="19">
        <v>1.0</v>
      </c>
      <c r="I236" s="19">
        <v>1.0</v>
      </c>
      <c r="J236" s="19">
        <v>1.0</v>
      </c>
      <c r="K236" s="19">
        <v>1.0</v>
      </c>
      <c r="L236" s="19">
        <v>1.0</v>
      </c>
      <c r="M236" s="19">
        <v>0.0</v>
      </c>
      <c r="N236" s="19">
        <v>0.0</v>
      </c>
      <c r="O236" s="19">
        <v>0.0</v>
      </c>
      <c r="P236" s="19">
        <v>1.0</v>
      </c>
      <c r="Q236" s="19">
        <v>1.0</v>
      </c>
      <c r="R236" s="19">
        <v>1.0</v>
      </c>
      <c r="S236" s="19">
        <v>0.0</v>
      </c>
      <c r="T236" s="19">
        <v>0.0</v>
      </c>
      <c r="U236" s="19">
        <v>0.0</v>
      </c>
      <c r="V236" s="19">
        <v>0.0</v>
      </c>
      <c r="W236" s="19">
        <v>0.0</v>
      </c>
      <c r="X236" s="19">
        <v>1.0</v>
      </c>
      <c r="Y236" s="18"/>
      <c r="Z236" s="18"/>
      <c r="AA236" s="20">
        <f t="shared" ref="AA236:AA240" si="81">SUM(B236:Z236)</f>
        <v>14</v>
      </c>
      <c r="AB236" s="21">
        <f t="shared" ref="AB236:AB239" si="82">AA236/(COUNT(B236:Z236)*1)</f>
        <v>0.6086956522</v>
      </c>
      <c r="AC236" s="2"/>
    </row>
    <row r="237">
      <c r="A237" s="17" t="s">
        <v>40</v>
      </c>
      <c r="B237" s="19">
        <v>1.0</v>
      </c>
      <c r="C237" s="19">
        <v>1.0</v>
      </c>
      <c r="D237" s="19">
        <v>0.0</v>
      </c>
      <c r="E237" s="19">
        <v>1.0</v>
      </c>
      <c r="F237" s="19">
        <v>1.0</v>
      </c>
      <c r="G237" s="19">
        <v>1.0</v>
      </c>
      <c r="H237" s="19">
        <v>1.0</v>
      </c>
      <c r="I237" s="19">
        <v>1.0</v>
      </c>
      <c r="J237" s="19">
        <v>1.0</v>
      </c>
      <c r="K237" s="19">
        <v>1.0</v>
      </c>
      <c r="L237" s="19">
        <v>1.0</v>
      </c>
      <c r="M237" s="19">
        <v>0.0</v>
      </c>
      <c r="N237" s="19">
        <v>0.0</v>
      </c>
      <c r="O237" s="19">
        <v>1.0</v>
      </c>
      <c r="P237" s="19">
        <v>0.0</v>
      </c>
      <c r="Q237" s="19">
        <v>1.0</v>
      </c>
      <c r="R237" s="19">
        <v>1.0</v>
      </c>
      <c r="S237" s="19">
        <v>1.0</v>
      </c>
      <c r="T237" s="19">
        <v>1.0</v>
      </c>
      <c r="U237" s="19">
        <v>1.0</v>
      </c>
      <c r="V237" s="19">
        <v>1.0</v>
      </c>
      <c r="W237" s="19">
        <v>1.0</v>
      </c>
      <c r="X237" s="19">
        <v>1.0</v>
      </c>
      <c r="Y237" s="18"/>
      <c r="Z237" s="18"/>
      <c r="AA237" s="20">
        <f t="shared" si="81"/>
        <v>19</v>
      </c>
      <c r="AB237" s="21">
        <f t="shared" si="82"/>
        <v>0.8260869565</v>
      </c>
      <c r="AC237" s="2"/>
    </row>
    <row r="238">
      <c r="A238" s="17" t="s">
        <v>41</v>
      </c>
      <c r="B238" s="19">
        <v>1.0</v>
      </c>
      <c r="C238" s="19">
        <v>0.0</v>
      </c>
      <c r="D238" s="19">
        <v>0.0</v>
      </c>
      <c r="E238" s="19">
        <v>1.0</v>
      </c>
      <c r="F238" s="19">
        <v>1.0</v>
      </c>
      <c r="G238" s="19">
        <v>0.0</v>
      </c>
      <c r="H238" s="19">
        <v>0.0</v>
      </c>
      <c r="I238" s="19">
        <v>0.0</v>
      </c>
      <c r="J238" s="19">
        <v>1.0</v>
      </c>
      <c r="K238" s="19">
        <v>1.0</v>
      </c>
      <c r="L238" s="19">
        <v>1.0</v>
      </c>
      <c r="M238" s="19">
        <v>0.0</v>
      </c>
      <c r="N238" s="19">
        <v>0.0</v>
      </c>
      <c r="O238" s="19">
        <v>1.0</v>
      </c>
      <c r="P238" s="19">
        <v>0.0</v>
      </c>
      <c r="Q238" s="19">
        <v>1.0</v>
      </c>
      <c r="R238" s="19">
        <v>1.0</v>
      </c>
      <c r="S238" s="19">
        <v>0.0</v>
      </c>
      <c r="T238" s="19">
        <v>0.0</v>
      </c>
      <c r="U238" s="19">
        <v>0.0</v>
      </c>
      <c r="V238" s="19">
        <v>1.0</v>
      </c>
      <c r="W238" s="19">
        <v>1.0</v>
      </c>
      <c r="X238" s="19">
        <v>1.0</v>
      </c>
      <c r="Y238" s="18"/>
      <c r="Z238" s="18"/>
      <c r="AA238" s="20">
        <f t="shared" si="81"/>
        <v>12</v>
      </c>
      <c r="AB238" s="21">
        <f t="shared" si="82"/>
        <v>0.5217391304</v>
      </c>
      <c r="AC238" s="2"/>
    </row>
    <row r="239">
      <c r="A239" s="17" t="s">
        <v>42</v>
      </c>
      <c r="B239" s="19">
        <v>1.0</v>
      </c>
      <c r="C239" s="19">
        <v>0.0</v>
      </c>
      <c r="D239" s="19">
        <v>0.0</v>
      </c>
      <c r="E239" s="19">
        <v>1.0</v>
      </c>
      <c r="F239" s="19">
        <v>1.0</v>
      </c>
      <c r="G239" s="19">
        <v>0.0</v>
      </c>
      <c r="H239" s="19">
        <v>0.0</v>
      </c>
      <c r="I239" s="19">
        <v>0.0</v>
      </c>
      <c r="J239" s="19">
        <v>0.0</v>
      </c>
      <c r="K239" s="19">
        <v>1.0</v>
      </c>
      <c r="L239" s="19">
        <v>1.0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1.0</v>
      </c>
      <c r="S239" s="19">
        <v>0.0</v>
      </c>
      <c r="T239" s="19">
        <v>0.0</v>
      </c>
      <c r="U239" s="19">
        <v>0.0</v>
      </c>
      <c r="V239" s="19">
        <v>0.0</v>
      </c>
      <c r="W239" s="19">
        <v>1.0</v>
      </c>
      <c r="X239" s="19">
        <v>1.0</v>
      </c>
      <c r="Y239" s="18"/>
      <c r="Z239" s="18"/>
      <c r="AA239" s="20">
        <f t="shared" si="81"/>
        <v>8</v>
      </c>
      <c r="AB239" s="21">
        <f t="shared" si="82"/>
        <v>0.347826087</v>
      </c>
      <c r="AC239" s="2"/>
    </row>
    <row r="240">
      <c r="A240" s="17" t="s">
        <v>43</v>
      </c>
      <c r="B240" s="22">
        <f t="shared" ref="B240:Z240" si="83">SUM(B236:B239)</f>
        <v>4</v>
      </c>
      <c r="C240" s="22">
        <f t="shared" si="83"/>
        <v>2</v>
      </c>
      <c r="D240" s="22">
        <f t="shared" si="83"/>
        <v>0</v>
      </c>
      <c r="E240" s="22">
        <f t="shared" si="83"/>
        <v>4</v>
      </c>
      <c r="F240" s="22">
        <f t="shared" si="83"/>
        <v>4</v>
      </c>
      <c r="G240" s="22">
        <f t="shared" si="83"/>
        <v>2</v>
      </c>
      <c r="H240" s="22">
        <f t="shared" si="83"/>
        <v>2</v>
      </c>
      <c r="I240" s="22">
        <f t="shared" si="83"/>
        <v>2</v>
      </c>
      <c r="J240" s="22">
        <f t="shared" si="83"/>
        <v>3</v>
      </c>
      <c r="K240" s="22">
        <f t="shared" si="83"/>
        <v>4</v>
      </c>
      <c r="L240" s="22">
        <f t="shared" si="83"/>
        <v>4</v>
      </c>
      <c r="M240" s="22">
        <f t="shared" si="83"/>
        <v>0</v>
      </c>
      <c r="N240" s="22">
        <f t="shared" si="83"/>
        <v>0</v>
      </c>
      <c r="O240" s="22">
        <f t="shared" si="83"/>
        <v>2</v>
      </c>
      <c r="P240" s="22">
        <f t="shared" si="83"/>
        <v>1</v>
      </c>
      <c r="Q240" s="22">
        <f t="shared" si="83"/>
        <v>3</v>
      </c>
      <c r="R240" s="22">
        <f t="shared" si="83"/>
        <v>4</v>
      </c>
      <c r="S240" s="22">
        <f t="shared" si="83"/>
        <v>1</v>
      </c>
      <c r="T240" s="22">
        <f t="shared" si="83"/>
        <v>1</v>
      </c>
      <c r="U240" s="22">
        <f t="shared" si="83"/>
        <v>1</v>
      </c>
      <c r="V240" s="22">
        <f t="shared" si="83"/>
        <v>2</v>
      </c>
      <c r="W240" s="22">
        <f t="shared" si="83"/>
        <v>3</v>
      </c>
      <c r="X240" s="22">
        <f t="shared" si="83"/>
        <v>4</v>
      </c>
      <c r="Y240" s="22">
        <f t="shared" si="83"/>
        <v>0</v>
      </c>
      <c r="Z240" s="22">
        <f t="shared" si="83"/>
        <v>0</v>
      </c>
      <c r="AA240" s="20">
        <f t="shared" si="81"/>
        <v>53</v>
      </c>
      <c r="AB240" s="23"/>
      <c r="AC240" s="2"/>
    </row>
    <row r="241">
      <c r="A241" s="17" t="s">
        <v>38</v>
      </c>
      <c r="B241" s="24">
        <f t="shared" ref="B241:Z241" si="84">B240/(COUNT(B236:B239)*1)</f>
        <v>1</v>
      </c>
      <c r="C241" s="24">
        <f t="shared" si="84"/>
        <v>0.5</v>
      </c>
      <c r="D241" s="24">
        <f t="shared" si="84"/>
        <v>0</v>
      </c>
      <c r="E241" s="24">
        <f t="shared" si="84"/>
        <v>1</v>
      </c>
      <c r="F241" s="24">
        <f t="shared" si="84"/>
        <v>1</v>
      </c>
      <c r="G241" s="24">
        <f t="shared" si="84"/>
        <v>0.5</v>
      </c>
      <c r="H241" s="24">
        <f t="shared" si="84"/>
        <v>0.5</v>
      </c>
      <c r="I241" s="24">
        <f t="shared" si="84"/>
        <v>0.5</v>
      </c>
      <c r="J241" s="24">
        <f t="shared" si="84"/>
        <v>0.75</v>
      </c>
      <c r="K241" s="24">
        <f t="shared" si="84"/>
        <v>1</v>
      </c>
      <c r="L241" s="24">
        <f t="shared" si="84"/>
        <v>1</v>
      </c>
      <c r="M241" s="24">
        <f t="shared" si="84"/>
        <v>0</v>
      </c>
      <c r="N241" s="24">
        <f t="shared" si="84"/>
        <v>0</v>
      </c>
      <c r="O241" s="24">
        <f t="shared" si="84"/>
        <v>0.5</v>
      </c>
      <c r="P241" s="24">
        <f t="shared" si="84"/>
        <v>0.25</v>
      </c>
      <c r="Q241" s="24">
        <f t="shared" si="84"/>
        <v>0.75</v>
      </c>
      <c r="R241" s="24">
        <f t="shared" si="84"/>
        <v>1</v>
      </c>
      <c r="S241" s="24">
        <f t="shared" si="84"/>
        <v>0.25</v>
      </c>
      <c r="T241" s="24">
        <f t="shared" si="84"/>
        <v>0.25</v>
      </c>
      <c r="U241" s="24">
        <f t="shared" si="84"/>
        <v>0.25</v>
      </c>
      <c r="V241" s="24">
        <f t="shared" si="84"/>
        <v>0.5</v>
      </c>
      <c r="W241" s="24">
        <f t="shared" si="84"/>
        <v>0.75</v>
      </c>
      <c r="X241" s="24">
        <f t="shared" si="84"/>
        <v>1</v>
      </c>
      <c r="Y241" s="24" t="str">
        <f t="shared" si="84"/>
        <v>#DIV/0!</v>
      </c>
      <c r="Z241" s="24" t="str">
        <f t="shared" si="84"/>
        <v>#DIV/0!</v>
      </c>
      <c r="AA241" s="25"/>
      <c r="AB241" s="26">
        <f>SUM(AB236:AB239)/4</f>
        <v>0.5760869565</v>
      </c>
      <c r="AC241" s="2"/>
    </row>
    <row r="242">
      <c r="A242" s="27" t="s">
        <v>44</v>
      </c>
      <c r="B242" s="60"/>
      <c r="C242" s="61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30">
        <f t="shared" ref="AA242:AA244" si="85">SUM(B242:Z242)</f>
        <v>0</v>
      </c>
      <c r="AB242" s="31"/>
      <c r="AC242" s="2"/>
    </row>
    <row r="243">
      <c r="A243" s="32" t="s">
        <v>45</v>
      </c>
      <c r="B243" s="62"/>
      <c r="C243" s="62"/>
      <c r="D243" s="128">
        <v>3.0</v>
      </c>
      <c r="E243" s="62"/>
      <c r="F243" s="62"/>
      <c r="G243" s="128">
        <v>3.0</v>
      </c>
      <c r="H243" s="128">
        <v>5.0</v>
      </c>
      <c r="I243" s="128">
        <v>3.0</v>
      </c>
      <c r="J243" s="62"/>
      <c r="K243" s="62"/>
      <c r="L243" s="62"/>
      <c r="M243" s="128">
        <v>6.0</v>
      </c>
      <c r="N243" s="128">
        <v>5.0</v>
      </c>
      <c r="O243" s="62"/>
      <c r="P243" s="62"/>
      <c r="Q243" s="62"/>
      <c r="R243" s="62"/>
      <c r="S243" s="128">
        <v>7.0</v>
      </c>
      <c r="T243" s="128">
        <v>6.0</v>
      </c>
      <c r="U243" s="128">
        <v>3.0</v>
      </c>
      <c r="V243" s="60"/>
      <c r="W243" s="60"/>
      <c r="X243" s="60"/>
      <c r="Y243" s="60"/>
      <c r="Z243" s="60"/>
      <c r="AA243" s="30">
        <f t="shared" si="85"/>
        <v>41</v>
      </c>
      <c r="AB243" s="31"/>
      <c r="AC243" s="9"/>
    </row>
    <row r="244">
      <c r="A244" s="34" t="s">
        <v>46</v>
      </c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0"/>
      <c r="W244" s="60"/>
      <c r="X244" s="60"/>
      <c r="Y244" s="60"/>
      <c r="Z244" s="60"/>
      <c r="AA244" s="30">
        <f t="shared" si="85"/>
        <v>0</v>
      </c>
      <c r="AB244" s="31"/>
      <c r="AC244" s="9"/>
    </row>
    <row r="245">
      <c r="A245" s="35" t="s">
        <v>47</v>
      </c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7"/>
      <c r="AA245" s="38"/>
      <c r="AB245" s="39"/>
      <c r="AC245" s="2"/>
    </row>
    <row r="246">
      <c r="A246" s="40" t="s">
        <v>48</v>
      </c>
      <c r="B246" s="63"/>
      <c r="C246" s="64"/>
      <c r="D246" s="65">
        <v>1.0</v>
      </c>
      <c r="E246" s="63"/>
      <c r="F246" s="63"/>
      <c r="G246" s="63"/>
      <c r="H246" s="63"/>
      <c r="I246" s="63"/>
      <c r="J246" s="63"/>
      <c r="K246" s="63"/>
      <c r="L246" s="63"/>
      <c r="M246" s="65">
        <v>1.0</v>
      </c>
      <c r="N246" s="65">
        <v>1.0</v>
      </c>
      <c r="O246" s="63"/>
      <c r="P246" s="63"/>
      <c r="Q246" s="63"/>
      <c r="R246" s="63"/>
      <c r="S246" s="65">
        <v>1.0</v>
      </c>
      <c r="T246" s="65">
        <v>1.0</v>
      </c>
      <c r="U246" s="65">
        <v>1.0</v>
      </c>
      <c r="V246" s="69">
        <v>1.0</v>
      </c>
      <c r="W246" s="69">
        <v>1.0</v>
      </c>
      <c r="X246" s="66"/>
      <c r="Y246" s="66"/>
      <c r="Z246" s="66"/>
      <c r="AA246" s="44">
        <f t="shared" ref="AA246:AA247" si="86">SUM(B246:Z246)</f>
        <v>8</v>
      </c>
      <c r="AB246" s="31"/>
      <c r="AC246" s="2"/>
    </row>
    <row r="247">
      <c r="A247" s="40" t="s">
        <v>49</v>
      </c>
      <c r="B247" s="63"/>
      <c r="C247" s="64"/>
      <c r="D247" s="65">
        <v>20.0</v>
      </c>
      <c r="E247" s="63"/>
      <c r="F247" s="63"/>
      <c r="G247" s="63"/>
      <c r="H247" s="63"/>
      <c r="I247" s="63"/>
      <c r="J247" s="63"/>
      <c r="K247" s="63"/>
      <c r="L247" s="63"/>
      <c r="M247" s="65">
        <v>15.0</v>
      </c>
      <c r="N247" s="65">
        <v>15.0</v>
      </c>
      <c r="O247" s="63"/>
      <c r="P247" s="63"/>
      <c r="Q247" s="63"/>
      <c r="R247" s="63"/>
      <c r="S247" s="65">
        <v>20.0</v>
      </c>
      <c r="T247" s="65">
        <v>20.0</v>
      </c>
      <c r="U247" s="65">
        <v>20.0</v>
      </c>
      <c r="V247" s="69">
        <v>20.0</v>
      </c>
      <c r="W247" s="69">
        <v>5.0</v>
      </c>
      <c r="X247" s="66"/>
      <c r="Y247" s="66"/>
      <c r="Z247" s="66"/>
      <c r="AA247" s="44">
        <f t="shared" si="86"/>
        <v>135</v>
      </c>
      <c r="AB247" s="31"/>
      <c r="AC247" s="2"/>
    </row>
    <row r="248">
      <c r="A248" s="40" t="s">
        <v>50</v>
      </c>
      <c r="B248" s="64"/>
      <c r="C248" s="64"/>
      <c r="D248" s="65">
        <v>3.0</v>
      </c>
      <c r="E248" s="63"/>
      <c r="F248" s="63"/>
      <c r="G248" s="63"/>
      <c r="H248" s="63"/>
      <c r="I248" s="63"/>
      <c r="J248" s="63"/>
      <c r="K248" s="63"/>
      <c r="L248" s="63"/>
      <c r="M248" s="65">
        <v>2.0</v>
      </c>
      <c r="N248" s="65">
        <v>2.0</v>
      </c>
      <c r="O248" s="63"/>
      <c r="P248" s="63"/>
      <c r="Q248" s="63"/>
      <c r="R248" s="63"/>
      <c r="S248" s="65">
        <v>2.0</v>
      </c>
      <c r="T248" s="65">
        <v>2.0</v>
      </c>
      <c r="U248" s="65">
        <v>2.0</v>
      </c>
      <c r="V248" s="69">
        <v>2.0</v>
      </c>
      <c r="W248" s="69">
        <v>2.0</v>
      </c>
      <c r="X248" s="66"/>
      <c r="Y248" s="66"/>
      <c r="Z248" s="66"/>
      <c r="AA248" s="44">
        <f>AVERAGE(B248:Z248)</f>
        <v>2.125</v>
      </c>
      <c r="AB248" s="31"/>
      <c r="AC248" s="2"/>
    </row>
    <row r="249">
      <c r="A249" s="45" t="s">
        <v>51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7"/>
      <c r="AA249" s="46"/>
      <c r="AB249" s="39"/>
      <c r="AC249" s="2"/>
    </row>
    <row r="250">
      <c r="A250" s="47" t="s">
        <v>48</v>
      </c>
      <c r="B250" s="48"/>
      <c r="C250" s="49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50"/>
      <c r="W250" s="50"/>
      <c r="X250" s="50"/>
      <c r="Y250" s="50"/>
      <c r="Z250" s="50"/>
      <c r="AA250" s="51">
        <f t="shared" ref="AA250:AA251" si="87">SUM(B250:Z250)</f>
        <v>0</v>
      </c>
      <c r="AB250" s="31"/>
      <c r="AC250" s="2"/>
    </row>
    <row r="251">
      <c r="A251" s="47" t="s">
        <v>49</v>
      </c>
      <c r="B251" s="48"/>
      <c r="C251" s="49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50"/>
      <c r="W251" s="50"/>
      <c r="X251" s="50"/>
      <c r="Y251" s="50"/>
      <c r="Z251" s="50"/>
      <c r="AA251" s="51">
        <f t="shared" si="87"/>
        <v>0</v>
      </c>
      <c r="AB251" s="31"/>
      <c r="AC251" s="2"/>
    </row>
    <row r="252">
      <c r="A252" s="47" t="s">
        <v>50</v>
      </c>
      <c r="B252" s="49"/>
      <c r="C252" s="49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50"/>
      <c r="W252" s="50"/>
      <c r="X252" s="50"/>
      <c r="Y252" s="50"/>
      <c r="Z252" s="50"/>
      <c r="AA252" s="51" t="str">
        <f>AVERAGE(B252:Z252)</f>
        <v>#DIV/0!</v>
      </c>
      <c r="AB252" s="31"/>
      <c r="AC252" s="2"/>
    </row>
    <row r="253">
      <c r="A253" s="52" t="s">
        <v>53</v>
      </c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7"/>
      <c r="AA253" s="38"/>
      <c r="AB253" s="39"/>
      <c r="AC253" s="2"/>
    </row>
    <row r="254">
      <c r="A254" s="40" t="s">
        <v>48</v>
      </c>
      <c r="B254" s="41"/>
      <c r="C254" s="42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3"/>
      <c r="W254" s="43"/>
      <c r="X254" s="43"/>
      <c r="Y254" s="43"/>
      <c r="Z254" s="43"/>
      <c r="AA254" s="44">
        <f t="shared" ref="AA254:AA255" si="88">SUM(B254:Z254)</f>
        <v>0</v>
      </c>
      <c r="AB254" s="31"/>
      <c r="AC254" s="2"/>
    </row>
    <row r="255">
      <c r="A255" s="40" t="s">
        <v>49</v>
      </c>
      <c r="B255" s="41"/>
      <c r="C255" s="42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3"/>
      <c r="W255" s="43"/>
      <c r="X255" s="43"/>
      <c r="Y255" s="43"/>
      <c r="Z255" s="43"/>
      <c r="AA255" s="44">
        <f t="shared" si="88"/>
        <v>0</v>
      </c>
      <c r="AB255" s="31"/>
      <c r="AC255" s="2"/>
    </row>
    <row r="256">
      <c r="A256" s="53" t="s">
        <v>50</v>
      </c>
      <c r="B256" s="54"/>
      <c r="C256" s="54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6"/>
      <c r="W256" s="56"/>
      <c r="X256" s="56"/>
      <c r="Y256" s="56"/>
      <c r="Z256" s="56"/>
      <c r="AA256" s="57" t="str">
        <f>AVERAGE(B256:Z256)</f>
        <v>#DIV/0!</v>
      </c>
      <c r="AB256" s="58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59"/>
      <c r="AB257" s="59"/>
      <c r="AC257" s="2"/>
    </row>
    <row r="258">
      <c r="A258" s="13">
        <v>46135.0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5" t="s">
        <v>37</v>
      </c>
      <c r="AB258" s="16" t="s">
        <v>38</v>
      </c>
      <c r="AC258" s="2"/>
    </row>
    <row r="259">
      <c r="A259" s="17" t="s">
        <v>39</v>
      </c>
      <c r="B259" s="18"/>
      <c r="C259" s="19">
        <v>1.0</v>
      </c>
      <c r="D259" s="19">
        <v>1.0</v>
      </c>
      <c r="E259" s="19">
        <v>1.0</v>
      </c>
      <c r="F259" s="19">
        <v>0.0</v>
      </c>
      <c r="G259" s="19">
        <v>1.0</v>
      </c>
      <c r="H259" s="19">
        <v>1.0</v>
      </c>
      <c r="I259" s="19">
        <v>0.0</v>
      </c>
      <c r="J259" s="19">
        <v>0.0</v>
      </c>
      <c r="K259" s="19">
        <v>0.0</v>
      </c>
      <c r="L259" s="19">
        <v>0.0</v>
      </c>
      <c r="M259" s="19">
        <v>0.0</v>
      </c>
      <c r="N259" s="19">
        <v>0.0</v>
      </c>
      <c r="O259" s="19">
        <v>1.0</v>
      </c>
      <c r="P259" s="19">
        <v>1.0</v>
      </c>
      <c r="Q259" s="19">
        <v>1.0</v>
      </c>
      <c r="R259" s="19">
        <v>1.0</v>
      </c>
      <c r="S259" s="19">
        <v>0.0</v>
      </c>
      <c r="T259" s="19">
        <v>0.0</v>
      </c>
      <c r="U259" s="19">
        <v>0.0</v>
      </c>
      <c r="V259" s="19">
        <v>0.0</v>
      </c>
      <c r="W259" s="18"/>
      <c r="X259" s="18"/>
      <c r="Y259" s="18"/>
      <c r="Z259" s="18"/>
      <c r="AA259" s="20">
        <f t="shared" ref="AA259:AA263" si="89">SUM(B259:Z259)</f>
        <v>9</v>
      </c>
      <c r="AB259" s="21">
        <f t="shared" ref="AB259:AB262" si="90">AA259/(COUNT(B259:Z259)*1)</f>
        <v>0.45</v>
      </c>
      <c r="AC259" s="2"/>
    </row>
    <row r="260">
      <c r="A260" s="17" t="s">
        <v>40</v>
      </c>
      <c r="B260" s="18"/>
      <c r="C260" s="19">
        <v>1.0</v>
      </c>
      <c r="D260" s="19">
        <v>1.0</v>
      </c>
      <c r="E260" s="19">
        <v>0.0</v>
      </c>
      <c r="F260" s="19">
        <v>0.0</v>
      </c>
      <c r="G260" s="19">
        <v>1.0</v>
      </c>
      <c r="H260" s="19">
        <v>1.0</v>
      </c>
      <c r="I260" s="19">
        <v>1.0</v>
      </c>
      <c r="J260" s="19">
        <v>0.0</v>
      </c>
      <c r="K260" s="19">
        <v>1.0</v>
      </c>
      <c r="L260" s="19">
        <v>1.0</v>
      </c>
      <c r="M260" s="19">
        <v>1.0</v>
      </c>
      <c r="N260" s="19">
        <v>1.0</v>
      </c>
      <c r="O260" s="19">
        <v>1.0</v>
      </c>
      <c r="P260" s="19">
        <v>1.0</v>
      </c>
      <c r="Q260" s="19">
        <v>0.0</v>
      </c>
      <c r="R260" s="19">
        <v>1.0</v>
      </c>
      <c r="S260" s="19">
        <v>0.0</v>
      </c>
      <c r="T260" s="19">
        <v>1.0</v>
      </c>
      <c r="U260" s="19">
        <v>1.0</v>
      </c>
      <c r="V260" s="19">
        <v>1.0</v>
      </c>
      <c r="W260" s="18"/>
      <c r="X260" s="18"/>
      <c r="Y260" s="18"/>
      <c r="Z260" s="18"/>
      <c r="AA260" s="20">
        <f t="shared" si="89"/>
        <v>15</v>
      </c>
      <c r="AB260" s="21">
        <f t="shared" si="90"/>
        <v>0.75</v>
      </c>
      <c r="AC260" s="2"/>
    </row>
    <row r="261">
      <c r="A261" s="17" t="s">
        <v>41</v>
      </c>
      <c r="B261" s="18"/>
      <c r="C261" s="19">
        <v>0.0</v>
      </c>
      <c r="D261" s="19">
        <v>0.0</v>
      </c>
      <c r="E261" s="19">
        <v>0.0</v>
      </c>
      <c r="F261" s="19">
        <v>1.0</v>
      </c>
      <c r="G261" s="19">
        <v>0.0</v>
      </c>
      <c r="H261" s="19">
        <v>1.0</v>
      </c>
      <c r="I261" s="19">
        <v>1.0</v>
      </c>
      <c r="J261" s="19">
        <v>0.0</v>
      </c>
      <c r="K261" s="19">
        <v>1.0</v>
      </c>
      <c r="L261" s="19">
        <v>1.0</v>
      </c>
      <c r="M261" s="19">
        <v>1.0</v>
      </c>
      <c r="N261" s="19">
        <v>1.0</v>
      </c>
      <c r="O261" s="19">
        <v>1.0</v>
      </c>
      <c r="P261" s="19">
        <v>1.0</v>
      </c>
      <c r="Q261" s="19">
        <v>1.0</v>
      </c>
      <c r="R261" s="19">
        <v>1.0</v>
      </c>
      <c r="S261" s="19">
        <v>0.0</v>
      </c>
      <c r="T261" s="19">
        <v>1.0</v>
      </c>
      <c r="U261" s="19">
        <v>1.0</v>
      </c>
      <c r="V261" s="19">
        <v>1.0</v>
      </c>
      <c r="W261" s="18"/>
      <c r="X261" s="18"/>
      <c r="Y261" s="18"/>
      <c r="Z261" s="18"/>
      <c r="AA261" s="20">
        <f t="shared" si="89"/>
        <v>14</v>
      </c>
      <c r="AB261" s="21">
        <f t="shared" si="90"/>
        <v>0.7</v>
      </c>
      <c r="AC261" s="2"/>
    </row>
    <row r="262">
      <c r="A262" s="17" t="s">
        <v>42</v>
      </c>
      <c r="B262" s="18"/>
      <c r="C262" s="19">
        <v>0.0</v>
      </c>
      <c r="D262" s="19">
        <v>0.0</v>
      </c>
      <c r="E262" s="19">
        <v>0.0</v>
      </c>
      <c r="F262" s="19">
        <v>0.0</v>
      </c>
      <c r="G262" s="19">
        <v>1.0</v>
      </c>
      <c r="H262" s="19">
        <v>1.0</v>
      </c>
      <c r="I262" s="19">
        <v>0.0</v>
      </c>
      <c r="J262" s="19">
        <v>0.0</v>
      </c>
      <c r="K262" s="19">
        <v>0.0</v>
      </c>
      <c r="L262" s="19">
        <v>0.0</v>
      </c>
      <c r="M262" s="19">
        <v>1.0</v>
      </c>
      <c r="N262" s="19">
        <v>1.0</v>
      </c>
      <c r="O262" s="19">
        <v>1.0</v>
      </c>
      <c r="P262" s="19">
        <v>1.0</v>
      </c>
      <c r="Q262" s="19">
        <v>0.0</v>
      </c>
      <c r="R262" s="19">
        <v>1.0</v>
      </c>
      <c r="S262" s="19">
        <v>0.0</v>
      </c>
      <c r="T262" s="19">
        <v>0.0</v>
      </c>
      <c r="U262" s="19">
        <v>0.0</v>
      </c>
      <c r="V262" s="19">
        <v>0.0</v>
      </c>
      <c r="W262" s="18"/>
      <c r="X262" s="18"/>
      <c r="Y262" s="18"/>
      <c r="Z262" s="18"/>
      <c r="AA262" s="20">
        <f t="shared" si="89"/>
        <v>7</v>
      </c>
      <c r="AB262" s="21">
        <f t="shared" si="90"/>
        <v>0.35</v>
      </c>
      <c r="AC262" s="2"/>
    </row>
    <row r="263">
      <c r="A263" s="17" t="s">
        <v>43</v>
      </c>
      <c r="B263" s="22">
        <f t="shared" ref="B263:Z263" si="91">SUM(B259:B262)</f>
        <v>0</v>
      </c>
      <c r="C263" s="22">
        <f t="shared" si="91"/>
        <v>2</v>
      </c>
      <c r="D263" s="22">
        <f t="shared" si="91"/>
        <v>2</v>
      </c>
      <c r="E263" s="22">
        <f t="shared" si="91"/>
        <v>1</v>
      </c>
      <c r="F263" s="22">
        <f t="shared" si="91"/>
        <v>1</v>
      </c>
      <c r="G263" s="22">
        <f t="shared" si="91"/>
        <v>3</v>
      </c>
      <c r="H263" s="22">
        <f t="shared" si="91"/>
        <v>4</v>
      </c>
      <c r="I263" s="22">
        <f t="shared" si="91"/>
        <v>2</v>
      </c>
      <c r="J263" s="22">
        <f t="shared" si="91"/>
        <v>0</v>
      </c>
      <c r="K263" s="22">
        <f t="shared" si="91"/>
        <v>2</v>
      </c>
      <c r="L263" s="22">
        <f t="shared" si="91"/>
        <v>2</v>
      </c>
      <c r="M263" s="22">
        <f t="shared" si="91"/>
        <v>3</v>
      </c>
      <c r="N263" s="22">
        <f t="shared" si="91"/>
        <v>3</v>
      </c>
      <c r="O263" s="22">
        <f t="shared" si="91"/>
        <v>4</v>
      </c>
      <c r="P263" s="22">
        <f t="shared" si="91"/>
        <v>4</v>
      </c>
      <c r="Q263" s="22">
        <f t="shared" si="91"/>
        <v>2</v>
      </c>
      <c r="R263" s="22">
        <f t="shared" si="91"/>
        <v>4</v>
      </c>
      <c r="S263" s="22">
        <f t="shared" si="91"/>
        <v>0</v>
      </c>
      <c r="T263" s="22">
        <f t="shared" si="91"/>
        <v>2</v>
      </c>
      <c r="U263" s="22">
        <f t="shared" si="91"/>
        <v>2</v>
      </c>
      <c r="V263" s="22">
        <f t="shared" si="91"/>
        <v>2</v>
      </c>
      <c r="W263" s="22">
        <f t="shared" si="91"/>
        <v>0</v>
      </c>
      <c r="X263" s="22">
        <f t="shared" si="91"/>
        <v>0</v>
      </c>
      <c r="Y263" s="22">
        <f t="shared" si="91"/>
        <v>0</v>
      </c>
      <c r="Z263" s="22">
        <f t="shared" si="91"/>
        <v>0</v>
      </c>
      <c r="AA263" s="20">
        <f t="shared" si="89"/>
        <v>45</v>
      </c>
      <c r="AB263" s="23"/>
      <c r="AC263" s="2"/>
    </row>
    <row r="264">
      <c r="A264" s="17" t="s">
        <v>38</v>
      </c>
      <c r="B264" s="24" t="str">
        <f t="shared" ref="B264:Z264" si="92">B263/(COUNT(B259:B262)*1)</f>
        <v>#DIV/0!</v>
      </c>
      <c r="C264" s="24">
        <f t="shared" si="92"/>
        <v>0.5</v>
      </c>
      <c r="D264" s="24">
        <f t="shared" si="92"/>
        <v>0.5</v>
      </c>
      <c r="E264" s="24">
        <f t="shared" si="92"/>
        <v>0.25</v>
      </c>
      <c r="F264" s="24">
        <f t="shared" si="92"/>
        <v>0.25</v>
      </c>
      <c r="G264" s="24">
        <f t="shared" si="92"/>
        <v>0.75</v>
      </c>
      <c r="H264" s="24">
        <f t="shared" si="92"/>
        <v>1</v>
      </c>
      <c r="I264" s="24">
        <f t="shared" si="92"/>
        <v>0.5</v>
      </c>
      <c r="J264" s="24">
        <f t="shared" si="92"/>
        <v>0</v>
      </c>
      <c r="K264" s="24">
        <f t="shared" si="92"/>
        <v>0.5</v>
      </c>
      <c r="L264" s="24">
        <f t="shared" si="92"/>
        <v>0.5</v>
      </c>
      <c r="M264" s="24">
        <f t="shared" si="92"/>
        <v>0.75</v>
      </c>
      <c r="N264" s="24">
        <f t="shared" si="92"/>
        <v>0.75</v>
      </c>
      <c r="O264" s="24">
        <f t="shared" si="92"/>
        <v>1</v>
      </c>
      <c r="P264" s="24">
        <f t="shared" si="92"/>
        <v>1</v>
      </c>
      <c r="Q264" s="24">
        <f t="shared" si="92"/>
        <v>0.5</v>
      </c>
      <c r="R264" s="24">
        <f t="shared" si="92"/>
        <v>1</v>
      </c>
      <c r="S264" s="24">
        <f t="shared" si="92"/>
        <v>0</v>
      </c>
      <c r="T264" s="24">
        <f t="shared" si="92"/>
        <v>0.5</v>
      </c>
      <c r="U264" s="24">
        <f t="shared" si="92"/>
        <v>0.5</v>
      </c>
      <c r="V264" s="24">
        <f t="shared" si="92"/>
        <v>0.5</v>
      </c>
      <c r="W264" s="24" t="str">
        <f t="shared" si="92"/>
        <v>#DIV/0!</v>
      </c>
      <c r="X264" s="24" t="str">
        <f t="shared" si="92"/>
        <v>#DIV/0!</v>
      </c>
      <c r="Y264" s="24" t="str">
        <f t="shared" si="92"/>
        <v>#DIV/0!</v>
      </c>
      <c r="Z264" s="24" t="str">
        <f t="shared" si="92"/>
        <v>#DIV/0!</v>
      </c>
      <c r="AA264" s="25"/>
      <c r="AB264" s="26">
        <f>SUM(AB259:AB262)/4</f>
        <v>0.5625</v>
      </c>
      <c r="AC264" s="2"/>
    </row>
    <row r="265">
      <c r="A265" s="27" t="s">
        <v>44</v>
      </c>
      <c r="B265" s="60"/>
      <c r="C265" s="61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30">
        <f t="shared" ref="AA265:AA267" si="93">SUM(B265:Z265)</f>
        <v>0</v>
      </c>
      <c r="AB265" s="31"/>
      <c r="AC265" s="2"/>
    </row>
    <row r="266">
      <c r="A266" s="32" t="s">
        <v>45</v>
      </c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0"/>
      <c r="W266" s="60"/>
      <c r="X266" s="60"/>
      <c r="Y266" s="60"/>
      <c r="Z266" s="60"/>
      <c r="AA266" s="30">
        <f t="shared" si="93"/>
        <v>0</v>
      </c>
      <c r="AB266" s="31"/>
      <c r="AC266" s="9"/>
    </row>
    <row r="267">
      <c r="A267" s="34" t="s">
        <v>46</v>
      </c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0"/>
      <c r="W267" s="60"/>
      <c r="X267" s="60"/>
      <c r="Y267" s="60"/>
      <c r="Z267" s="60"/>
      <c r="AA267" s="30">
        <f t="shared" si="93"/>
        <v>0</v>
      </c>
      <c r="AB267" s="31"/>
      <c r="AC267" s="9"/>
    </row>
    <row r="268">
      <c r="A268" s="35" t="s">
        <v>47</v>
      </c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7"/>
      <c r="AA268" s="38"/>
      <c r="AB268" s="39"/>
      <c r="AC268" s="2"/>
    </row>
    <row r="269">
      <c r="A269" s="40" t="s">
        <v>48</v>
      </c>
      <c r="B269" s="63"/>
      <c r="C269" s="64"/>
      <c r="D269" s="63"/>
      <c r="E269" s="63"/>
      <c r="F269" s="65">
        <v>2.0</v>
      </c>
      <c r="G269" s="63"/>
      <c r="H269" s="63"/>
      <c r="I269" s="65">
        <v>1.0</v>
      </c>
      <c r="J269" s="65">
        <v>1.0</v>
      </c>
      <c r="K269" s="65">
        <v>1.0</v>
      </c>
      <c r="L269" s="65">
        <v>1.0</v>
      </c>
      <c r="M269" s="65">
        <v>1.0</v>
      </c>
      <c r="N269" s="65">
        <v>1.0</v>
      </c>
      <c r="O269" s="63"/>
      <c r="P269" s="63"/>
      <c r="Q269" s="63"/>
      <c r="R269" s="63"/>
      <c r="S269" s="65">
        <v>1.0</v>
      </c>
      <c r="T269" s="65">
        <v>1.0</v>
      </c>
      <c r="U269" s="65">
        <v>1.0</v>
      </c>
      <c r="V269" s="69">
        <v>1.0</v>
      </c>
      <c r="W269" s="66"/>
      <c r="X269" s="66"/>
      <c r="Y269" s="66"/>
      <c r="Z269" s="66"/>
      <c r="AA269" s="44">
        <f t="shared" ref="AA269:AA270" si="94">SUM(B269:Z269)</f>
        <v>12</v>
      </c>
      <c r="AB269" s="31"/>
      <c r="AC269" s="2"/>
    </row>
    <row r="270">
      <c r="A270" s="40" t="s">
        <v>49</v>
      </c>
      <c r="B270" s="63"/>
      <c r="C270" s="64"/>
      <c r="D270" s="63"/>
      <c r="E270" s="63"/>
      <c r="F270" s="65">
        <v>15.0</v>
      </c>
      <c r="G270" s="63"/>
      <c r="H270" s="63"/>
      <c r="I270" s="65">
        <v>20.0</v>
      </c>
      <c r="J270" s="65">
        <v>20.0</v>
      </c>
      <c r="K270" s="65">
        <v>20.0</v>
      </c>
      <c r="L270" s="65">
        <v>20.0</v>
      </c>
      <c r="M270" s="65">
        <v>15.0</v>
      </c>
      <c r="N270" s="65">
        <v>15.0</v>
      </c>
      <c r="O270" s="63"/>
      <c r="P270" s="63"/>
      <c r="Q270" s="63"/>
      <c r="R270" s="63"/>
      <c r="S270" s="65">
        <v>20.0</v>
      </c>
      <c r="T270" s="65">
        <v>20.0</v>
      </c>
      <c r="U270" s="65">
        <v>20.0</v>
      </c>
      <c r="V270" s="69">
        <v>20.0</v>
      </c>
      <c r="W270" s="66"/>
      <c r="X270" s="66"/>
      <c r="Y270" s="66"/>
      <c r="Z270" s="66"/>
      <c r="AA270" s="44">
        <f t="shared" si="94"/>
        <v>205</v>
      </c>
      <c r="AB270" s="31"/>
      <c r="AC270" s="2"/>
    </row>
    <row r="271">
      <c r="A271" s="40" t="s">
        <v>50</v>
      </c>
      <c r="B271" s="64"/>
      <c r="C271" s="64"/>
      <c r="D271" s="63"/>
      <c r="E271" s="63"/>
      <c r="F271" s="65">
        <v>3.0</v>
      </c>
      <c r="G271" s="63"/>
      <c r="H271" s="63"/>
      <c r="I271" s="65">
        <v>2.0</v>
      </c>
      <c r="J271" s="65">
        <v>2.0</v>
      </c>
      <c r="K271" s="65">
        <v>3.0</v>
      </c>
      <c r="L271" s="65">
        <v>2.0</v>
      </c>
      <c r="M271" s="65">
        <v>2.0</v>
      </c>
      <c r="N271" s="65">
        <v>2.0</v>
      </c>
      <c r="O271" s="63"/>
      <c r="P271" s="63"/>
      <c r="Q271" s="63"/>
      <c r="R271" s="63"/>
      <c r="S271" s="65">
        <v>2.0</v>
      </c>
      <c r="T271" s="65">
        <v>2.0</v>
      </c>
      <c r="U271" s="65">
        <v>3.0</v>
      </c>
      <c r="V271" s="69">
        <v>2.0</v>
      </c>
      <c r="W271" s="66"/>
      <c r="X271" s="66"/>
      <c r="Y271" s="66"/>
      <c r="Z271" s="66"/>
      <c r="AA271" s="44">
        <f>AVERAGE(B271:Z271)</f>
        <v>2.272727273</v>
      </c>
      <c r="AB271" s="31"/>
      <c r="AC271" s="2"/>
    </row>
    <row r="272">
      <c r="A272" s="45" t="s">
        <v>51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7"/>
      <c r="AA272" s="46"/>
      <c r="AB272" s="39"/>
      <c r="AC272" s="2"/>
    </row>
    <row r="273">
      <c r="A273" s="47" t="s">
        <v>48</v>
      </c>
      <c r="B273" s="48"/>
      <c r="C273" s="49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50"/>
      <c r="W273" s="50"/>
      <c r="X273" s="50"/>
      <c r="Y273" s="50"/>
      <c r="Z273" s="50"/>
      <c r="AA273" s="51">
        <f t="shared" ref="AA273:AA274" si="95">SUM(B273:Z273)</f>
        <v>0</v>
      </c>
      <c r="AB273" s="31"/>
      <c r="AC273" s="2"/>
    </row>
    <row r="274">
      <c r="A274" s="47" t="s">
        <v>49</v>
      </c>
      <c r="B274" s="48"/>
      <c r="C274" s="49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50"/>
      <c r="W274" s="50"/>
      <c r="X274" s="50"/>
      <c r="Y274" s="50"/>
      <c r="Z274" s="50"/>
      <c r="AA274" s="51">
        <f t="shared" si="95"/>
        <v>0</v>
      </c>
      <c r="AB274" s="31"/>
      <c r="AC274" s="2"/>
    </row>
    <row r="275">
      <c r="A275" s="47" t="s">
        <v>50</v>
      </c>
      <c r="B275" s="49"/>
      <c r="C275" s="49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50"/>
      <c r="W275" s="50"/>
      <c r="X275" s="50"/>
      <c r="Y275" s="50"/>
      <c r="Z275" s="50"/>
      <c r="AA275" s="51" t="str">
        <f>AVERAGE(B275:Z275)</f>
        <v>#DIV/0!</v>
      </c>
      <c r="AB275" s="31"/>
      <c r="AC275" s="2"/>
    </row>
    <row r="276">
      <c r="A276" s="52" t="s">
        <v>53</v>
      </c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7"/>
      <c r="AA276" s="38"/>
      <c r="AB276" s="39"/>
      <c r="AC276" s="2"/>
    </row>
    <row r="277">
      <c r="A277" s="40" t="s">
        <v>48</v>
      </c>
      <c r="B277" s="41"/>
      <c r="C277" s="42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3"/>
      <c r="W277" s="43"/>
      <c r="X277" s="43"/>
      <c r="Y277" s="43"/>
      <c r="Z277" s="43"/>
      <c r="AA277" s="44">
        <f t="shared" ref="AA277:AA278" si="96">SUM(B277:Z277)</f>
        <v>0</v>
      </c>
      <c r="AB277" s="31"/>
      <c r="AC277" s="2"/>
    </row>
    <row r="278">
      <c r="A278" s="40" t="s">
        <v>49</v>
      </c>
      <c r="B278" s="41"/>
      <c r="C278" s="42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3"/>
      <c r="W278" s="43"/>
      <c r="X278" s="43"/>
      <c r="Y278" s="43"/>
      <c r="Z278" s="43"/>
      <c r="AA278" s="44">
        <f t="shared" si="96"/>
        <v>0</v>
      </c>
      <c r="AB278" s="31"/>
      <c r="AC278" s="2"/>
    </row>
    <row r="279">
      <c r="A279" s="53" t="s">
        <v>50</v>
      </c>
      <c r="B279" s="54"/>
      <c r="C279" s="54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6"/>
      <c r="W279" s="56"/>
      <c r="X279" s="56"/>
      <c r="Y279" s="56"/>
      <c r="Z279" s="56"/>
      <c r="AA279" s="57" t="str">
        <f>AVERAGE(B279:Z279)</f>
        <v>#DIV/0!</v>
      </c>
      <c r="AB279" s="58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59"/>
      <c r="AB280" s="59"/>
      <c r="AC280" s="2"/>
    </row>
    <row r="281">
      <c r="A281" s="13">
        <v>46136.0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5" t="s">
        <v>37</v>
      </c>
      <c r="AB281" s="16" t="s">
        <v>38</v>
      </c>
      <c r="AC281" s="2"/>
    </row>
    <row r="282">
      <c r="A282" s="17" t="s">
        <v>39</v>
      </c>
      <c r="B282" s="19">
        <v>1.0</v>
      </c>
      <c r="C282" s="19">
        <v>1.0</v>
      </c>
      <c r="D282" s="19">
        <v>1.0</v>
      </c>
      <c r="E282" s="19">
        <v>1.0</v>
      </c>
      <c r="F282" s="19">
        <v>1.0</v>
      </c>
      <c r="G282" s="19">
        <v>1.0</v>
      </c>
      <c r="H282" s="19">
        <v>1.0</v>
      </c>
      <c r="I282" s="19">
        <v>0.0</v>
      </c>
      <c r="J282" s="19">
        <v>1.0</v>
      </c>
      <c r="K282" s="19">
        <v>1.0</v>
      </c>
      <c r="L282" s="19">
        <v>1.0</v>
      </c>
      <c r="M282" s="19">
        <v>1.0</v>
      </c>
      <c r="N282" s="19">
        <v>1.0</v>
      </c>
      <c r="O282" s="19">
        <v>1.0</v>
      </c>
      <c r="P282" s="19">
        <v>1.0</v>
      </c>
      <c r="Q282" s="19">
        <v>1.0</v>
      </c>
      <c r="R282" s="19">
        <v>1.0</v>
      </c>
      <c r="S282" s="19">
        <v>0.0</v>
      </c>
      <c r="T282" s="19">
        <v>0.0</v>
      </c>
      <c r="U282" s="19">
        <v>0.0</v>
      </c>
      <c r="V282" s="19">
        <v>0.0</v>
      </c>
      <c r="W282" s="19">
        <v>0.0</v>
      </c>
      <c r="X282" s="18"/>
      <c r="Y282" s="18"/>
      <c r="Z282" s="18"/>
      <c r="AA282" s="20">
        <f t="shared" ref="AA282:AA286" si="97">SUM(B282:Z282)</f>
        <v>16</v>
      </c>
      <c r="AB282" s="21">
        <f t="shared" ref="AB282:AB285" si="98">AA282/(COUNT(B282:Z282)*1)</f>
        <v>0.7272727273</v>
      </c>
      <c r="AC282" s="2"/>
    </row>
    <row r="283">
      <c r="A283" s="17" t="s">
        <v>40</v>
      </c>
      <c r="B283" s="19">
        <v>1.0</v>
      </c>
      <c r="C283" s="19">
        <v>1.0</v>
      </c>
      <c r="D283" s="19">
        <v>1.0</v>
      </c>
      <c r="E283" s="19">
        <v>1.0</v>
      </c>
      <c r="F283" s="19">
        <v>1.0</v>
      </c>
      <c r="G283" s="19">
        <v>1.0</v>
      </c>
      <c r="H283" s="19">
        <v>1.0</v>
      </c>
      <c r="I283" s="19">
        <v>1.0</v>
      </c>
      <c r="J283" s="19">
        <v>1.0</v>
      </c>
      <c r="K283" s="19">
        <v>0.0</v>
      </c>
      <c r="L283" s="19">
        <v>1.0</v>
      </c>
      <c r="M283" s="19">
        <v>1.0</v>
      </c>
      <c r="N283" s="19">
        <v>1.0</v>
      </c>
      <c r="O283" s="19">
        <v>0.0</v>
      </c>
      <c r="P283" s="19">
        <v>1.0</v>
      </c>
      <c r="Q283" s="19">
        <v>1.0</v>
      </c>
      <c r="R283" s="19">
        <v>0.0</v>
      </c>
      <c r="S283" s="19">
        <v>1.0</v>
      </c>
      <c r="T283" s="19">
        <v>1.0</v>
      </c>
      <c r="U283" s="19">
        <v>1.0</v>
      </c>
      <c r="V283" s="19">
        <v>0.0</v>
      </c>
      <c r="W283" s="19">
        <v>1.0</v>
      </c>
      <c r="X283" s="18"/>
      <c r="Y283" s="18"/>
      <c r="Z283" s="18"/>
      <c r="AA283" s="20">
        <f t="shared" si="97"/>
        <v>18</v>
      </c>
      <c r="AB283" s="21">
        <f t="shared" si="98"/>
        <v>0.8181818182</v>
      </c>
      <c r="AC283" s="2"/>
    </row>
    <row r="284">
      <c r="A284" s="17" t="s">
        <v>41</v>
      </c>
      <c r="B284" s="19">
        <v>1.0</v>
      </c>
      <c r="C284" s="19">
        <v>1.0</v>
      </c>
      <c r="D284" s="19">
        <v>1.0</v>
      </c>
      <c r="E284" s="19">
        <v>1.0</v>
      </c>
      <c r="F284" s="19">
        <v>1.0</v>
      </c>
      <c r="G284" s="19">
        <v>1.0</v>
      </c>
      <c r="H284" s="19">
        <v>1.0</v>
      </c>
      <c r="I284" s="19">
        <v>1.0</v>
      </c>
      <c r="J284" s="19">
        <v>1.0</v>
      </c>
      <c r="K284" s="19">
        <v>1.0</v>
      </c>
      <c r="L284" s="19">
        <v>1.0</v>
      </c>
      <c r="M284" s="19">
        <v>0.0</v>
      </c>
      <c r="N284" s="19">
        <v>0.0</v>
      </c>
      <c r="O284" s="19">
        <v>1.0</v>
      </c>
      <c r="P284" s="19">
        <v>1.0</v>
      </c>
      <c r="Q284" s="19">
        <v>1.0</v>
      </c>
      <c r="R284" s="19">
        <v>1.0</v>
      </c>
      <c r="S284" s="19">
        <v>0.0</v>
      </c>
      <c r="T284" s="19">
        <v>1.0</v>
      </c>
      <c r="U284" s="19">
        <v>1.0</v>
      </c>
      <c r="V284" s="19">
        <v>0.0</v>
      </c>
      <c r="W284" s="19">
        <v>1.0</v>
      </c>
      <c r="X284" s="18"/>
      <c r="Y284" s="18"/>
      <c r="Z284" s="18"/>
      <c r="AA284" s="20">
        <f t="shared" si="97"/>
        <v>18</v>
      </c>
      <c r="AB284" s="21">
        <f t="shared" si="98"/>
        <v>0.8181818182</v>
      </c>
      <c r="AC284" s="2"/>
    </row>
    <row r="285">
      <c r="A285" s="17" t="s">
        <v>42</v>
      </c>
      <c r="B285" s="19">
        <v>1.0</v>
      </c>
      <c r="C285" s="19">
        <v>0.0</v>
      </c>
      <c r="D285" s="19">
        <v>1.0</v>
      </c>
      <c r="E285" s="19">
        <v>1.0</v>
      </c>
      <c r="F285" s="19">
        <v>1.0</v>
      </c>
      <c r="G285" s="19">
        <v>1.0</v>
      </c>
      <c r="H285" s="19">
        <v>1.0</v>
      </c>
      <c r="I285" s="19">
        <v>0.0</v>
      </c>
      <c r="J285" s="19">
        <v>1.0</v>
      </c>
      <c r="K285" s="19">
        <v>1.0</v>
      </c>
      <c r="L285" s="19">
        <v>1.0</v>
      </c>
      <c r="M285" s="19">
        <v>1.0</v>
      </c>
      <c r="N285" s="19">
        <v>1.0</v>
      </c>
      <c r="O285" s="19">
        <v>0.0</v>
      </c>
      <c r="P285" s="19">
        <v>1.0</v>
      </c>
      <c r="Q285" s="19">
        <v>0.0</v>
      </c>
      <c r="R285" s="19">
        <v>0.0</v>
      </c>
      <c r="S285" s="19">
        <v>0.0</v>
      </c>
      <c r="T285" s="19">
        <v>0.0</v>
      </c>
      <c r="U285" s="19">
        <v>0.0</v>
      </c>
      <c r="V285" s="19">
        <v>0.0</v>
      </c>
      <c r="W285" s="19">
        <v>0.0</v>
      </c>
      <c r="X285" s="18"/>
      <c r="Y285" s="18"/>
      <c r="Z285" s="18"/>
      <c r="AA285" s="20">
        <f t="shared" si="97"/>
        <v>12</v>
      </c>
      <c r="AB285" s="21">
        <f t="shared" si="98"/>
        <v>0.5454545455</v>
      </c>
      <c r="AC285" s="2"/>
    </row>
    <row r="286">
      <c r="A286" s="17" t="s">
        <v>43</v>
      </c>
      <c r="B286" s="22">
        <f t="shared" ref="B286:Z286" si="99">SUM(B282:B285)</f>
        <v>4</v>
      </c>
      <c r="C286" s="22">
        <f t="shared" si="99"/>
        <v>3</v>
      </c>
      <c r="D286" s="22">
        <f t="shared" si="99"/>
        <v>4</v>
      </c>
      <c r="E286" s="22">
        <f t="shared" si="99"/>
        <v>4</v>
      </c>
      <c r="F286" s="22">
        <f t="shared" si="99"/>
        <v>4</v>
      </c>
      <c r="G286" s="22">
        <f t="shared" si="99"/>
        <v>4</v>
      </c>
      <c r="H286" s="22">
        <f t="shared" si="99"/>
        <v>4</v>
      </c>
      <c r="I286" s="22">
        <f t="shared" si="99"/>
        <v>2</v>
      </c>
      <c r="J286" s="22">
        <f t="shared" si="99"/>
        <v>4</v>
      </c>
      <c r="K286" s="22">
        <f t="shared" si="99"/>
        <v>3</v>
      </c>
      <c r="L286" s="22">
        <f t="shared" si="99"/>
        <v>4</v>
      </c>
      <c r="M286" s="22">
        <f t="shared" si="99"/>
        <v>3</v>
      </c>
      <c r="N286" s="22">
        <f t="shared" si="99"/>
        <v>3</v>
      </c>
      <c r="O286" s="22">
        <f t="shared" si="99"/>
        <v>2</v>
      </c>
      <c r="P286" s="22">
        <f t="shared" si="99"/>
        <v>4</v>
      </c>
      <c r="Q286" s="22">
        <f t="shared" si="99"/>
        <v>3</v>
      </c>
      <c r="R286" s="22">
        <f t="shared" si="99"/>
        <v>2</v>
      </c>
      <c r="S286" s="22">
        <f t="shared" si="99"/>
        <v>1</v>
      </c>
      <c r="T286" s="22">
        <f t="shared" si="99"/>
        <v>2</v>
      </c>
      <c r="U286" s="22">
        <f t="shared" si="99"/>
        <v>2</v>
      </c>
      <c r="V286" s="22">
        <f t="shared" si="99"/>
        <v>0</v>
      </c>
      <c r="W286" s="22">
        <f t="shared" si="99"/>
        <v>2</v>
      </c>
      <c r="X286" s="22">
        <f t="shared" si="99"/>
        <v>0</v>
      </c>
      <c r="Y286" s="22">
        <f t="shared" si="99"/>
        <v>0</v>
      </c>
      <c r="Z286" s="22">
        <f t="shared" si="99"/>
        <v>0</v>
      </c>
      <c r="AA286" s="20">
        <f t="shared" si="97"/>
        <v>64</v>
      </c>
      <c r="AB286" s="23"/>
      <c r="AC286" s="2"/>
    </row>
    <row r="287">
      <c r="A287" s="17" t="s">
        <v>38</v>
      </c>
      <c r="B287" s="24">
        <f t="shared" ref="B287:Z287" si="100">B286/(COUNT(B282:B285)*1)</f>
        <v>1</v>
      </c>
      <c r="C287" s="24">
        <f t="shared" si="100"/>
        <v>0.75</v>
      </c>
      <c r="D287" s="24">
        <f t="shared" si="100"/>
        <v>1</v>
      </c>
      <c r="E287" s="24">
        <f t="shared" si="100"/>
        <v>1</v>
      </c>
      <c r="F287" s="24">
        <f t="shared" si="100"/>
        <v>1</v>
      </c>
      <c r="G287" s="24">
        <f t="shared" si="100"/>
        <v>1</v>
      </c>
      <c r="H287" s="24">
        <f t="shared" si="100"/>
        <v>1</v>
      </c>
      <c r="I287" s="24">
        <f t="shared" si="100"/>
        <v>0.5</v>
      </c>
      <c r="J287" s="24">
        <f t="shared" si="100"/>
        <v>1</v>
      </c>
      <c r="K287" s="24">
        <f t="shared" si="100"/>
        <v>0.75</v>
      </c>
      <c r="L287" s="24">
        <f t="shared" si="100"/>
        <v>1</v>
      </c>
      <c r="M287" s="24">
        <f t="shared" si="100"/>
        <v>0.75</v>
      </c>
      <c r="N287" s="24">
        <f t="shared" si="100"/>
        <v>0.75</v>
      </c>
      <c r="O287" s="24">
        <f t="shared" si="100"/>
        <v>0.5</v>
      </c>
      <c r="P287" s="24">
        <f t="shared" si="100"/>
        <v>1</v>
      </c>
      <c r="Q287" s="24">
        <f t="shared" si="100"/>
        <v>0.75</v>
      </c>
      <c r="R287" s="24">
        <f t="shared" si="100"/>
        <v>0.5</v>
      </c>
      <c r="S287" s="24">
        <f t="shared" si="100"/>
        <v>0.25</v>
      </c>
      <c r="T287" s="24">
        <f t="shared" si="100"/>
        <v>0.5</v>
      </c>
      <c r="U287" s="24">
        <f t="shared" si="100"/>
        <v>0.5</v>
      </c>
      <c r="V287" s="24">
        <f t="shared" si="100"/>
        <v>0</v>
      </c>
      <c r="W287" s="24">
        <f t="shared" si="100"/>
        <v>0.5</v>
      </c>
      <c r="X287" s="24" t="str">
        <f t="shared" si="100"/>
        <v>#DIV/0!</v>
      </c>
      <c r="Y287" s="24" t="str">
        <f t="shared" si="100"/>
        <v>#DIV/0!</v>
      </c>
      <c r="Z287" s="24" t="str">
        <f t="shared" si="100"/>
        <v>#DIV/0!</v>
      </c>
      <c r="AA287" s="25"/>
      <c r="AB287" s="26">
        <f>SUM(AB282:AB285)/4</f>
        <v>0.7272727273</v>
      </c>
      <c r="AC287" s="2"/>
    </row>
    <row r="288">
      <c r="A288" s="27" t="s">
        <v>44</v>
      </c>
      <c r="B288" s="60"/>
      <c r="C288" s="61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30">
        <f t="shared" ref="AA288:AA290" si="101">SUM(B288:Z288)</f>
        <v>0</v>
      </c>
      <c r="AB288" s="31"/>
      <c r="AC288" s="2"/>
    </row>
    <row r="289">
      <c r="A289" s="32" t="s">
        <v>45</v>
      </c>
      <c r="B289" s="62"/>
      <c r="C289" s="62"/>
      <c r="D289" s="62"/>
      <c r="E289" s="62"/>
      <c r="F289" s="62"/>
      <c r="G289" s="62"/>
      <c r="H289" s="62"/>
      <c r="I289" s="128">
        <v>11.0</v>
      </c>
      <c r="J289" s="62"/>
      <c r="K289" s="128">
        <v>3.0</v>
      </c>
      <c r="L289" s="62"/>
      <c r="M289" s="128">
        <v>2.0</v>
      </c>
      <c r="N289" s="128">
        <v>3.0</v>
      </c>
      <c r="O289" s="62"/>
      <c r="P289" s="62"/>
      <c r="Q289" s="62"/>
      <c r="R289" s="62"/>
      <c r="S289" s="128">
        <v>6.0</v>
      </c>
      <c r="T289" s="128">
        <v>10.0</v>
      </c>
      <c r="U289" s="128">
        <v>4.0</v>
      </c>
      <c r="V289" s="68">
        <v>3.0</v>
      </c>
      <c r="W289" s="60"/>
      <c r="X289" s="60"/>
      <c r="Y289" s="60"/>
      <c r="Z289" s="60"/>
      <c r="AA289" s="30">
        <f t="shared" si="101"/>
        <v>42</v>
      </c>
      <c r="AB289" s="31"/>
      <c r="AC289" s="9"/>
    </row>
    <row r="290">
      <c r="A290" s="34" t="s">
        <v>46</v>
      </c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0"/>
      <c r="W290" s="60"/>
      <c r="X290" s="60"/>
      <c r="Y290" s="60"/>
      <c r="Z290" s="60"/>
      <c r="AA290" s="30">
        <f t="shared" si="101"/>
        <v>0</v>
      </c>
      <c r="AB290" s="31"/>
      <c r="AC290" s="9"/>
    </row>
    <row r="291">
      <c r="A291" s="35" t="s">
        <v>47</v>
      </c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7"/>
      <c r="AA291" s="38"/>
      <c r="AB291" s="39"/>
      <c r="AC291" s="2"/>
    </row>
    <row r="292">
      <c r="A292" s="40" t="s">
        <v>48</v>
      </c>
      <c r="B292" s="63"/>
      <c r="C292" s="64"/>
      <c r="D292" s="63"/>
      <c r="E292" s="63"/>
      <c r="F292" s="63"/>
      <c r="G292" s="63"/>
      <c r="H292" s="63"/>
      <c r="I292" s="65">
        <v>1.0</v>
      </c>
      <c r="J292" s="63"/>
      <c r="K292" s="63"/>
      <c r="L292" s="63"/>
      <c r="M292" s="63"/>
      <c r="N292" s="63"/>
      <c r="O292" s="63"/>
      <c r="P292" s="63"/>
      <c r="Q292" s="63"/>
      <c r="R292" s="63"/>
      <c r="S292" s="65">
        <v>1.0</v>
      </c>
      <c r="T292" s="65">
        <v>1.0</v>
      </c>
      <c r="U292" s="65">
        <v>1.0</v>
      </c>
      <c r="V292" s="69">
        <v>1.0</v>
      </c>
      <c r="W292" s="66"/>
      <c r="X292" s="66"/>
      <c r="Y292" s="66"/>
      <c r="Z292" s="66"/>
      <c r="AA292" s="44">
        <f t="shared" ref="AA292:AA293" si="102">SUM(B292:Z292)</f>
        <v>5</v>
      </c>
      <c r="AB292" s="31"/>
      <c r="AC292" s="2"/>
    </row>
    <row r="293">
      <c r="A293" s="40" t="s">
        <v>49</v>
      </c>
      <c r="B293" s="63"/>
      <c r="C293" s="64"/>
      <c r="D293" s="63"/>
      <c r="E293" s="63"/>
      <c r="F293" s="63"/>
      <c r="G293" s="63"/>
      <c r="H293" s="63"/>
      <c r="I293" s="65">
        <v>20.0</v>
      </c>
      <c r="J293" s="63"/>
      <c r="K293" s="63"/>
      <c r="L293" s="63"/>
      <c r="M293" s="63"/>
      <c r="N293" s="63"/>
      <c r="O293" s="63"/>
      <c r="P293" s="63"/>
      <c r="Q293" s="63"/>
      <c r="R293" s="63"/>
      <c r="S293" s="65">
        <v>20.0</v>
      </c>
      <c r="T293" s="65">
        <v>20.0</v>
      </c>
      <c r="U293" s="65">
        <v>20.0</v>
      </c>
      <c r="V293" s="69">
        <v>20.0</v>
      </c>
      <c r="W293" s="66"/>
      <c r="X293" s="66"/>
      <c r="Y293" s="66"/>
      <c r="Z293" s="66"/>
      <c r="AA293" s="44">
        <f t="shared" si="102"/>
        <v>100</v>
      </c>
      <c r="AB293" s="31"/>
      <c r="AC293" s="2"/>
    </row>
    <row r="294">
      <c r="A294" s="40" t="s">
        <v>50</v>
      </c>
      <c r="B294" s="64"/>
      <c r="C294" s="64"/>
      <c r="D294" s="63"/>
      <c r="E294" s="63"/>
      <c r="F294" s="63"/>
      <c r="G294" s="63"/>
      <c r="H294" s="63"/>
      <c r="I294" s="65">
        <v>2.0</v>
      </c>
      <c r="J294" s="63"/>
      <c r="K294" s="63"/>
      <c r="L294" s="63"/>
      <c r="M294" s="63"/>
      <c r="N294" s="63"/>
      <c r="O294" s="63"/>
      <c r="P294" s="63"/>
      <c r="Q294" s="63"/>
      <c r="R294" s="63"/>
      <c r="S294" s="65">
        <v>2.0</v>
      </c>
      <c r="T294" s="65">
        <v>3.0</v>
      </c>
      <c r="U294" s="65">
        <v>2.0</v>
      </c>
      <c r="V294" s="69">
        <v>2.0</v>
      </c>
      <c r="W294" s="66"/>
      <c r="X294" s="66"/>
      <c r="Y294" s="66"/>
      <c r="Z294" s="66"/>
      <c r="AA294" s="44">
        <f>AVERAGE(B294:Z294)</f>
        <v>2.2</v>
      </c>
      <c r="AB294" s="31"/>
      <c r="AC294" s="2"/>
    </row>
    <row r="295">
      <c r="A295" s="45" t="s">
        <v>51</v>
      </c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7"/>
      <c r="AA295" s="46"/>
      <c r="AB295" s="39"/>
      <c r="AC295" s="2"/>
    </row>
    <row r="296">
      <c r="A296" s="47" t="s">
        <v>48</v>
      </c>
      <c r="B296" s="48"/>
      <c r="C296" s="49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50"/>
      <c r="W296" s="50"/>
      <c r="X296" s="50"/>
      <c r="Y296" s="50"/>
      <c r="Z296" s="50"/>
      <c r="AA296" s="51">
        <f t="shared" ref="AA296:AA297" si="103">SUM(B296:Z296)</f>
        <v>0</v>
      </c>
      <c r="AB296" s="31"/>
      <c r="AC296" s="2"/>
    </row>
    <row r="297">
      <c r="A297" s="47" t="s">
        <v>49</v>
      </c>
      <c r="B297" s="48"/>
      <c r="C297" s="49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50"/>
      <c r="W297" s="50"/>
      <c r="X297" s="50"/>
      <c r="Y297" s="50"/>
      <c r="Z297" s="50"/>
      <c r="AA297" s="51">
        <f t="shared" si="103"/>
        <v>0</v>
      </c>
      <c r="AB297" s="31"/>
      <c r="AC297" s="2"/>
    </row>
    <row r="298">
      <c r="A298" s="47" t="s">
        <v>50</v>
      </c>
      <c r="B298" s="49"/>
      <c r="C298" s="49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50"/>
      <c r="W298" s="50"/>
      <c r="X298" s="50"/>
      <c r="Y298" s="50"/>
      <c r="Z298" s="50"/>
      <c r="AA298" s="51" t="str">
        <f>AVERAGE(B298:Z298)</f>
        <v>#DIV/0!</v>
      </c>
      <c r="AB298" s="31"/>
      <c r="AC298" s="2"/>
    </row>
    <row r="299">
      <c r="A299" s="52" t="s">
        <v>53</v>
      </c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7"/>
      <c r="AA299" s="38"/>
      <c r="AB299" s="39"/>
      <c r="AC299" s="2"/>
    </row>
    <row r="300">
      <c r="A300" s="40" t="s">
        <v>48</v>
      </c>
      <c r="B300" s="41"/>
      <c r="C300" s="42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3"/>
      <c r="W300" s="43"/>
      <c r="X300" s="43"/>
      <c r="Y300" s="43"/>
      <c r="Z300" s="43"/>
      <c r="AA300" s="44">
        <f t="shared" ref="AA300:AA301" si="104">SUM(B300:Z300)</f>
        <v>0</v>
      </c>
      <c r="AB300" s="31"/>
      <c r="AC300" s="2"/>
    </row>
    <row r="301">
      <c r="A301" s="40" t="s">
        <v>49</v>
      </c>
      <c r="B301" s="41"/>
      <c r="C301" s="42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3"/>
      <c r="W301" s="43"/>
      <c r="X301" s="43"/>
      <c r="Y301" s="43"/>
      <c r="Z301" s="43"/>
      <c r="AA301" s="44">
        <f t="shared" si="104"/>
        <v>0</v>
      </c>
      <c r="AB301" s="31"/>
      <c r="AC301" s="2"/>
    </row>
    <row r="302">
      <c r="A302" s="53" t="s">
        <v>50</v>
      </c>
      <c r="B302" s="54"/>
      <c r="C302" s="54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6"/>
      <c r="W302" s="56"/>
      <c r="X302" s="56"/>
      <c r="Y302" s="56"/>
      <c r="Z302" s="56"/>
      <c r="AA302" s="57" t="str">
        <f>AVERAGE(B302:Z302)</f>
        <v>#DIV/0!</v>
      </c>
      <c r="AB302" s="58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59"/>
      <c r="AB303" s="59"/>
      <c r="AC303" s="2"/>
    </row>
    <row r="304">
      <c r="A304" s="13">
        <v>46139.0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5" t="s">
        <v>37</v>
      </c>
      <c r="AB304" s="16" t="s">
        <v>38</v>
      </c>
      <c r="AC304" s="2"/>
    </row>
    <row r="305">
      <c r="A305" s="17" t="s">
        <v>39</v>
      </c>
      <c r="B305" s="49"/>
      <c r="C305" s="130">
        <v>1.0</v>
      </c>
      <c r="D305" s="130">
        <v>1.0</v>
      </c>
      <c r="E305" s="130">
        <v>1.0</v>
      </c>
      <c r="F305" s="130">
        <v>1.0</v>
      </c>
      <c r="G305" s="130">
        <v>0.0</v>
      </c>
      <c r="H305" s="130">
        <v>0.0</v>
      </c>
      <c r="I305" s="130">
        <v>0.0</v>
      </c>
      <c r="J305" s="130">
        <v>0.0</v>
      </c>
      <c r="K305" s="130">
        <v>0.0</v>
      </c>
      <c r="L305" s="130">
        <v>0.0</v>
      </c>
      <c r="M305" s="130">
        <v>1.0</v>
      </c>
      <c r="N305" s="130">
        <v>0.0</v>
      </c>
      <c r="O305" s="49"/>
      <c r="P305" s="49"/>
      <c r="Q305" s="130">
        <v>0.0</v>
      </c>
      <c r="R305" s="130">
        <v>1.0</v>
      </c>
      <c r="S305" s="130">
        <v>0.0</v>
      </c>
      <c r="T305" s="130">
        <v>0.0</v>
      </c>
      <c r="U305" s="130">
        <v>0.0</v>
      </c>
      <c r="V305" s="130">
        <v>0.0</v>
      </c>
      <c r="W305" s="131"/>
      <c r="X305" s="131"/>
      <c r="Y305" s="131"/>
      <c r="Z305" s="131"/>
      <c r="AA305" s="20">
        <f t="shared" ref="AA305:AA309" si="105">SUM(B305:Z305)</f>
        <v>6</v>
      </c>
      <c r="AB305" s="21">
        <f t="shared" ref="AB305:AB308" si="106">AA305/(COUNT(B305:Z305)*1)</f>
        <v>0.3333333333</v>
      </c>
      <c r="AC305" s="2"/>
    </row>
    <row r="306">
      <c r="A306" s="17" t="s">
        <v>40</v>
      </c>
      <c r="B306" s="49"/>
      <c r="C306" s="130">
        <v>1.0</v>
      </c>
      <c r="D306" s="130">
        <v>1.0</v>
      </c>
      <c r="E306" s="130">
        <v>1.0</v>
      </c>
      <c r="F306" s="130">
        <v>1.0</v>
      </c>
      <c r="G306" s="130">
        <v>0.0</v>
      </c>
      <c r="H306" s="130">
        <v>1.0</v>
      </c>
      <c r="I306" s="130">
        <v>1.0</v>
      </c>
      <c r="J306" s="130">
        <v>1.0</v>
      </c>
      <c r="K306" s="130">
        <v>1.0</v>
      </c>
      <c r="L306" s="130">
        <v>0.0</v>
      </c>
      <c r="M306" s="130">
        <v>1.0</v>
      </c>
      <c r="N306" s="130">
        <v>0.0</v>
      </c>
      <c r="O306" s="49"/>
      <c r="P306" s="49"/>
      <c r="Q306" s="130">
        <v>1.0</v>
      </c>
      <c r="R306" s="130">
        <v>1.0</v>
      </c>
      <c r="S306" s="130">
        <v>0.0</v>
      </c>
      <c r="T306" s="130">
        <v>0.0</v>
      </c>
      <c r="U306" s="130">
        <v>0.0</v>
      </c>
      <c r="V306" s="130">
        <v>0.0</v>
      </c>
      <c r="W306" s="131"/>
      <c r="X306" s="131"/>
      <c r="Y306" s="131"/>
      <c r="Z306" s="131"/>
      <c r="AA306" s="20">
        <f t="shared" si="105"/>
        <v>11</v>
      </c>
      <c r="AB306" s="21">
        <f t="shared" si="106"/>
        <v>0.6111111111</v>
      </c>
      <c r="AC306" s="2"/>
    </row>
    <row r="307">
      <c r="A307" s="17" t="s">
        <v>41</v>
      </c>
      <c r="B307" s="49"/>
      <c r="C307" s="130">
        <v>0.0</v>
      </c>
      <c r="D307" s="130">
        <v>1.0</v>
      </c>
      <c r="E307" s="130">
        <v>1.0</v>
      </c>
      <c r="F307" s="130">
        <v>1.0</v>
      </c>
      <c r="G307" s="130">
        <v>0.0</v>
      </c>
      <c r="H307" s="130">
        <v>1.0</v>
      </c>
      <c r="I307" s="130">
        <v>1.0</v>
      </c>
      <c r="J307" s="130">
        <v>1.0</v>
      </c>
      <c r="K307" s="130">
        <v>0.0</v>
      </c>
      <c r="L307" s="130">
        <v>1.0</v>
      </c>
      <c r="M307" s="130">
        <v>1.0</v>
      </c>
      <c r="N307" s="130">
        <v>1.0</v>
      </c>
      <c r="O307" s="49"/>
      <c r="P307" s="49"/>
      <c r="Q307" s="130">
        <v>1.0</v>
      </c>
      <c r="R307" s="130">
        <v>1.0</v>
      </c>
      <c r="S307" s="130">
        <v>0.0</v>
      </c>
      <c r="T307" s="130">
        <v>1.0</v>
      </c>
      <c r="U307" s="130">
        <v>0.0</v>
      </c>
      <c r="V307" s="130">
        <v>0.0</v>
      </c>
      <c r="W307" s="131"/>
      <c r="X307" s="131"/>
      <c r="Y307" s="131"/>
      <c r="Z307" s="131"/>
      <c r="AA307" s="20">
        <f t="shared" si="105"/>
        <v>12</v>
      </c>
      <c r="AB307" s="21">
        <f t="shared" si="106"/>
        <v>0.6666666667</v>
      </c>
      <c r="AC307" s="2"/>
    </row>
    <row r="308">
      <c r="A308" s="17" t="s">
        <v>42</v>
      </c>
      <c r="B308" s="49"/>
      <c r="C308" s="130">
        <v>1.0</v>
      </c>
      <c r="D308" s="130">
        <v>1.0</v>
      </c>
      <c r="E308" s="130">
        <v>0.0</v>
      </c>
      <c r="F308" s="130">
        <v>0.0</v>
      </c>
      <c r="G308" s="130">
        <v>0.0</v>
      </c>
      <c r="H308" s="130">
        <v>0.0</v>
      </c>
      <c r="I308" s="130">
        <v>0.0</v>
      </c>
      <c r="J308" s="130">
        <v>0.0</v>
      </c>
      <c r="K308" s="130">
        <v>0.0</v>
      </c>
      <c r="L308" s="130">
        <v>0.0</v>
      </c>
      <c r="M308" s="130">
        <v>1.0</v>
      </c>
      <c r="N308" s="130">
        <v>0.0</v>
      </c>
      <c r="O308" s="49"/>
      <c r="P308" s="49"/>
      <c r="Q308" s="130">
        <v>1.0</v>
      </c>
      <c r="R308" s="130">
        <v>1.0</v>
      </c>
      <c r="S308" s="130">
        <v>0.0</v>
      </c>
      <c r="T308" s="130">
        <v>0.0</v>
      </c>
      <c r="U308" s="130">
        <v>0.0</v>
      </c>
      <c r="V308" s="130">
        <v>0.0</v>
      </c>
      <c r="W308" s="131"/>
      <c r="X308" s="131"/>
      <c r="Y308" s="131"/>
      <c r="Z308" s="131"/>
      <c r="AA308" s="20">
        <f t="shared" si="105"/>
        <v>5</v>
      </c>
      <c r="AB308" s="21">
        <f t="shared" si="106"/>
        <v>0.2777777778</v>
      </c>
      <c r="AC308" s="2"/>
    </row>
    <row r="309">
      <c r="A309" s="17" t="s">
        <v>43</v>
      </c>
      <c r="B309" s="22">
        <f t="shared" ref="B309:Z309" si="107">SUM(B305:B308)</f>
        <v>0</v>
      </c>
      <c r="C309" s="22">
        <f t="shared" si="107"/>
        <v>3</v>
      </c>
      <c r="D309" s="22">
        <f t="shared" si="107"/>
        <v>4</v>
      </c>
      <c r="E309" s="22">
        <f t="shared" si="107"/>
        <v>3</v>
      </c>
      <c r="F309" s="22">
        <f t="shared" si="107"/>
        <v>3</v>
      </c>
      <c r="G309" s="22">
        <f t="shared" si="107"/>
        <v>0</v>
      </c>
      <c r="H309" s="22">
        <f t="shared" si="107"/>
        <v>2</v>
      </c>
      <c r="I309" s="22">
        <f t="shared" si="107"/>
        <v>2</v>
      </c>
      <c r="J309" s="22">
        <f t="shared" si="107"/>
        <v>2</v>
      </c>
      <c r="K309" s="22">
        <f t="shared" si="107"/>
        <v>1</v>
      </c>
      <c r="L309" s="22">
        <f t="shared" si="107"/>
        <v>1</v>
      </c>
      <c r="M309" s="22">
        <f t="shared" si="107"/>
        <v>4</v>
      </c>
      <c r="N309" s="22">
        <f t="shared" si="107"/>
        <v>1</v>
      </c>
      <c r="O309" s="22">
        <f t="shared" si="107"/>
        <v>0</v>
      </c>
      <c r="P309" s="22">
        <f t="shared" si="107"/>
        <v>0</v>
      </c>
      <c r="Q309" s="22">
        <f t="shared" si="107"/>
        <v>3</v>
      </c>
      <c r="R309" s="22">
        <f t="shared" si="107"/>
        <v>4</v>
      </c>
      <c r="S309" s="22">
        <f t="shared" si="107"/>
        <v>0</v>
      </c>
      <c r="T309" s="22">
        <f t="shared" si="107"/>
        <v>1</v>
      </c>
      <c r="U309" s="22">
        <f t="shared" si="107"/>
        <v>0</v>
      </c>
      <c r="V309" s="22">
        <f t="shared" si="107"/>
        <v>0</v>
      </c>
      <c r="W309" s="22">
        <f t="shared" si="107"/>
        <v>0</v>
      </c>
      <c r="X309" s="22">
        <f t="shared" si="107"/>
        <v>0</v>
      </c>
      <c r="Y309" s="22">
        <f t="shared" si="107"/>
        <v>0</v>
      </c>
      <c r="Z309" s="22">
        <f t="shared" si="107"/>
        <v>0</v>
      </c>
      <c r="AA309" s="20">
        <f t="shared" si="105"/>
        <v>34</v>
      </c>
      <c r="AB309" s="23"/>
      <c r="AC309" s="2"/>
    </row>
    <row r="310">
      <c r="A310" s="17" t="s">
        <v>38</v>
      </c>
      <c r="B310" s="24" t="str">
        <f t="shared" ref="B310:Z310" si="108">B309/(COUNT(B305:B308)*1)</f>
        <v>#DIV/0!</v>
      </c>
      <c r="C310" s="24">
        <f t="shared" si="108"/>
        <v>0.75</v>
      </c>
      <c r="D310" s="24">
        <f t="shared" si="108"/>
        <v>1</v>
      </c>
      <c r="E310" s="24">
        <f t="shared" si="108"/>
        <v>0.75</v>
      </c>
      <c r="F310" s="24">
        <f t="shared" si="108"/>
        <v>0.75</v>
      </c>
      <c r="G310" s="24">
        <f t="shared" si="108"/>
        <v>0</v>
      </c>
      <c r="H310" s="24">
        <f t="shared" si="108"/>
        <v>0.5</v>
      </c>
      <c r="I310" s="24">
        <f t="shared" si="108"/>
        <v>0.5</v>
      </c>
      <c r="J310" s="24">
        <f t="shared" si="108"/>
        <v>0.5</v>
      </c>
      <c r="K310" s="24">
        <f t="shared" si="108"/>
        <v>0.25</v>
      </c>
      <c r="L310" s="24">
        <f t="shared" si="108"/>
        <v>0.25</v>
      </c>
      <c r="M310" s="24">
        <f t="shared" si="108"/>
        <v>1</v>
      </c>
      <c r="N310" s="24">
        <f t="shared" si="108"/>
        <v>0.25</v>
      </c>
      <c r="O310" s="24" t="str">
        <f t="shared" si="108"/>
        <v>#DIV/0!</v>
      </c>
      <c r="P310" s="24" t="str">
        <f t="shared" si="108"/>
        <v>#DIV/0!</v>
      </c>
      <c r="Q310" s="24">
        <f t="shared" si="108"/>
        <v>0.75</v>
      </c>
      <c r="R310" s="24">
        <f t="shared" si="108"/>
        <v>1</v>
      </c>
      <c r="S310" s="24">
        <f t="shared" si="108"/>
        <v>0</v>
      </c>
      <c r="T310" s="24">
        <f t="shared" si="108"/>
        <v>0.25</v>
      </c>
      <c r="U310" s="24">
        <f t="shared" si="108"/>
        <v>0</v>
      </c>
      <c r="V310" s="24">
        <f t="shared" si="108"/>
        <v>0</v>
      </c>
      <c r="W310" s="24" t="str">
        <f t="shared" si="108"/>
        <v>#DIV/0!</v>
      </c>
      <c r="X310" s="24" t="str">
        <f t="shared" si="108"/>
        <v>#DIV/0!</v>
      </c>
      <c r="Y310" s="24" t="str">
        <f t="shared" si="108"/>
        <v>#DIV/0!</v>
      </c>
      <c r="Z310" s="24" t="str">
        <f t="shared" si="108"/>
        <v>#DIV/0!</v>
      </c>
      <c r="AA310" s="25"/>
      <c r="AB310" s="26">
        <f>SUM(AB305:AB308)/4</f>
        <v>0.4722222222</v>
      </c>
      <c r="AC310" s="2"/>
    </row>
    <row r="311">
      <c r="A311" s="27" t="s">
        <v>44</v>
      </c>
      <c r="B311" s="28"/>
      <c r="C311" s="29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30">
        <f t="shared" ref="AA311:AA313" si="109">SUM(B311:Z311)</f>
        <v>0</v>
      </c>
      <c r="AB311" s="31"/>
      <c r="AC311" s="2"/>
    </row>
    <row r="312">
      <c r="A312" s="32" t="s">
        <v>45</v>
      </c>
      <c r="B312" s="33"/>
      <c r="C312" s="33"/>
      <c r="D312" s="33"/>
      <c r="E312" s="33"/>
      <c r="F312" s="33"/>
      <c r="G312" s="129">
        <v>7.0</v>
      </c>
      <c r="H312" s="129">
        <v>5.0</v>
      </c>
      <c r="I312" s="33"/>
      <c r="J312" s="129">
        <v>5.0</v>
      </c>
      <c r="K312" s="129">
        <v>6.0</v>
      </c>
      <c r="L312" s="129">
        <v>4.0</v>
      </c>
      <c r="M312" s="33"/>
      <c r="N312" s="33"/>
      <c r="O312" s="33"/>
      <c r="P312" s="33"/>
      <c r="Q312" s="33"/>
      <c r="R312" s="33"/>
      <c r="S312" s="129">
        <v>3.0</v>
      </c>
      <c r="T312" s="129">
        <v>2.0</v>
      </c>
      <c r="U312" s="129">
        <v>3.0</v>
      </c>
      <c r="V312" s="132">
        <v>3.0</v>
      </c>
      <c r="W312" s="28"/>
      <c r="X312" s="28"/>
      <c r="Y312" s="28"/>
      <c r="Z312" s="28"/>
      <c r="AA312" s="30">
        <f t="shared" si="109"/>
        <v>38</v>
      </c>
      <c r="AB312" s="31"/>
      <c r="AC312" s="9"/>
    </row>
    <row r="313">
      <c r="A313" s="34" t="s">
        <v>46</v>
      </c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28"/>
      <c r="W313" s="28"/>
      <c r="X313" s="28"/>
      <c r="Y313" s="28"/>
      <c r="Z313" s="28"/>
      <c r="AA313" s="30">
        <f t="shared" si="109"/>
        <v>0</v>
      </c>
      <c r="AB313" s="31"/>
      <c r="AC313" s="9"/>
    </row>
    <row r="314">
      <c r="A314" s="35" t="s">
        <v>47</v>
      </c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7"/>
      <c r="AA314" s="38"/>
      <c r="AB314" s="39"/>
      <c r="AC314" s="2"/>
    </row>
    <row r="315">
      <c r="A315" s="40" t="s">
        <v>48</v>
      </c>
      <c r="B315" s="41"/>
      <c r="C315" s="42"/>
      <c r="D315" s="41"/>
      <c r="E315" s="41"/>
      <c r="F315" s="41"/>
      <c r="G315" s="133">
        <v>1.0</v>
      </c>
      <c r="H315" s="133">
        <v>1.0</v>
      </c>
      <c r="I315" s="133">
        <v>1.0</v>
      </c>
      <c r="J315" s="133">
        <v>1.0</v>
      </c>
      <c r="K315" s="133">
        <v>1.0</v>
      </c>
      <c r="L315" s="133">
        <v>1.0</v>
      </c>
      <c r="M315" s="133"/>
      <c r="N315" s="133">
        <v>1.0</v>
      </c>
      <c r="O315" s="41"/>
      <c r="P315" s="41"/>
      <c r="Q315" s="41"/>
      <c r="R315" s="41"/>
      <c r="S315" s="133">
        <v>1.0</v>
      </c>
      <c r="T315" s="133">
        <v>1.0</v>
      </c>
      <c r="U315" s="133">
        <v>1.0</v>
      </c>
      <c r="V315" s="134">
        <v>1.0</v>
      </c>
      <c r="W315" s="43"/>
      <c r="X315" s="43"/>
      <c r="Y315" s="43"/>
      <c r="Z315" s="43"/>
      <c r="AA315" s="44">
        <f t="shared" ref="AA315:AA316" si="110">SUM(B315:Z315)</f>
        <v>11</v>
      </c>
      <c r="AB315" s="31"/>
      <c r="AC315" s="2"/>
    </row>
    <row r="316">
      <c r="A316" s="40" t="s">
        <v>49</v>
      </c>
      <c r="B316" s="41"/>
      <c r="C316" s="42"/>
      <c r="D316" s="41"/>
      <c r="E316" s="41"/>
      <c r="F316" s="41"/>
      <c r="G316" s="133">
        <v>20.0</v>
      </c>
      <c r="H316" s="133">
        <v>20.0</v>
      </c>
      <c r="I316" s="133">
        <v>20.0</v>
      </c>
      <c r="J316" s="133">
        <v>20.0</v>
      </c>
      <c r="K316" s="133">
        <v>20.0</v>
      </c>
      <c r="L316" s="133">
        <v>20.0</v>
      </c>
      <c r="M316" s="133"/>
      <c r="N316" s="133">
        <v>15.0</v>
      </c>
      <c r="O316" s="41"/>
      <c r="P316" s="41"/>
      <c r="Q316" s="41"/>
      <c r="R316" s="41"/>
      <c r="S316" s="133">
        <v>20.0</v>
      </c>
      <c r="T316" s="133">
        <v>20.0</v>
      </c>
      <c r="U316" s="133">
        <v>20.0</v>
      </c>
      <c r="V316" s="134">
        <v>20.0</v>
      </c>
      <c r="W316" s="43"/>
      <c r="X316" s="43"/>
      <c r="Y316" s="43"/>
      <c r="Z316" s="43"/>
      <c r="AA316" s="44">
        <f t="shared" si="110"/>
        <v>215</v>
      </c>
      <c r="AB316" s="31"/>
      <c r="AC316" s="2"/>
    </row>
    <row r="317">
      <c r="A317" s="40" t="s">
        <v>50</v>
      </c>
      <c r="B317" s="42"/>
      <c r="C317" s="42"/>
      <c r="D317" s="41"/>
      <c r="E317" s="41"/>
      <c r="F317" s="41"/>
      <c r="G317" s="133">
        <v>2.0</v>
      </c>
      <c r="H317" s="133">
        <v>2.0</v>
      </c>
      <c r="I317" s="133">
        <v>2.0</v>
      </c>
      <c r="J317" s="133">
        <v>3.0</v>
      </c>
      <c r="K317" s="133">
        <v>3.0</v>
      </c>
      <c r="L317" s="133">
        <v>3.0</v>
      </c>
      <c r="M317" s="133"/>
      <c r="N317" s="133">
        <v>3.0</v>
      </c>
      <c r="O317" s="41"/>
      <c r="P317" s="41"/>
      <c r="Q317" s="41"/>
      <c r="R317" s="41"/>
      <c r="S317" s="133">
        <v>4.0</v>
      </c>
      <c r="T317" s="133">
        <v>2.0</v>
      </c>
      <c r="U317" s="133">
        <v>4.0</v>
      </c>
      <c r="V317" s="134">
        <v>3.0</v>
      </c>
      <c r="W317" s="43"/>
      <c r="X317" s="43"/>
      <c r="Y317" s="43"/>
      <c r="Z317" s="43"/>
      <c r="AA317" s="44">
        <f>AVERAGE(B317:Z317)</f>
        <v>2.818181818</v>
      </c>
      <c r="AB317" s="31"/>
      <c r="AC317" s="2"/>
    </row>
    <row r="318">
      <c r="A318" s="45" t="s">
        <v>51</v>
      </c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7"/>
      <c r="AA318" s="46"/>
      <c r="AB318" s="39"/>
      <c r="AC318" s="2"/>
    </row>
    <row r="319">
      <c r="A319" s="47" t="s">
        <v>48</v>
      </c>
      <c r="B319" s="48"/>
      <c r="C319" s="49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50"/>
      <c r="W319" s="50"/>
      <c r="X319" s="50"/>
      <c r="Y319" s="50"/>
      <c r="Z319" s="50"/>
      <c r="AA319" s="51">
        <f t="shared" ref="AA319:AA320" si="111">SUM(B319:Z319)</f>
        <v>0</v>
      </c>
      <c r="AB319" s="31"/>
      <c r="AC319" s="2"/>
    </row>
    <row r="320">
      <c r="A320" s="47" t="s">
        <v>49</v>
      </c>
      <c r="B320" s="48"/>
      <c r="C320" s="49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50"/>
      <c r="W320" s="50"/>
      <c r="X320" s="50"/>
      <c r="Y320" s="50"/>
      <c r="Z320" s="50"/>
      <c r="AA320" s="51">
        <f t="shared" si="111"/>
        <v>0</v>
      </c>
      <c r="AB320" s="31"/>
      <c r="AC320" s="2"/>
    </row>
    <row r="321">
      <c r="A321" s="47" t="s">
        <v>50</v>
      </c>
      <c r="B321" s="49"/>
      <c r="C321" s="49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50"/>
      <c r="W321" s="50"/>
      <c r="X321" s="50"/>
      <c r="Y321" s="50"/>
      <c r="Z321" s="50"/>
      <c r="AA321" s="51" t="str">
        <f>AVERAGE(B321:Z321)</f>
        <v>#DIV/0!</v>
      </c>
      <c r="AB321" s="31"/>
      <c r="AC321" s="2"/>
    </row>
    <row r="322">
      <c r="A322" s="52" t="s">
        <v>53</v>
      </c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7"/>
      <c r="AA322" s="38"/>
      <c r="AB322" s="39"/>
      <c r="AC322" s="2"/>
    </row>
    <row r="323">
      <c r="A323" s="40" t="s">
        <v>48</v>
      </c>
      <c r="B323" s="41"/>
      <c r="C323" s="42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3"/>
      <c r="W323" s="43"/>
      <c r="X323" s="43"/>
      <c r="Y323" s="43"/>
      <c r="Z323" s="43"/>
      <c r="AA323" s="44">
        <f t="shared" ref="AA323:AA324" si="112">SUM(B323:Z323)</f>
        <v>0</v>
      </c>
      <c r="AB323" s="31"/>
      <c r="AC323" s="2"/>
    </row>
    <row r="324">
      <c r="A324" s="40" t="s">
        <v>49</v>
      </c>
      <c r="B324" s="41"/>
      <c r="C324" s="42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3"/>
      <c r="W324" s="43"/>
      <c r="X324" s="43"/>
      <c r="Y324" s="43"/>
      <c r="Z324" s="43"/>
      <c r="AA324" s="44">
        <f t="shared" si="112"/>
        <v>0</v>
      </c>
      <c r="AB324" s="31"/>
      <c r="AC324" s="2"/>
    </row>
    <row r="325">
      <c r="A325" s="53" t="s">
        <v>50</v>
      </c>
      <c r="B325" s="54"/>
      <c r="C325" s="54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6"/>
      <c r="W325" s="56"/>
      <c r="X325" s="56"/>
      <c r="Y325" s="56"/>
      <c r="Z325" s="56"/>
      <c r="AA325" s="57" t="str">
        <f>AVERAGE(B325:Z325)</f>
        <v>#DIV/0!</v>
      </c>
      <c r="AB325" s="58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59"/>
      <c r="AB326" s="59"/>
      <c r="AC326" s="2"/>
    </row>
    <row r="327">
      <c r="A327" s="13">
        <v>46140.0</v>
      </c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 t="s">
        <v>37</v>
      </c>
      <c r="AB327" s="16" t="s">
        <v>38</v>
      </c>
      <c r="AC327" s="2"/>
    </row>
    <row r="328">
      <c r="A328" s="17" t="s">
        <v>39</v>
      </c>
      <c r="B328" s="19">
        <v>1.0</v>
      </c>
      <c r="C328" s="19">
        <v>1.0</v>
      </c>
      <c r="D328" s="19">
        <v>1.0</v>
      </c>
      <c r="E328" s="19">
        <v>0.0</v>
      </c>
      <c r="F328" s="19">
        <v>0.0</v>
      </c>
      <c r="G328" s="19">
        <v>0.0</v>
      </c>
      <c r="H328" s="19">
        <v>1.0</v>
      </c>
      <c r="I328" s="19">
        <v>1.0</v>
      </c>
      <c r="J328" s="19">
        <v>0.0</v>
      </c>
      <c r="K328" s="19">
        <v>0.0</v>
      </c>
      <c r="L328" s="19">
        <v>0.0</v>
      </c>
      <c r="M328" s="19">
        <v>0.0</v>
      </c>
      <c r="N328" s="19">
        <v>1.0</v>
      </c>
      <c r="O328" s="19">
        <v>1.0</v>
      </c>
      <c r="P328" s="19">
        <v>1.0</v>
      </c>
      <c r="Q328" s="19">
        <v>0.0</v>
      </c>
      <c r="R328" s="19">
        <v>1.0</v>
      </c>
      <c r="S328" s="19">
        <v>0.0</v>
      </c>
      <c r="T328" s="19">
        <v>0.0</v>
      </c>
      <c r="U328" s="18"/>
      <c r="V328" s="18"/>
      <c r="W328" s="18"/>
      <c r="X328" s="18"/>
      <c r="Y328" s="18"/>
      <c r="Z328" s="18"/>
      <c r="AA328" s="20">
        <f t="shared" ref="AA328:AA332" si="113">SUM(B328:Z328)</f>
        <v>9</v>
      </c>
      <c r="AB328" s="21">
        <f t="shared" ref="AB328:AB331" si="114">AA328/(COUNT(B328:Z328)*1)</f>
        <v>0.4736842105</v>
      </c>
      <c r="AC328" s="2"/>
    </row>
    <row r="329">
      <c r="A329" s="17" t="s">
        <v>40</v>
      </c>
      <c r="B329" s="19">
        <v>1.0</v>
      </c>
      <c r="C329" s="19">
        <v>0.0</v>
      </c>
      <c r="D329" s="19">
        <v>1.0</v>
      </c>
      <c r="E329" s="19">
        <v>0.0</v>
      </c>
      <c r="F329" s="19">
        <v>0.0</v>
      </c>
      <c r="G329" s="19">
        <v>1.0</v>
      </c>
      <c r="H329" s="19">
        <v>1.0</v>
      </c>
      <c r="I329" s="19">
        <v>0.0</v>
      </c>
      <c r="J329" s="19">
        <v>0.0</v>
      </c>
      <c r="K329" s="19">
        <v>1.0</v>
      </c>
      <c r="L329" s="19">
        <v>1.0</v>
      </c>
      <c r="M329" s="19">
        <v>0.0</v>
      </c>
      <c r="N329" s="19">
        <v>1.0</v>
      </c>
      <c r="O329" s="19">
        <v>1.0</v>
      </c>
      <c r="P329" s="19">
        <v>1.0</v>
      </c>
      <c r="Q329" s="19">
        <v>0.0</v>
      </c>
      <c r="R329" s="19">
        <v>1.0</v>
      </c>
      <c r="S329" s="19">
        <v>0.0</v>
      </c>
      <c r="T329" s="19">
        <v>0.0</v>
      </c>
      <c r="U329" s="18"/>
      <c r="V329" s="18"/>
      <c r="W329" s="18"/>
      <c r="X329" s="18"/>
      <c r="Y329" s="18"/>
      <c r="Z329" s="18"/>
      <c r="AA329" s="20">
        <f t="shared" si="113"/>
        <v>10</v>
      </c>
      <c r="AB329" s="21">
        <f t="shared" si="114"/>
        <v>0.5263157895</v>
      </c>
      <c r="AC329" s="2"/>
    </row>
    <row r="330">
      <c r="A330" s="17" t="s">
        <v>41</v>
      </c>
      <c r="B330" s="19">
        <v>0.0</v>
      </c>
      <c r="C330" s="19">
        <v>0.0</v>
      </c>
      <c r="D330" s="19">
        <v>0.0</v>
      </c>
      <c r="E330" s="19">
        <v>0.0</v>
      </c>
      <c r="F330" s="19">
        <v>0.0</v>
      </c>
      <c r="G330" s="19">
        <v>0.0</v>
      </c>
      <c r="H330" s="19">
        <v>0.0</v>
      </c>
      <c r="I330" s="19">
        <v>0.0</v>
      </c>
      <c r="J330" s="19">
        <v>0.0</v>
      </c>
      <c r="K330" s="19">
        <v>0.0</v>
      </c>
      <c r="L330" s="19">
        <v>0.0</v>
      </c>
      <c r="M330" s="19">
        <v>0.0</v>
      </c>
      <c r="N330" s="19">
        <v>1.0</v>
      </c>
      <c r="O330" s="19">
        <v>1.0</v>
      </c>
      <c r="P330" s="19">
        <v>1.0</v>
      </c>
      <c r="Q330" s="19">
        <v>0.0</v>
      </c>
      <c r="R330" s="19">
        <v>1.0</v>
      </c>
      <c r="S330" s="19">
        <v>0.0</v>
      </c>
      <c r="T330" s="19">
        <v>0.0</v>
      </c>
      <c r="U330" s="18"/>
      <c r="V330" s="18"/>
      <c r="W330" s="18"/>
      <c r="X330" s="18"/>
      <c r="Y330" s="18"/>
      <c r="Z330" s="18"/>
      <c r="AA330" s="20">
        <f t="shared" si="113"/>
        <v>4</v>
      </c>
      <c r="AB330" s="21">
        <f t="shared" si="114"/>
        <v>0.2105263158</v>
      </c>
      <c r="AC330" s="2"/>
    </row>
    <row r="331">
      <c r="A331" s="17" t="s">
        <v>42</v>
      </c>
      <c r="B331" s="19">
        <v>1.0</v>
      </c>
      <c r="C331" s="19">
        <v>1.0</v>
      </c>
      <c r="D331" s="19">
        <v>0.0</v>
      </c>
      <c r="E331" s="19">
        <v>1.0</v>
      </c>
      <c r="F331" s="19">
        <v>0.0</v>
      </c>
      <c r="G331" s="19">
        <v>1.0</v>
      </c>
      <c r="H331" s="19">
        <v>0.0</v>
      </c>
      <c r="I331" s="19">
        <v>0.0</v>
      </c>
      <c r="J331" s="19">
        <v>0.0</v>
      </c>
      <c r="K331" s="19">
        <v>1.0</v>
      </c>
      <c r="L331" s="19">
        <v>1.0</v>
      </c>
      <c r="M331" s="19">
        <v>0.0</v>
      </c>
      <c r="N331" s="19">
        <v>0.0</v>
      </c>
      <c r="O331" s="19">
        <v>1.0</v>
      </c>
      <c r="P331" s="19">
        <v>1.0</v>
      </c>
      <c r="Q331" s="19">
        <v>0.0</v>
      </c>
      <c r="R331" s="19">
        <v>0.0</v>
      </c>
      <c r="S331" s="19">
        <v>0.0</v>
      </c>
      <c r="T331" s="19">
        <v>0.0</v>
      </c>
      <c r="U331" s="18"/>
      <c r="V331" s="18"/>
      <c r="W331" s="18"/>
      <c r="X331" s="18"/>
      <c r="Y331" s="18"/>
      <c r="Z331" s="18"/>
      <c r="AA331" s="20">
        <f t="shared" si="113"/>
        <v>8</v>
      </c>
      <c r="AB331" s="21">
        <f t="shared" si="114"/>
        <v>0.4210526316</v>
      </c>
      <c r="AC331" s="2"/>
    </row>
    <row r="332">
      <c r="A332" s="17" t="s">
        <v>43</v>
      </c>
      <c r="B332" s="22">
        <f t="shared" ref="B332:Z332" si="115">SUM(B328:B331)</f>
        <v>3</v>
      </c>
      <c r="C332" s="22">
        <f t="shared" si="115"/>
        <v>2</v>
      </c>
      <c r="D332" s="22">
        <f t="shared" si="115"/>
        <v>2</v>
      </c>
      <c r="E332" s="22">
        <f t="shared" si="115"/>
        <v>1</v>
      </c>
      <c r="F332" s="22">
        <f t="shared" si="115"/>
        <v>0</v>
      </c>
      <c r="G332" s="22">
        <f t="shared" si="115"/>
        <v>2</v>
      </c>
      <c r="H332" s="22">
        <f t="shared" si="115"/>
        <v>2</v>
      </c>
      <c r="I332" s="22">
        <f t="shared" si="115"/>
        <v>1</v>
      </c>
      <c r="J332" s="22">
        <f t="shared" si="115"/>
        <v>0</v>
      </c>
      <c r="K332" s="22">
        <f t="shared" si="115"/>
        <v>2</v>
      </c>
      <c r="L332" s="22">
        <f t="shared" si="115"/>
        <v>2</v>
      </c>
      <c r="M332" s="22">
        <f t="shared" si="115"/>
        <v>0</v>
      </c>
      <c r="N332" s="22">
        <f t="shared" si="115"/>
        <v>3</v>
      </c>
      <c r="O332" s="22">
        <f t="shared" si="115"/>
        <v>4</v>
      </c>
      <c r="P332" s="22">
        <f t="shared" si="115"/>
        <v>4</v>
      </c>
      <c r="Q332" s="22">
        <f t="shared" si="115"/>
        <v>0</v>
      </c>
      <c r="R332" s="22">
        <f t="shared" si="115"/>
        <v>3</v>
      </c>
      <c r="S332" s="22">
        <f t="shared" si="115"/>
        <v>0</v>
      </c>
      <c r="T332" s="22">
        <f t="shared" si="115"/>
        <v>0</v>
      </c>
      <c r="U332" s="22">
        <f t="shared" si="115"/>
        <v>0</v>
      </c>
      <c r="V332" s="22">
        <f t="shared" si="115"/>
        <v>0</v>
      </c>
      <c r="W332" s="22">
        <f t="shared" si="115"/>
        <v>0</v>
      </c>
      <c r="X332" s="22">
        <f t="shared" si="115"/>
        <v>0</v>
      </c>
      <c r="Y332" s="22">
        <f t="shared" si="115"/>
        <v>0</v>
      </c>
      <c r="Z332" s="22">
        <f t="shared" si="115"/>
        <v>0</v>
      </c>
      <c r="AA332" s="20">
        <f t="shared" si="113"/>
        <v>31</v>
      </c>
      <c r="AB332" s="23"/>
      <c r="AC332" s="2"/>
    </row>
    <row r="333">
      <c r="A333" s="17" t="s">
        <v>38</v>
      </c>
      <c r="B333" s="24">
        <f t="shared" ref="B333:Z333" si="116">B332/(COUNT(B328:B331)*1)</f>
        <v>0.75</v>
      </c>
      <c r="C333" s="24">
        <f t="shared" si="116"/>
        <v>0.5</v>
      </c>
      <c r="D333" s="24">
        <f t="shared" si="116"/>
        <v>0.5</v>
      </c>
      <c r="E333" s="24">
        <f t="shared" si="116"/>
        <v>0.25</v>
      </c>
      <c r="F333" s="24">
        <f t="shared" si="116"/>
        <v>0</v>
      </c>
      <c r="G333" s="24">
        <f t="shared" si="116"/>
        <v>0.5</v>
      </c>
      <c r="H333" s="24">
        <f t="shared" si="116"/>
        <v>0.5</v>
      </c>
      <c r="I333" s="24">
        <f t="shared" si="116"/>
        <v>0.25</v>
      </c>
      <c r="J333" s="24">
        <f t="shared" si="116"/>
        <v>0</v>
      </c>
      <c r="K333" s="24">
        <f t="shared" si="116"/>
        <v>0.5</v>
      </c>
      <c r="L333" s="24">
        <f t="shared" si="116"/>
        <v>0.5</v>
      </c>
      <c r="M333" s="24">
        <f t="shared" si="116"/>
        <v>0</v>
      </c>
      <c r="N333" s="24">
        <f t="shared" si="116"/>
        <v>0.75</v>
      </c>
      <c r="O333" s="24">
        <f t="shared" si="116"/>
        <v>1</v>
      </c>
      <c r="P333" s="24">
        <f t="shared" si="116"/>
        <v>1</v>
      </c>
      <c r="Q333" s="24">
        <f t="shared" si="116"/>
        <v>0</v>
      </c>
      <c r="R333" s="24">
        <f t="shared" si="116"/>
        <v>0.75</v>
      </c>
      <c r="S333" s="24">
        <f t="shared" si="116"/>
        <v>0</v>
      </c>
      <c r="T333" s="24">
        <f t="shared" si="116"/>
        <v>0</v>
      </c>
      <c r="U333" s="24" t="str">
        <f t="shared" si="116"/>
        <v>#DIV/0!</v>
      </c>
      <c r="V333" s="24" t="str">
        <f t="shared" si="116"/>
        <v>#DIV/0!</v>
      </c>
      <c r="W333" s="24" t="str">
        <f t="shared" si="116"/>
        <v>#DIV/0!</v>
      </c>
      <c r="X333" s="24" t="str">
        <f t="shared" si="116"/>
        <v>#DIV/0!</v>
      </c>
      <c r="Y333" s="24" t="str">
        <f t="shared" si="116"/>
        <v>#DIV/0!</v>
      </c>
      <c r="Z333" s="24" t="str">
        <f t="shared" si="116"/>
        <v>#DIV/0!</v>
      </c>
      <c r="AA333" s="25"/>
      <c r="AB333" s="26">
        <f>SUM(AB328:AB331)/4</f>
        <v>0.4078947368</v>
      </c>
      <c r="AC333" s="2"/>
    </row>
    <row r="334">
      <c r="A334" s="27" t="s">
        <v>44</v>
      </c>
      <c r="B334" s="28"/>
      <c r="C334" s="29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30">
        <f t="shared" ref="AA334:AA336" si="117">SUM(B334:Z334)</f>
        <v>0</v>
      </c>
      <c r="AB334" s="31"/>
      <c r="AC334" s="2"/>
    </row>
    <row r="335">
      <c r="A335" s="32" t="s">
        <v>45</v>
      </c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28"/>
      <c r="W335" s="28"/>
      <c r="X335" s="28"/>
      <c r="Y335" s="28"/>
      <c r="Z335" s="28"/>
      <c r="AA335" s="30">
        <f t="shared" si="117"/>
        <v>0</v>
      </c>
      <c r="AB335" s="31"/>
      <c r="AC335" s="9"/>
    </row>
    <row r="336">
      <c r="A336" s="34" t="s">
        <v>46</v>
      </c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28"/>
      <c r="W336" s="28"/>
      <c r="X336" s="28"/>
      <c r="Y336" s="28"/>
      <c r="Z336" s="28"/>
      <c r="AA336" s="30">
        <f t="shared" si="117"/>
        <v>0</v>
      </c>
      <c r="AB336" s="31"/>
      <c r="AC336" s="9"/>
    </row>
    <row r="337">
      <c r="A337" s="35" t="s">
        <v>47</v>
      </c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7"/>
      <c r="AA337" s="38"/>
      <c r="AB337" s="39"/>
      <c r="AC337" s="2"/>
    </row>
    <row r="338">
      <c r="A338" s="40" t="s">
        <v>48</v>
      </c>
      <c r="B338" s="63"/>
      <c r="C338" s="64"/>
      <c r="D338" s="63"/>
      <c r="E338" s="65">
        <v>1.0</v>
      </c>
      <c r="F338" s="65">
        <v>1.0</v>
      </c>
      <c r="G338" s="65">
        <v>1.0</v>
      </c>
      <c r="H338" s="65">
        <v>1.0</v>
      </c>
      <c r="I338" s="63"/>
      <c r="J338" s="65">
        <v>1.0</v>
      </c>
      <c r="K338" s="65">
        <v>1.0</v>
      </c>
      <c r="L338" s="65">
        <v>1.0</v>
      </c>
      <c r="M338" s="65">
        <v>1.0</v>
      </c>
      <c r="N338" s="63"/>
      <c r="O338" s="63"/>
      <c r="P338" s="63"/>
      <c r="Q338" s="65">
        <v>1.0</v>
      </c>
      <c r="R338" s="63"/>
      <c r="S338" s="65">
        <v>1.0</v>
      </c>
      <c r="T338" s="65">
        <v>1.0</v>
      </c>
      <c r="U338" s="63"/>
      <c r="V338" s="66"/>
      <c r="W338" s="66"/>
      <c r="X338" s="66"/>
      <c r="Y338" s="66"/>
      <c r="Z338" s="66"/>
      <c r="AA338" s="44">
        <f t="shared" ref="AA338:AA339" si="118">SUM(B338:Z338)</f>
        <v>11</v>
      </c>
      <c r="AB338" s="31"/>
      <c r="AC338" s="2"/>
    </row>
    <row r="339">
      <c r="A339" s="40" t="s">
        <v>49</v>
      </c>
      <c r="B339" s="63"/>
      <c r="C339" s="64"/>
      <c r="D339" s="63"/>
      <c r="E339" s="65">
        <v>20.0</v>
      </c>
      <c r="F339" s="65">
        <v>20.0</v>
      </c>
      <c r="G339" s="65">
        <v>20.0</v>
      </c>
      <c r="H339" s="65">
        <v>10.0</v>
      </c>
      <c r="I339" s="63"/>
      <c r="J339" s="65">
        <v>20.0</v>
      </c>
      <c r="K339" s="65">
        <v>20.0</v>
      </c>
      <c r="L339" s="65">
        <v>20.0</v>
      </c>
      <c r="M339" s="65">
        <v>20.0</v>
      </c>
      <c r="N339" s="63"/>
      <c r="O339" s="63"/>
      <c r="P339" s="63"/>
      <c r="Q339" s="65">
        <v>20.0</v>
      </c>
      <c r="R339" s="63"/>
      <c r="S339" s="65">
        <v>20.0</v>
      </c>
      <c r="T339" s="65">
        <v>20.0</v>
      </c>
      <c r="U339" s="63"/>
      <c r="V339" s="66"/>
      <c r="W339" s="66"/>
      <c r="X339" s="66"/>
      <c r="Y339" s="66"/>
      <c r="Z339" s="66"/>
      <c r="AA339" s="44">
        <f t="shared" si="118"/>
        <v>210</v>
      </c>
      <c r="AB339" s="31"/>
      <c r="AC339" s="2"/>
    </row>
    <row r="340">
      <c r="A340" s="40" t="s">
        <v>50</v>
      </c>
      <c r="B340" s="64"/>
      <c r="C340" s="64"/>
      <c r="D340" s="63"/>
      <c r="E340" s="65">
        <v>2.0</v>
      </c>
      <c r="F340" s="65">
        <v>2.0</v>
      </c>
      <c r="G340" s="65">
        <v>2.0</v>
      </c>
      <c r="H340" s="65">
        <v>2.0</v>
      </c>
      <c r="I340" s="63"/>
      <c r="J340" s="65">
        <v>3.0</v>
      </c>
      <c r="K340" s="65">
        <v>2.0</v>
      </c>
      <c r="L340" s="65">
        <v>4.0</v>
      </c>
      <c r="M340" s="65">
        <v>4.0</v>
      </c>
      <c r="N340" s="63"/>
      <c r="O340" s="63"/>
      <c r="P340" s="63"/>
      <c r="Q340" s="65">
        <v>4.0</v>
      </c>
      <c r="R340" s="63"/>
      <c r="S340" s="65">
        <v>2.0</v>
      </c>
      <c r="T340" s="65">
        <v>4.0</v>
      </c>
      <c r="U340" s="63"/>
      <c r="V340" s="66"/>
      <c r="W340" s="66"/>
      <c r="X340" s="66"/>
      <c r="Y340" s="66"/>
      <c r="Z340" s="66"/>
      <c r="AA340" s="44">
        <f>AVERAGE(B340:Z340)</f>
        <v>2.818181818</v>
      </c>
      <c r="AB340" s="31"/>
      <c r="AC340" s="2"/>
    </row>
    <row r="341">
      <c r="A341" s="45" t="s">
        <v>51</v>
      </c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7"/>
      <c r="AA341" s="46"/>
      <c r="AB341" s="39"/>
      <c r="AC341" s="2"/>
    </row>
    <row r="342">
      <c r="A342" s="47" t="s">
        <v>48</v>
      </c>
      <c r="B342" s="48"/>
      <c r="C342" s="49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50"/>
      <c r="W342" s="50"/>
      <c r="X342" s="50"/>
      <c r="Y342" s="50"/>
      <c r="Z342" s="50"/>
      <c r="AA342" s="51">
        <f t="shared" ref="AA342:AA343" si="119">SUM(B342:Z342)</f>
        <v>0</v>
      </c>
      <c r="AB342" s="31"/>
      <c r="AC342" s="2"/>
    </row>
    <row r="343">
      <c r="A343" s="47" t="s">
        <v>49</v>
      </c>
      <c r="B343" s="48"/>
      <c r="C343" s="49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50"/>
      <c r="W343" s="50"/>
      <c r="X343" s="50"/>
      <c r="Y343" s="50"/>
      <c r="Z343" s="50"/>
      <c r="AA343" s="51">
        <f t="shared" si="119"/>
        <v>0</v>
      </c>
      <c r="AB343" s="31"/>
      <c r="AC343" s="2"/>
    </row>
    <row r="344">
      <c r="A344" s="47" t="s">
        <v>50</v>
      </c>
      <c r="B344" s="49"/>
      <c r="C344" s="49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50"/>
      <c r="W344" s="50"/>
      <c r="X344" s="50"/>
      <c r="Y344" s="50"/>
      <c r="Z344" s="50"/>
      <c r="AA344" s="51" t="str">
        <f>AVERAGE(B344:Z344)</f>
        <v>#DIV/0!</v>
      </c>
      <c r="AB344" s="31"/>
      <c r="AC344" s="2"/>
    </row>
    <row r="345">
      <c r="A345" s="52" t="s">
        <v>53</v>
      </c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7"/>
      <c r="AA345" s="38"/>
      <c r="AB345" s="39"/>
      <c r="AC345" s="2"/>
    </row>
    <row r="346">
      <c r="A346" s="40" t="s">
        <v>48</v>
      </c>
      <c r="B346" s="41"/>
      <c r="C346" s="42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3"/>
      <c r="W346" s="43"/>
      <c r="X346" s="43"/>
      <c r="Y346" s="43"/>
      <c r="Z346" s="43"/>
      <c r="AA346" s="44">
        <f t="shared" ref="AA346:AA347" si="120">SUM(B346:Z346)</f>
        <v>0</v>
      </c>
      <c r="AB346" s="31"/>
      <c r="AC346" s="2"/>
    </row>
    <row r="347">
      <c r="A347" s="40" t="s">
        <v>49</v>
      </c>
      <c r="B347" s="41"/>
      <c r="C347" s="42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3"/>
      <c r="W347" s="43"/>
      <c r="X347" s="43"/>
      <c r="Y347" s="43"/>
      <c r="Z347" s="43"/>
      <c r="AA347" s="44">
        <f t="shared" si="120"/>
        <v>0</v>
      </c>
      <c r="AB347" s="31"/>
      <c r="AC347" s="2"/>
    </row>
    <row r="348">
      <c r="A348" s="53" t="s">
        <v>50</v>
      </c>
      <c r="B348" s="54"/>
      <c r="C348" s="54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6"/>
      <c r="W348" s="56"/>
      <c r="X348" s="56"/>
      <c r="Y348" s="56"/>
      <c r="Z348" s="56"/>
      <c r="AA348" s="57" t="str">
        <f>AVERAGE(B348:Z348)</f>
        <v>#DIV/0!</v>
      </c>
      <c r="AB348" s="58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59"/>
      <c r="AB349" s="59"/>
      <c r="AC349" s="2"/>
    </row>
    <row r="350">
      <c r="A350" s="13">
        <v>46141.0</v>
      </c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5" t="s">
        <v>37</v>
      </c>
      <c r="AB350" s="16" t="s">
        <v>38</v>
      </c>
      <c r="AC350" s="2"/>
    </row>
    <row r="351">
      <c r="A351" s="17" t="s">
        <v>39</v>
      </c>
      <c r="B351" s="18"/>
      <c r="C351" s="19">
        <v>0.0</v>
      </c>
      <c r="D351" s="19">
        <v>0.0</v>
      </c>
      <c r="E351" s="19">
        <v>0.0</v>
      </c>
      <c r="F351" s="19">
        <v>0.0</v>
      </c>
      <c r="G351" s="19">
        <v>0.0</v>
      </c>
      <c r="H351" s="19">
        <v>0.0</v>
      </c>
      <c r="I351" s="19">
        <v>0.0</v>
      </c>
      <c r="J351" s="19">
        <v>0.0</v>
      </c>
      <c r="K351" s="19">
        <v>0.0</v>
      </c>
      <c r="L351" s="19">
        <v>0.0</v>
      </c>
      <c r="M351" s="19">
        <v>0.0</v>
      </c>
      <c r="N351" s="19">
        <v>0.0</v>
      </c>
      <c r="O351" s="19">
        <v>0.0</v>
      </c>
      <c r="P351" s="19">
        <v>1.0</v>
      </c>
      <c r="Q351" s="19">
        <v>0.0</v>
      </c>
      <c r="R351" s="19">
        <v>0.0</v>
      </c>
      <c r="S351" s="19">
        <v>0.0</v>
      </c>
      <c r="T351" s="19">
        <v>0.0</v>
      </c>
      <c r="U351" s="19">
        <v>0.0</v>
      </c>
      <c r="V351" s="19">
        <v>0.0</v>
      </c>
      <c r="W351" s="19">
        <v>0.0</v>
      </c>
      <c r="X351" s="18"/>
      <c r="Y351" s="18"/>
      <c r="Z351" s="18"/>
      <c r="AA351" s="20">
        <f t="shared" ref="AA351:AA355" si="121">SUM(B351:Z351)</f>
        <v>1</v>
      </c>
      <c r="AB351" s="21">
        <f t="shared" ref="AB351:AB354" si="122">AA351/(COUNT(B351:Z351)*1)</f>
        <v>0.04761904762</v>
      </c>
      <c r="AC351" s="2"/>
    </row>
    <row r="352">
      <c r="A352" s="17" t="s">
        <v>40</v>
      </c>
      <c r="B352" s="18"/>
      <c r="C352" s="19">
        <v>1.0</v>
      </c>
      <c r="D352" s="19">
        <v>1.0</v>
      </c>
      <c r="E352" s="19">
        <v>1.0</v>
      </c>
      <c r="F352" s="19">
        <v>1.0</v>
      </c>
      <c r="G352" s="19">
        <v>1.0</v>
      </c>
      <c r="H352" s="19">
        <v>1.0</v>
      </c>
      <c r="I352" s="19">
        <v>1.0</v>
      </c>
      <c r="J352" s="19">
        <v>1.0</v>
      </c>
      <c r="K352" s="19">
        <v>1.0</v>
      </c>
      <c r="L352" s="19">
        <v>1.0</v>
      </c>
      <c r="M352" s="19">
        <v>1.0</v>
      </c>
      <c r="N352" s="19">
        <v>1.0</v>
      </c>
      <c r="O352" s="19">
        <v>1.0</v>
      </c>
      <c r="P352" s="19">
        <v>1.0</v>
      </c>
      <c r="Q352" s="19">
        <v>1.0</v>
      </c>
      <c r="R352" s="19">
        <v>1.0</v>
      </c>
      <c r="S352" s="19">
        <v>1.0</v>
      </c>
      <c r="T352" s="19">
        <v>1.0</v>
      </c>
      <c r="U352" s="19">
        <v>1.0</v>
      </c>
      <c r="V352" s="19">
        <v>1.0</v>
      </c>
      <c r="W352" s="19">
        <v>1.0</v>
      </c>
      <c r="X352" s="18"/>
      <c r="Y352" s="18"/>
      <c r="Z352" s="18"/>
      <c r="AA352" s="20">
        <f t="shared" si="121"/>
        <v>21</v>
      </c>
      <c r="AB352" s="21">
        <f t="shared" si="122"/>
        <v>1</v>
      </c>
      <c r="AC352" s="2"/>
    </row>
    <row r="353">
      <c r="A353" s="17" t="s">
        <v>41</v>
      </c>
      <c r="B353" s="18"/>
      <c r="C353" s="19">
        <v>0.0</v>
      </c>
      <c r="D353" s="19">
        <v>0.0</v>
      </c>
      <c r="E353" s="19">
        <v>0.0</v>
      </c>
      <c r="F353" s="19">
        <v>0.0</v>
      </c>
      <c r="G353" s="19">
        <v>0.0</v>
      </c>
      <c r="H353" s="19">
        <v>0.0</v>
      </c>
      <c r="I353" s="19">
        <v>0.0</v>
      </c>
      <c r="J353" s="19">
        <v>0.0</v>
      </c>
      <c r="K353" s="19">
        <v>0.0</v>
      </c>
      <c r="L353" s="19">
        <v>0.0</v>
      </c>
      <c r="M353" s="19">
        <v>0.0</v>
      </c>
      <c r="N353" s="19">
        <v>0.0</v>
      </c>
      <c r="O353" s="19">
        <v>0.0</v>
      </c>
      <c r="P353" s="19">
        <v>1.0</v>
      </c>
      <c r="Q353" s="19">
        <v>0.0</v>
      </c>
      <c r="R353" s="19">
        <v>0.0</v>
      </c>
      <c r="S353" s="19">
        <v>0.0</v>
      </c>
      <c r="T353" s="19">
        <v>0.0</v>
      </c>
      <c r="U353" s="19">
        <v>0.0</v>
      </c>
      <c r="V353" s="19">
        <v>0.0</v>
      </c>
      <c r="W353" s="19">
        <v>0.0</v>
      </c>
      <c r="X353" s="18"/>
      <c r="Y353" s="18"/>
      <c r="Z353" s="18"/>
      <c r="AA353" s="20">
        <f t="shared" si="121"/>
        <v>1</v>
      </c>
      <c r="AB353" s="21">
        <f t="shared" si="122"/>
        <v>0.04761904762</v>
      </c>
      <c r="AC353" s="2"/>
    </row>
    <row r="354">
      <c r="A354" s="17" t="s">
        <v>42</v>
      </c>
      <c r="B354" s="18"/>
      <c r="C354" s="19">
        <v>1.0</v>
      </c>
      <c r="D354" s="19">
        <v>1.0</v>
      </c>
      <c r="E354" s="19">
        <v>1.0</v>
      </c>
      <c r="F354" s="19">
        <v>1.0</v>
      </c>
      <c r="G354" s="19">
        <v>1.0</v>
      </c>
      <c r="H354" s="19">
        <v>1.0</v>
      </c>
      <c r="I354" s="19">
        <v>1.0</v>
      </c>
      <c r="J354" s="19">
        <v>1.0</v>
      </c>
      <c r="K354" s="19">
        <v>1.0</v>
      </c>
      <c r="L354" s="19">
        <v>1.0</v>
      </c>
      <c r="M354" s="19">
        <v>1.0</v>
      </c>
      <c r="N354" s="19">
        <v>1.0</v>
      </c>
      <c r="O354" s="19">
        <v>1.0</v>
      </c>
      <c r="P354" s="19">
        <v>1.0</v>
      </c>
      <c r="Q354" s="19">
        <v>1.0</v>
      </c>
      <c r="R354" s="19">
        <v>1.0</v>
      </c>
      <c r="S354" s="19">
        <v>1.0</v>
      </c>
      <c r="T354" s="19">
        <v>1.0</v>
      </c>
      <c r="U354" s="19">
        <v>1.0</v>
      </c>
      <c r="V354" s="19">
        <v>1.0</v>
      </c>
      <c r="W354" s="19">
        <v>1.0</v>
      </c>
      <c r="X354" s="18"/>
      <c r="Y354" s="18"/>
      <c r="Z354" s="18"/>
      <c r="AA354" s="20">
        <f t="shared" si="121"/>
        <v>21</v>
      </c>
      <c r="AB354" s="21">
        <f t="shared" si="122"/>
        <v>1</v>
      </c>
      <c r="AC354" s="2"/>
    </row>
    <row r="355">
      <c r="A355" s="17" t="s">
        <v>43</v>
      </c>
      <c r="B355" s="22">
        <f t="shared" ref="B355:Z355" si="123">SUM(B351:B354)</f>
        <v>0</v>
      </c>
      <c r="C355" s="22">
        <f t="shared" si="123"/>
        <v>2</v>
      </c>
      <c r="D355" s="22">
        <f t="shared" si="123"/>
        <v>2</v>
      </c>
      <c r="E355" s="22">
        <f t="shared" si="123"/>
        <v>2</v>
      </c>
      <c r="F355" s="22">
        <f t="shared" si="123"/>
        <v>2</v>
      </c>
      <c r="G355" s="22">
        <f t="shared" si="123"/>
        <v>2</v>
      </c>
      <c r="H355" s="22">
        <f t="shared" si="123"/>
        <v>2</v>
      </c>
      <c r="I355" s="22">
        <f t="shared" si="123"/>
        <v>2</v>
      </c>
      <c r="J355" s="22">
        <f t="shared" si="123"/>
        <v>2</v>
      </c>
      <c r="K355" s="22">
        <f t="shared" si="123"/>
        <v>2</v>
      </c>
      <c r="L355" s="22">
        <f t="shared" si="123"/>
        <v>2</v>
      </c>
      <c r="M355" s="22">
        <f t="shared" si="123"/>
        <v>2</v>
      </c>
      <c r="N355" s="22">
        <f t="shared" si="123"/>
        <v>2</v>
      </c>
      <c r="O355" s="22">
        <f t="shared" si="123"/>
        <v>2</v>
      </c>
      <c r="P355" s="22">
        <f t="shared" si="123"/>
        <v>4</v>
      </c>
      <c r="Q355" s="22">
        <f t="shared" si="123"/>
        <v>2</v>
      </c>
      <c r="R355" s="22">
        <f t="shared" si="123"/>
        <v>2</v>
      </c>
      <c r="S355" s="22">
        <f t="shared" si="123"/>
        <v>2</v>
      </c>
      <c r="T355" s="22">
        <f t="shared" si="123"/>
        <v>2</v>
      </c>
      <c r="U355" s="22">
        <f t="shared" si="123"/>
        <v>2</v>
      </c>
      <c r="V355" s="22">
        <f t="shared" si="123"/>
        <v>2</v>
      </c>
      <c r="W355" s="22">
        <f t="shared" si="123"/>
        <v>2</v>
      </c>
      <c r="X355" s="22">
        <f t="shared" si="123"/>
        <v>0</v>
      </c>
      <c r="Y355" s="22">
        <f t="shared" si="123"/>
        <v>0</v>
      </c>
      <c r="Z355" s="22">
        <f t="shared" si="123"/>
        <v>0</v>
      </c>
      <c r="AA355" s="20">
        <f t="shared" si="121"/>
        <v>44</v>
      </c>
      <c r="AB355" s="23"/>
      <c r="AC355" s="2"/>
    </row>
    <row r="356">
      <c r="A356" s="17" t="s">
        <v>38</v>
      </c>
      <c r="B356" s="24" t="str">
        <f t="shared" ref="B356:Z356" si="124">B355/(COUNT(B351:B354)*1)</f>
        <v>#DIV/0!</v>
      </c>
      <c r="C356" s="24">
        <f t="shared" si="124"/>
        <v>0.5</v>
      </c>
      <c r="D356" s="24">
        <f t="shared" si="124"/>
        <v>0.5</v>
      </c>
      <c r="E356" s="24">
        <f t="shared" si="124"/>
        <v>0.5</v>
      </c>
      <c r="F356" s="24">
        <f t="shared" si="124"/>
        <v>0.5</v>
      </c>
      <c r="G356" s="24">
        <f t="shared" si="124"/>
        <v>0.5</v>
      </c>
      <c r="H356" s="24">
        <f t="shared" si="124"/>
        <v>0.5</v>
      </c>
      <c r="I356" s="24">
        <f t="shared" si="124"/>
        <v>0.5</v>
      </c>
      <c r="J356" s="24">
        <f t="shared" si="124"/>
        <v>0.5</v>
      </c>
      <c r="K356" s="24">
        <f t="shared" si="124"/>
        <v>0.5</v>
      </c>
      <c r="L356" s="24">
        <f t="shared" si="124"/>
        <v>0.5</v>
      </c>
      <c r="M356" s="24">
        <f t="shared" si="124"/>
        <v>0.5</v>
      </c>
      <c r="N356" s="24">
        <f t="shared" si="124"/>
        <v>0.5</v>
      </c>
      <c r="O356" s="24">
        <f t="shared" si="124"/>
        <v>0.5</v>
      </c>
      <c r="P356" s="24">
        <f t="shared" si="124"/>
        <v>1</v>
      </c>
      <c r="Q356" s="24">
        <f t="shared" si="124"/>
        <v>0.5</v>
      </c>
      <c r="R356" s="24">
        <f t="shared" si="124"/>
        <v>0.5</v>
      </c>
      <c r="S356" s="24">
        <f t="shared" si="124"/>
        <v>0.5</v>
      </c>
      <c r="T356" s="24">
        <f t="shared" si="124"/>
        <v>0.5</v>
      </c>
      <c r="U356" s="24">
        <f t="shared" si="124"/>
        <v>0.5</v>
      </c>
      <c r="V356" s="24">
        <f t="shared" si="124"/>
        <v>0.5</v>
      </c>
      <c r="W356" s="24">
        <f t="shared" si="124"/>
        <v>0.5</v>
      </c>
      <c r="X356" s="24" t="str">
        <f t="shared" si="124"/>
        <v>#DIV/0!</v>
      </c>
      <c r="Y356" s="24" t="str">
        <f t="shared" si="124"/>
        <v>#DIV/0!</v>
      </c>
      <c r="Z356" s="24" t="str">
        <f t="shared" si="124"/>
        <v>#DIV/0!</v>
      </c>
      <c r="AA356" s="25"/>
      <c r="AB356" s="26">
        <f>SUM(AB351:AB354)/4</f>
        <v>0.5238095238</v>
      </c>
      <c r="AC356" s="2"/>
    </row>
    <row r="357">
      <c r="A357" s="27" t="s">
        <v>44</v>
      </c>
      <c r="B357" s="60"/>
      <c r="C357" s="61"/>
      <c r="D357" s="68">
        <v>20.0</v>
      </c>
      <c r="E357" s="68">
        <v>20.0</v>
      </c>
      <c r="F357" s="68">
        <v>20.0</v>
      </c>
      <c r="G357" s="68">
        <v>20.0</v>
      </c>
      <c r="H357" s="68">
        <v>20.0</v>
      </c>
      <c r="I357" s="68">
        <v>20.0</v>
      </c>
      <c r="J357" s="68">
        <v>20.0</v>
      </c>
      <c r="K357" s="68">
        <v>20.0</v>
      </c>
      <c r="L357" s="68">
        <v>20.0</v>
      </c>
      <c r="M357" s="68">
        <v>20.0</v>
      </c>
      <c r="N357" s="68">
        <v>20.0</v>
      </c>
      <c r="O357" s="68">
        <v>20.0</v>
      </c>
      <c r="P357" s="60"/>
      <c r="Q357" s="60"/>
      <c r="R357" s="68">
        <v>20.0</v>
      </c>
      <c r="S357" s="68">
        <v>20.0</v>
      </c>
      <c r="T357" s="68">
        <v>20.0</v>
      </c>
      <c r="U357" s="68">
        <v>20.0</v>
      </c>
      <c r="V357" s="68">
        <v>20.0</v>
      </c>
      <c r="W357" s="68">
        <v>20.0</v>
      </c>
      <c r="X357" s="60"/>
      <c r="Y357" s="60"/>
      <c r="Z357" s="60"/>
      <c r="AA357" s="30">
        <f t="shared" ref="AA357:AA359" si="125">SUM(B357:Z357)</f>
        <v>360</v>
      </c>
      <c r="AB357" s="31"/>
      <c r="AC357" s="2"/>
    </row>
    <row r="358">
      <c r="A358" s="32" t="s">
        <v>45</v>
      </c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128"/>
      <c r="M358" s="62"/>
      <c r="N358" s="62"/>
      <c r="O358" s="62"/>
      <c r="P358" s="128">
        <v>1.0</v>
      </c>
      <c r="Q358" s="128">
        <v>1.0</v>
      </c>
      <c r="R358" s="62"/>
      <c r="S358" s="62"/>
      <c r="T358" s="62"/>
      <c r="U358" s="62"/>
      <c r="V358" s="60"/>
      <c r="W358" s="60"/>
      <c r="X358" s="60"/>
      <c r="Y358" s="60"/>
      <c r="Z358" s="60"/>
      <c r="AA358" s="30">
        <f t="shared" si="125"/>
        <v>2</v>
      </c>
      <c r="AB358" s="31"/>
      <c r="AC358" s="9"/>
    </row>
    <row r="359">
      <c r="A359" s="34" t="s">
        <v>46</v>
      </c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0"/>
      <c r="W359" s="60"/>
      <c r="X359" s="60"/>
      <c r="Y359" s="60"/>
      <c r="Z359" s="60"/>
      <c r="AA359" s="30">
        <f t="shared" si="125"/>
        <v>0</v>
      </c>
      <c r="AB359" s="31"/>
      <c r="AC359" s="9"/>
    </row>
    <row r="360">
      <c r="A360" s="35" t="s">
        <v>47</v>
      </c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7"/>
      <c r="AA360" s="38"/>
      <c r="AB360" s="39"/>
      <c r="AC360" s="2"/>
    </row>
    <row r="361">
      <c r="A361" s="40" t="s">
        <v>48</v>
      </c>
      <c r="B361" s="63"/>
      <c r="C361" s="65">
        <v>1.0</v>
      </c>
      <c r="D361" s="65">
        <v>1.0</v>
      </c>
      <c r="E361" s="65">
        <v>1.0</v>
      </c>
      <c r="F361" s="65">
        <v>1.0</v>
      </c>
      <c r="G361" s="65">
        <v>1.0</v>
      </c>
      <c r="H361" s="65">
        <v>1.0</v>
      </c>
      <c r="I361" s="65">
        <v>1.0</v>
      </c>
      <c r="J361" s="65">
        <v>1.0</v>
      </c>
      <c r="K361" s="65">
        <v>1.0</v>
      </c>
      <c r="L361" s="65">
        <v>1.0</v>
      </c>
      <c r="M361" s="65">
        <v>1.0</v>
      </c>
      <c r="N361" s="65">
        <v>1.0</v>
      </c>
      <c r="O361" s="65">
        <v>1.0</v>
      </c>
      <c r="P361" s="65"/>
      <c r="Q361" s="65">
        <v>1.0</v>
      </c>
      <c r="R361" s="65">
        <v>1.0</v>
      </c>
      <c r="S361" s="65">
        <v>1.0</v>
      </c>
      <c r="T361" s="65">
        <v>1.0</v>
      </c>
      <c r="U361" s="65">
        <v>1.0</v>
      </c>
      <c r="V361" s="69">
        <v>1.0</v>
      </c>
      <c r="W361" s="69">
        <v>1.0</v>
      </c>
      <c r="X361" s="66"/>
      <c r="Y361" s="66"/>
      <c r="Z361" s="66"/>
      <c r="AA361" s="44">
        <f t="shared" ref="AA361:AA362" si="126">SUM(B361:Z361)</f>
        <v>20</v>
      </c>
      <c r="AB361" s="31"/>
      <c r="AC361" s="2"/>
    </row>
    <row r="362">
      <c r="A362" s="40" t="s">
        <v>49</v>
      </c>
      <c r="B362" s="63"/>
      <c r="C362" s="69">
        <v>10.0</v>
      </c>
      <c r="D362" s="65">
        <v>10.0</v>
      </c>
      <c r="E362" s="69">
        <v>20.0</v>
      </c>
      <c r="F362" s="69">
        <v>20.0</v>
      </c>
      <c r="G362" s="69">
        <v>20.0</v>
      </c>
      <c r="H362" s="69">
        <v>20.0</v>
      </c>
      <c r="I362" s="69">
        <v>20.0</v>
      </c>
      <c r="J362" s="69">
        <v>20.0</v>
      </c>
      <c r="K362" s="69">
        <v>20.0</v>
      </c>
      <c r="L362" s="69">
        <v>20.0</v>
      </c>
      <c r="M362" s="69">
        <v>20.0</v>
      </c>
      <c r="N362" s="69">
        <v>20.0</v>
      </c>
      <c r="O362" s="69">
        <v>20.0</v>
      </c>
      <c r="P362" s="63"/>
      <c r="Q362" s="69">
        <v>20.0</v>
      </c>
      <c r="R362" s="69">
        <v>20.0</v>
      </c>
      <c r="S362" s="69">
        <v>20.0</v>
      </c>
      <c r="T362" s="69">
        <v>20.0</v>
      </c>
      <c r="U362" s="69">
        <v>20.0</v>
      </c>
      <c r="V362" s="69">
        <v>20.0</v>
      </c>
      <c r="W362" s="69">
        <v>10.0</v>
      </c>
      <c r="X362" s="66"/>
      <c r="Y362" s="66"/>
      <c r="Z362" s="66"/>
      <c r="AA362" s="44">
        <f t="shared" si="126"/>
        <v>370</v>
      </c>
      <c r="AB362" s="31"/>
      <c r="AC362" s="2"/>
    </row>
    <row r="363">
      <c r="A363" s="40" t="s">
        <v>50</v>
      </c>
      <c r="B363" s="64"/>
      <c r="C363" s="65">
        <v>1.0</v>
      </c>
      <c r="D363" s="65">
        <v>1.0</v>
      </c>
      <c r="E363" s="65">
        <v>1.0</v>
      </c>
      <c r="F363" s="65">
        <v>1.0</v>
      </c>
      <c r="G363" s="65">
        <v>1.0</v>
      </c>
      <c r="H363" s="65">
        <v>1.0</v>
      </c>
      <c r="I363" s="65">
        <v>1.0</v>
      </c>
      <c r="J363" s="65">
        <v>1.0</v>
      </c>
      <c r="K363" s="65">
        <v>1.0</v>
      </c>
      <c r="L363" s="65">
        <v>1.0</v>
      </c>
      <c r="M363" s="65">
        <v>1.0</v>
      </c>
      <c r="N363" s="65">
        <v>1.0</v>
      </c>
      <c r="O363" s="65">
        <v>1.0</v>
      </c>
      <c r="P363" s="63"/>
      <c r="Q363" s="65">
        <v>1.0</v>
      </c>
      <c r="R363" s="65">
        <v>1.0</v>
      </c>
      <c r="S363" s="65">
        <v>1.0</v>
      </c>
      <c r="T363" s="65">
        <v>1.0</v>
      </c>
      <c r="U363" s="65">
        <v>1.0</v>
      </c>
      <c r="V363" s="69">
        <v>1.0</v>
      </c>
      <c r="W363" s="69">
        <v>1.0</v>
      </c>
      <c r="X363" s="66"/>
      <c r="Y363" s="66"/>
      <c r="Z363" s="66"/>
      <c r="AA363" s="44">
        <f>AVERAGE(B363:Z363)</f>
        <v>1</v>
      </c>
      <c r="AB363" s="31"/>
      <c r="AC363" s="2"/>
    </row>
    <row r="364">
      <c r="A364" s="45" t="s">
        <v>51</v>
      </c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7"/>
      <c r="AA364" s="46"/>
      <c r="AB364" s="39"/>
      <c r="AC364" s="2"/>
    </row>
    <row r="365">
      <c r="A365" s="47" t="s">
        <v>48</v>
      </c>
      <c r="B365" s="48"/>
      <c r="C365" s="49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50"/>
      <c r="W365" s="50"/>
      <c r="X365" s="50"/>
      <c r="Y365" s="50"/>
      <c r="Z365" s="50"/>
      <c r="AA365" s="51">
        <f t="shared" ref="AA365:AA366" si="127">SUM(B365:Z365)</f>
        <v>0</v>
      </c>
      <c r="AB365" s="31"/>
      <c r="AC365" s="2"/>
    </row>
    <row r="366">
      <c r="A366" s="47" t="s">
        <v>49</v>
      </c>
      <c r="B366" s="48"/>
      <c r="C366" s="49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50"/>
      <c r="W366" s="50"/>
      <c r="X366" s="50"/>
      <c r="Y366" s="50"/>
      <c r="Z366" s="50"/>
      <c r="AA366" s="51">
        <f t="shared" si="127"/>
        <v>0</v>
      </c>
      <c r="AB366" s="31"/>
      <c r="AC366" s="2"/>
    </row>
    <row r="367">
      <c r="A367" s="47" t="s">
        <v>50</v>
      </c>
      <c r="B367" s="49"/>
      <c r="C367" s="49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50"/>
      <c r="W367" s="50"/>
      <c r="X367" s="50"/>
      <c r="Y367" s="50"/>
      <c r="Z367" s="50"/>
      <c r="AA367" s="51" t="str">
        <f>AVERAGE(B367:Z367)</f>
        <v>#DIV/0!</v>
      </c>
      <c r="AB367" s="31"/>
      <c r="AC367" s="2"/>
    </row>
    <row r="368">
      <c r="A368" s="52" t="s">
        <v>53</v>
      </c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8"/>
      <c r="AB368" s="39"/>
      <c r="AC368" s="2"/>
    </row>
    <row r="369">
      <c r="A369" s="40" t="s">
        <v>48</v>
      </c>
      <c r="B369" s="41"/>
      <c r="C369" s="42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3"/>
      <c r="W369" s="43"/>
      <c r="X369" s="43"/>
      <c r="Y369" s="43"/>
      <c r="Z369" s="43"/>
      <c r="AA369" s="44">
        <f t="shared" ref="AA369:AA370" si="128">SUM(B369:Z369)</f>
        <v>0</v>
      </c>
      <c r="AB369" s="31"/>
      <c r="AC369" s="2"/>
    </row>
    <row r="370">
      <c r="A370" s="40" t="s">
        <v>49</v>
      </c>
      <c r="B370" s="41"/>
      <c r="C370" s="42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3"/>
      <c r="W370" s="43"/>
      <c r="X370" s="43"/>
      <c r="Y370" s="43"/>
      <c r="Z370" s="43"/>
      <c r="AA370" s="44">
        <f t="shared" si="128"/>
        <v>0</v>
      </c>
      <c r="AB370" s="31"/>
      <c r="AC370" s="2"/>
    </row>
    <row r="371">
      <c r="A371" s="53" t="s">
        <v>50</v>
      </c>
      <c r="B371" s="54"/>
      <c r="C371" s="54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6"/>
      <c r="W371" s="56"/>
      <c r="X371" s="56"/>
      <c r="Y371" s="56"/>
      <c r="Z371" s="56"/>
      <c r="AA371" s="57" t="str">
        <f>AVERAGE(B371:Z371)</f>
        <v>#DIV/0!</v>
      </c>
      <c r="AB371" s="58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59"/>
      <c r="AB372" s="59"/>
      <c r="AC372" s="2"/>
    </row>
    <row r="373">
      <c r="A373" s="13">
        <v>46142.0</v>
      </c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5" t="s">
        <v>37</v>
      </c>
      <c r="AB373" s="16" t="s">
        <v>38</v>
      </c>
      <c r="AC373" s="2"/>
    </row>
    <row r="374">
      <c r="A374" s="17" t="s">
        <v>39</v>
      </c>
      <c r="B374" s="19">
        <v>1.0</v>
      </c>
      <c r="C374" s="19">
        <v>1.0</v>
      </c>
      <c r="D374" s="19">
        <v>1.0</v>
      </c>
      <c r="E374" s="19">
        <v>0.0</v>
      </c>
      <c r="F374" s="19">
        <v>0.0</v>
      </c>
      <c r="G374" s="19">
        <v>1.0</v>
      </c>
      <c r="H374" s="19">
        <v>1.0</v>
      </c>
      <c r="I374" s="19">
        <v>0.0</v>
      </c>
      <c r="J374" s="19">
        <v>1.0</v>
      </c>
      <c r="K374" s="19">
        <v>1.0</v>
      </c>
      <c r="L374" s="19">
        <v>1.0</v>
      </c>
      <c r="M374" s="19">
        <v>1.0</v>
      </c>
      <c r="N374" s="19">
        <v>0.0</v>
      </c>
      <c r="O374" s="19">
        <v>1.0</v>
      </c>
      <c r="P374" s="19">
        <v>1.0</v>
      </c>
      <c r="Q374" s="19">
        <v>1.0</v>
      </c>
      <c r="R374" s="19">
        <v>0.0</v>
      </c>
      <c r="S374" s="19">
        <v>0.0</v>
      </c>
      <c r="T374" s="19">
        <v>0.0</v>
      </c>
      <c r="U374" s="19">
        <v>0.0</v>
      </c>
      <c r="V374" s="19">
        <v>0.0</v>
      </c>
      <c r="W374" s="19">
        <v>0.0</v>
      </c>
      <c r="X374" s="19">
        <v>0.0</v>
      </c>
      <c r="Y374" s="18"/>
      <c r="Z374" s="18"/>
      <c r="AA374" s="20">
        <f t="shared" ref="AA374:AA378" si="129">SUM(B374:Z374)</f>
        <v>12</v>
      </c>
      <c r="AB374" s="21">
        <f t="shared" ref="AB374:AB377" si="130">AA374/(COUNT(B374:Z374)*1)</f>
        <v>0.5217391304</v>
      </c>
      <c r="AC374" s="2"/>
    </row>
    <row r="375">
      <c r="A375" s="17" t="s">
        <v>40</v>
      </c>
      <c r="B375" s="19">
        <v>1.0</v>
      </c>
      <c r="C375" s="19">
        <v>1.0</v>
      </c>
      <c r="D375" s="19">
        <v>1.0</v>
      </c>
      <c r="E375" s="19">
        <v>1.0</v>
      </c>
      <c r="F375" s="19">
        <v>0.0</v>
      </c>
      <c r="G375" s="19">
        <v>0.0</v>
      </c>
      <c r="H375" s="19">
        <v>1.0</v>
      </c>
      <c r="I375" s="19">
        <v>0.0</v>
      </c>
      <c r="J375" s="19">
        <v>1.0</v>
      </c>
      <c r="K375" s="19">
        <v>1.0</v>
      </c>
      <c r="L375" s="19">
        <v>1.0</v>
      </c>
      <c r="M375" s="19">
        <v>1.0</v>
      </c>
      <c r="N375" s="19">
        <v>1.0</v>
      </c>
      <c r="O375" s="19">
        <v>1.0</v>
      </c>
      <c r="P375" s="19">
        <v>1.0</v>
      </c>
      <c r="Q375" s="19">
        <v>1.0</v>
      </c>
      <c r="R375" s="19">
        <v>1.0</v>
      </c>
      <c r="S375" s="19">
        <v>1.0</v>
      </c>
      <c r="T375" s="19">
        <v>0.0</v>
      </c>
      <c r="U375" s="19">
        <v>1.0</v>
      </c>
      <c r="V375" s="19">
        <v>0.0</v>
      </c>
      <c r="W375" s="19">
        <v>0.0</v>
      </c>
      <c r="X375" s="19">
        <v>1.0</v>
      </c>
      <c r="Y375" s="18"/>
      <c r="Z375" s="18"/>
      <c r="AA375" s="20">
        <f t="shared" si="129"/>
        <v>17</v>
      </c>
      <c r="AB375" s="21">
        <f t="shared" si="130"/>
        <v>0.7391304348</v>
      </c>
      <c r="AC375" s="2"/>
    </row>
    <row r="376">
      <c r="A376" s="17" t="s">
        <v>41</v>
      </c>
      <c r="B376" s="19">
        <v>1.0</v>
      </c>
      <c r="C376" s="19">
        <v>1.0</v>
      </c>
      <c r="D376" s="19">
        <v>1.0</v>
      </c>
      <c r="E376" s="19">
        <v>0.0</v>
      </c>
      <c r="F376" s="19">
        <v>0.0</v>
      </c>
      <c r="G376" s="19">
        <v>0.0</v>
      </c>
      <c r="H376" s="19">
        <v>0.0</v>
      </c>
      <c r="I376" s="19">
        <v>0.0</v>
      </c>
      <c r="J376" s="19">
        <v>1.0</v>
      </c>
      <c r="K376" s="19">
        <v>0.0</v>
      </c>
      <c r="L376" s="19">
        <v>0.0</v>
      </c>
      <c r="M376" s="19">
        <v>1.0</v>
      </c>
      <c r="N376" s="19">
        <v>1.0</v>
      </c>
      <c r="O376" s="19">
        <v>1.0</v>
      </c>
      <c r="P376" s="19">
        <v>1.0</v>
      </c>
      <c r="Q376" s="19">
        <v>1.0</v>
      </c>
      <c r="R376" s="19">
        <v>0.0</v>
      </c>
      <c r="S376" s="19">
        <v>0.0</v>
      </c>
      <c r="T376" s="19">
        <v>0.0</v>
      </c>
      <c r="U376" s="19">
        <v>1.0</v>
      </c>
      <c r="V376" s="19">
        <v>0.0</v>
      </c>
      <c r="W376" s="19">
        <v>0.0</v>
      </c>
      <c r="X376" s="19">
        <v>0.0</v>
      </c>
      <c r="Y376" s="18"/>
      <c r="Z376" s="18"/>
      <c r="AA376" s="20">
        <f t="shared" si="129"/>
        <v>10</v>
      </c>
      <c r="AB376" s="21">
        <f t="shared" si="130"/>
        <v>0.4347826087</v>
      </c>
      <c r="AC376" s="2"/>
    </row>
    <row r="377">
      <c r="A377" s="17" t="s">
        <v>42</v>
      </c>
      <c r="B377" s="19">
        <v>1.0</v>
      </c>
      <c r="C377" s="19">
        <v>0.0</v>
      </c>
      <c r="D377" s="19">
        <v>0.0</v>
      </c>
      <c r="E377" s="19">
        <v>0.0</v>
      </c>
      <c r="F377" s="19">
        <v>0.0</v>
      </c>
      <c r="G377" s="19">
        <v>1.0</v>
      </c>
      <c r="H377" s="19">
        <v>0.0</v>
      </c>
      <c r="I377" s="19">
        <v>0.0</v>
      </c>
      <c r="J377" s="19">
        <v>1.0</v>
      </c>
      <c r="K377" s="19">
        <v>1.0</v>
      </c>
      <c r="L377" s="19">
        <v>0.0</v>
      </c>
      <c r="M377" s="19">
        <v>1.0</v>
      </c>
      <c r="N377" s="19">
        <v>1.0</v>
      </c>
      <c r="O377" s="19">
        <v>1.0</v>
      </c>
      <c r="P377" s="19">
        <v>1.0</v>
      </c>
      <c r="Q377" s="19">
        <v>1.0</v>
      </c>
      <c r="R377" s="19">
        <v>1.0</v>
      </c>
      <c r="S377" s="19">
        <v>0.0</v>
      </c>
      <c r="T377" s="19">
        <v>0.0</v>
      </c>
      <c r="U377" s="19">
        <v>0.0</v>
      </c>
      <c r="V377" s="19">
        <v>0.0</v>
      </c>
      <c r="W377" s="19">
        <v>0.0</v>
      </c>
      <c r="X377" s="19">
        <v>1.0</v>
      </c>
      <c r="Y377" s="18"/>
      <c r="Z377" s="18"/>
      <c r="AA377" s="20">
        <f t="shared" si="129"/>
        <v>11</v>
      </c>
      <c r="AB377" s="21">
        <f t="shared" si="130"/>
        <v>0.4782608696</v>
      </c>
      <c r="AC377" s="2"/>
    </row>
    <row r="378">
      <c r="A378" s="17" t="s">
        <v>43</v>
      </c>
      <c r="B378" s="22">
        <f t="shared" ref="B378:Z378" si="131">SUM(B374:B377)</f>
        <v>4</v>
      </c>
      <c r="C378" s="22">
        <f t="shared" si="131"/>
        <v>3</v>
      </c>
      <c r="D378" s="22">
        <f t="shared" si="131"/>
        <v>3</v>
      </c>
      <c r="E378" s="22">
        <f t="shared" si="131"/>
        <v>1</v>
      </c>
      <c r="F378" s="22">
        <f t="shared" si="131"/>
        <v>0</v>
      </c>
      <c r="G378" s="22">
        <f t="shared" si="131"/>
        <v>2</v>
      </c>
      <c r="H378" s="22">
        <f t="shared" si="131"/>
        <v>2</v>
      </c>
      <c r="I378" s="22">
        <f t="shared" si="131"/>
        <v>0</v>
      </c>
      <c r="J378" s="22">
        <f t="shared" si="131"/>
        <v>4</v>
      </c>
      <c r="K378" s="22">
        <f t="shared" si="131"/>
        <v>3</v>
      </c>
      <c r="L378" s="22">
        <f t="shared" si="131"/>
        <v>2</v>
      </c>
      <c r="M378" s="22">
        <f t="shared" si="131"/>
        <v>4</v>
      </c>
      <c r="N378" s="22">
        <f t="shared" si="131"/>
        <v>3</v>
      </c>
      <c r="O378" s="22">
        <f t="shared" si="131"/>
        <v>4</v>
      </c>
      <c r="P378" s="22">
        <f t="shared" si="131"/>
        <v>4</v>
      </c>
      <c r="Q378" s="22">
        <f t="shared" si="131"/>
        <v>4</v>
      </c>
      <c r="R378" s="22">
        <f t="shared" si="131"/>
        <v>2</v>
      </c>
      <c r="S378" s="22">
        <f t="shared" si="131"/>
        <v>1</v>
      </c>
      <c r="T378" s="22">
        <f t="shared" si="131"/>
        <v>0</v>
      </c>
      <c r="U378" s="22">
        <f t="shared" si="131"/>
        <v>2</v>
      </c>
      <c r="V378" s="22">
        <f t="shared" si="131"/>
        <v>0</v>
      </c>
      <c r="W378" s="22">
        <f t="shared" si="131"/>
        <v>0</v>
      </c>
      <c r="X378" s="22">
        <f t="shared" si="131"/>
        <v>2</v>
      </c>
      <c r="Y378" s="22">
        <f t="shared" si="131"/>
        <v>0</v>
      </c>
      <c r="Z378" s="22">
        <f t="shared" si="131"/>
        <v>0</v>
      </c>
      <c r="AA378" s="20">
        <f t="shared" si="129"/>
        <v>50</v>
      </c>
      <c r="AB378" s="23"/>
      <c r="AC378" s="2"/>
    </row>
    <row r="379">
      <c r="A379" s="17" t="s">
        <v>38</v>
      </c>
      <c r="B379" s="24">
        <f t="shared" ref="B379:Z379" si="132">B378/(COUNT(B374:B377)*1)</f>
        <v>1</v>
      </c>
      <c r="C379" s="24">
        <f t="shared" si="132"/>
        <v>0.75</v>
      </c>
      <c r="D379" s="24">
        <f t="shared" si="132"/>
        <v>0.75</v>
      </c>
      <c r="E379" s="24">
        <f t="shared" si="132"/>
        <v>0.25</v>
      </c>
      <c r="F379" s="24">
        <f t="shared" si="132"/>
        <v>0</v>
      </c>
      <c r="G379" s="24">
        <f t="shared" si="132"/>
        <v>0.5</v>
      </c>
      <c r="H379" s="24">
        <f t="shared" si="132"/>
        <v>0.5</v>
      </c>
      <c r="I379" s="24">
        <f t="shared" si="132"/>
        <v>0</v>
      </c>
      <c r="J379" s="24">
        <f t="shared" si="132"/>
        <v>1</v>
      </c>
      <c r="K379" s="24">
        <f t="shared" si="132"/>
        <v>0.75</v>
      </c>
      <c r="L379" s="24">
        <f t="shared" si="132"/>
        <v>0.5</v>
      </c>
      <c r="M379" s="24">
        <f t="shared" si="132"/>
        <v>1</v>
      </c>
      <c r="N379" s="24">
        <f t="shared" si="132"/>
        <v>0.75</v>
      </c>
      <c r="O379" s="24">
        <f t="shared" si="132"/>
        <v>1</v>
      </c>
      <c r="P379" s="24">
        <f t="shared" si="132"/>
        <v>1</v>
      </c>
      <c r="Q379" s="24">
        <f t="shared" si="132"/>
        <v>1</v>
      </c>
      <c r="R379" s="24">
        <f t="shared" si="132"/>
        <v>0.5</v>
      </c>
      <c r="S379" s="24">
        <f t="shared" si="132"/>
        <v>0.25</v>
      </c>
      <c r="T379" s="24">
        <f t="shared" si="132"/>
        <v>0</v>
      </c>
      <c r="U379" s="24">
        <f t="shared" si="132"/>
        <v>0.5</v>
      </c>
      <c r="V379" s="24">
        <f t="shared" si="132"/>
        <v>0</v>
      </c>
      <c r="W379" s="24">
        <f t="shared" si="132"/>
        <v>0</v>
      </c>
      <c r="X379" s="24">
        <f t="shared" si="132"/>
        <v>0.5</v>
      </c>
      <c r="Y379" s="24" t="str">
        <f t="shared" si="132"/>
        <v>#DIV/0!</v>
      </c>
      <c r="Z379" s="24" t="str">
        <f t="shared" si="132"/>
        <v>#DIV/0!</v>
      </c>
      <c r="AA379" s="25"/>
      <c r="AB379" s="26">
        <f>SUM(AB374:AB377)/4</f>
        <v>0.5434782609</v>
      </c>
      <c r="AC379" s="2"/>
    </row>
    <row r="380">
      <c r="A380" s="27" t="s">
        <v>44</v>
      </c>
      <c r="B380" s="60"/>
      <c r="C380" s="61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30">
        <f t="shared" ref="AA380:AA382" si="133">SUM(B380:Z380)</f>
        <v>0</v>
      </c>
      <c r="AB380" s="31"/>
      <c r="AC380" s="2"/>
    </row>
    <row r="381">
      <c r="A381" s="32" t="s">
        <v>45</v>
      </c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128">
        <v>4.0</v>
      </c>
      <c r="U381" s="62"/>
      <c r="V381" s="68">
        <v>3.0</v>
      </c>
      <c r="W381" s="68">
        <v>2.0</v>
      </c>
      <c r="X381" s="60"/>
      <c r="Y381" s="60"/>
      <c r="Z381" s="60"/>
      <c r="AA381" s="30">
        <f t="shared" si="133"/>
        <v>9</v>
      </c>
      <c r="AB381" s="31"/>
      <c r="AC381" s="9"/>
    </row>
    <row r="382">
      <c r="A382" s="34" t="s">
        <v>46</v>
      </c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0"/>
      <c r="W382" s="60"/>
      <c r="X382" s="60"/>
      <c r="Y382" s="60"/>
      <c r="Z382" s="60"/>
      <c r="AA382" s="30">
        <f t="shared" si="133"/>
        <v>0</v>
      </c>
      <c r="AB382" s="31"/>
      <c r="AC382" s="9"/>
    </row>
    <row r="383">
      <c r="A383" s="35" t="s">
        <v>47</v>
      </c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7"/>
      <c r="AA383" s="38"/>
      <c r="AB383" s="39"/>
      <c r="AC383" s="2"/>
    </row>
    <row r="384">
      <c r="A384" s="40" t="s">
        <v>48</v>
      </c>
      <c r="B384" s="63"/>
      <c r="C384" s="64"/>
      <c r="D384" s="63"/>
      <c r="E384" s="65">
        <v>1.0</v>
      </c>
      <c r="F384" s="65">
        <v>1.0</v>
      </c>
      <c r="G384" s="63"/>
      <c r="H384" s="63"/>
      <c r="I384" s="65">
        <v>1.0</v>
      </c>
      <c r="J384" s="63"/>
      <c r="K384" s="63"/>
      <c r="L384" s="63"/>
      <c r="M384" s="63"/>
      <c r="N384" s="63"/>
      <c r="O384" s="63"/>
      <c r="P384" s="63"/>
      <c r="Q384" s="63"/>
      <c r="R384" s="65">
        <v>1.0</v>
      </c>
      <c r="S384" s="65">
        <v>1.0</v>
      </c>
      <c r="T384" s="65">
        <v>1.0</v>
      </c>
      <c r="U384" s="65">
        <v>1.0</v>
      </c>
      <c r="V384" s="69">
        <v>1.0</v>
      </c>
      <c r="W384" s="69">
        <v>1.0</v>
      </c>
      <c r="X384" s="69">
        <v>1.0</v>
      </c>
      <c r="Y384" s="66"/>
      <c r="Z384" s="66"/>
      <c r="AA384" s="44">
        <f t="shared" ref="AA384:AA385" si="134">SUM(B384:Z384)</f>
        <v>10</v>
      </c>
      <c r="AB384" s="31"/>
      <c r="AC384" s="2"/>
    </row>
    <row r="385">
      <c r="A385" s="40" t="s">
        <v>49</v>
      </c>
      <c r="B385" s="63"/>
      <c r="C385" s="64"/>
      <c r="D385" s="63"/>
      <c r="E385" s="65">
        <v>20.0</v>
      </c>
      <c r="F385" s="65">
        <v>20.0</v>
      </c>
      <c r="G385" s="63"/>
      <c r="H385" s="63"/>
      <c r="I385" s="65">
        <v>20.0</v>
      </c>
      <c r="J385" s="63"/>
      <c r="K385" s="63"/>
      <c r="L385" s="63"/>
      <c r="M385" s="63"/>
      <c r="N385" s="63"/>
      <c r="O385" s="63"/>
      <c r="P385" s="63"/>
      <c r="Q385" s="63"/>
      <c r="R385" s="65">
        <v>10.0</v>
      </c>
      <c r="S385" s="65">
        <v>15.0</v>
      </c>
      <c r="T385" s="65">
        <v>15.0</v>
      </c>
      <c r="U385" s="65">
        <v>12.0</v>
      </c>
      <c r="V385" s="69">
        <v>20.0</v>
      </c>
      <c r="W385" s="69">
        <v>10.0</v>
      </c>
      <c r="X385" s="69">
        <v>10.0</v>
      </c>
      <c r="Y385" s="66"/>
      <c r="Z385" s="66"/>
      <c r="AA385" s="44">
        <f t="shared" si="134"/>
        <v>152</v>
      </c>
      <c r="AB385" s="31"/>
      <c r="AC385" s="2"/>
    </row>
    <row r="386">
      <c r="A386" s="40" t="s">
        <v>50</v>
      </c>
      <c r="B386" s="64"/>
      <c r="C386" s="64"/>
      <c r="D386" s="63"/>
      <c r="E386" s="65">
        <v>2.0</v>
      </c>
      <c r="F386" s="65">
        <v>3.0</v>
      </c>
      <c r="G386" s="63"/>
      <c r="H386" s="63"/>
      <c r="I386" s="65">
        <v>3.0</v>
      </c>
      <c r="J386" s="63"/>
      <c r="K386" s="63"/>
      <c r="L386" s="63"/>
      <c r="M386" s="63"/>
      <c r="N386" s="63"/>
      <c r="O386" s="63"/>
      <c r="P386" s="63"/>
      <c r="Q386" s="63"/>
      <c r="R386" s="65">
        <v>2.0</v>
      </c>
      <c r="S386" s="65">
        <v>3.0</v>
      </c>
      <c r="T386" s="65">
        <v>2.0</v>
      </c>
      <c r="U386" s="65">
        <v>2.0</v>
      </c>
      <c r="V386" s="69">
        <v>2.0</v>
      </c>
      <c r="W386" s="69">
        <v>3.0</v>
      </c>
      <c r="X386" s="69">
        <v>2.0</v>
      </c>
      <c r="Y386" s="66"/>
      <c r="Z386" s="66"/>
      <c r="AA386" s="44">
        <f>AVERAGE(B386:Z386)</f>
        <v>2.4</v>
      </c>
      <c r="AB386" s="31"/>
      <c r="AC386" s="2"/>
    </row>
    <row r="387">
      <c r="A387" s="45" t="s">
        <v>51</v>
      </c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7"/>
      <c r="AA387" s="46"/>
      <c r="AB387" s="39"/>
      <c r="AC387" s="2"/>
    </row>
    <row r="388">
      <c r="A388" s="47" t="s">
        <v>48</v>
      </c>
      <c r="B388" s="48"/>
      <c r="C388" s="49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50"/>
      <c r="W388" s="50"/>
      <c r="X388" s="50"/>
      <c r="Y388" s="50"/>
      <c r="Z388" s="50"/>
      <c r="AA388" s="51">
        <f t="shared" ref="AA388:AA389" si="135">SUM(B388:Z388)</f>
        <v>0</v>
      </c>
      <c r="AB388" s="31"/>
      <c r="AC388" s="2"/>
    </row>
    <row r="389">
      <c r="A389" s="47" t="s">
        <v>49</v>
      </c>
      <c r="B389" s="48"/>
      <c r="C389" s="49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50"/>
      <c r="W389" s="50"/>
      <c r="X389" s="50"/>
      <c r="Y389" s="50"/>
      <c r="Z389" s="50"/>
      <c r="AA389" s="51">
        <f t="shared" si="135"/>
        <v>0</v>
      </c>
      <c r="AB389" s="31"/>
      <c r="AC389" s="2"/>
    </row>
    <row r="390">
      <c r="A390" s="47" t="s">
        <v>50</v>
      </c>
      <c r="B390" s="49"/>
      <c r="C390" s="49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50"/>
      <c r="W390" s="50"/>
      <c r="X390" s="50"/>
      <c r="Y390" s="50"/>
      <c r="Z390" s="50"/>
      <c r="AA390" s="51" t="str">
        <f>AVERAGE(B390:Z390)</f>
        <v>#DIV/0!</v>
      </c>
      <c r="AB390" s="31"/>
      <c r="AC390" s="2"/>
    </row>
    <row r="391">
      <c r="A391" s="52" t="s">
        <v>53</v>
      </c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7"/>
      <c r="AA391" s="38"/>
      <c r="AB391" s="39"/>
      <c r="AC391" s="2"/>
    </row>
    <row r="392">
      <c r="A392" s="40" t="s">
        <v>48</v>
      </c>
      <c r="B392" s="41"/>
      <c r="C392" s="42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3"/>
      <c r="W392" s="43"/>
      <c r="X392" s="43"/>
      <c r="Y392" s="43"/>
      <c r="Z392" s="43"/>
      <c r="AA392" s="44">
        <f t="shared" ref="AA392:AA393" si="136">SUM(B392:Z392)</f>
        <v>0</v>
      </c>
      <c r="AB392" s="31"/>
      <c r="AC392" s="2"/>
    </row>
    <row r="393">
      <c r="A393" s="40" t="s">
        <v>49</v>
      </c>
      <c r="B393" s="41"/>
      <c r="C393" s="42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3"/>
      <c r="W393" s="43"/>
      <c r="X393" s="43"/>
      <c r="Y393" s="43"/>
      <c r="Z393" s="43"/>
      <c r="AA393" s="44">
        <f t="shared" si="136"/>
        <v>0</v>
      </c>
      <c r="AB393" s="31"/>
      <c r="AC393" s="2"/>
    </row>
    <row r="394">
      <c r="A394" s="53" t="s">
        <v>50</v>
      </c>
      <c r="B394" s="54"/>
      <c r="C394" s="54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6"/>
      <c r="W394" s="56"/>
      <c r="X394" s="56"/>
      <c r="Y394" s="56"/>
      <c r="Z394" s="56"/>
      <c r="AA394" s="57" t="str">
        <f>AVERAGE(B394:Z394)</f>
        <v>#DIV/0!</v>
      </c>
      <c r="AB394" s="58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59"/>
      <c r="AB395" s="59"/>
      <c r="AC395" s="2"/>
    </row>
    <row r="396">
      <c r="A396" s="71" t="s">
        <v>54</v>
      </c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5" t="s">
        <v>37</v>
      </c>
      <c r="AB396" s="16" t="s">
        <v>38</v>
      </c>
      <c r="AC396" s="2"/>
    </row>
    <row r="397">
      <c r="A397" s="17" t="s">
        <v>39</v>
      </c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20">
        <f t="shared" ref="AA397:AA401" si="137">SUM(B397:Z397)</f>
        <v>0</v>
      </c>
      <c r="AB397" s="21" t="str">
        <f t="shared" ref="AB397:AB400" si="138">AA397/(COUNT(B397:Z397)*1)</f>
        <v>#DIV/0!</v>
      </c>
      <c r="AC397" s="2"/>
    </row>
    <row r="398">
      <c r="A398" s="17" t="s">
        <v>40</v>
      </c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20">
        <f t="shared" si="137"/>
        <v>0</v>
      </c>
      <c r="AB398" s="21" t="str">
        <f t="shared" si="138"/>
        <v>#DIV/0!</v>
      </c>
      <c r="AC398" s="2"/>
    </row>
    <row r="399">
      <c r="A399" s="17" t="s">
        <v>41</v>
      </c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20">
        <f t="shared" si="137"/>
        <v>0</v>
      </c>
      <c r="AB399" s="21" t="str">
        <f t="shared" si="138"/>
        <v>#DIV/0!</v>
      </c>
      <c r="AC399" s="2"/>
    </row>
    <row r="400">
      <c r="A400" s="17" t="s">
        <v>42</v>
      </c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20">
        <f t="shared" si="137"/>
        <v>0</v>
      </c>
      <c r="AB400" s="21" t="str">
        <f t="shared" si="138"/>
        <v>#DIV/0!</v>
      </c>
      <c r="AC400" s="2"/>
    </row>
    <row r="401">
      <c r="A401" s="17" t="s">
        <v>43</v>
      </c>
      <c r="B401" s="22">
        <f t="shared" ref="B401:Z401" si="139">SUM(B397:B400)</f>
        <v>0</v>
      </c>
      <c r="C401" s="22">
        <f t="shared" si="139"/>
        <v>0</v>
      </c>
      <c r="D401" s="22">
        <f t="shared" si="139"/>
        <v>0</v>
      </c>
      <c r="E401" s="22">
        <f t="shared" si="139"/>
        <v>0</v>
      </c>
      <c r="F401" s="22">
        <f t="shared" si="139"/>
        <v>0</v>
      </c>
      <c r="G401" s="22">
        <f t="shared" si="139"/>
        <v>0</v>
      </c>
      <c r="H401" s="22">
        <f t="shared" si="139"/>
        <v>0</v>
      </c>
      <c r="I401" s="22">
        <f t="shared" si="139"/>
        <v>0</v>
      </c>
      <c r="J401" s="22">
        <f t="shared" si="139"/>
        <v>0</v>
      </c>
      <c r="K401" s="22">
        <f t="shared" si="139"/>
        <v>0</v>
      </c>
      <c r="L401" s="22">
        <f t="shared" si="139"/>
        <v>0</v>
      </c>
      <c r="M401" s="22">
        <f t="shared" si="139"/>
        <v>0</v>
      </c>
      <c r="N401" s="22">
        <f t="shared" si="139"/>
        <v>0</v>
      </c>
      <c r="O401" s="22">
        <f t="shared" si="139"/>
        <v>0</v>
      </c>
      <c r="P401" s="22">
        <f t="shared" si="139"/>
        <v>0</v>
      </c>
      <c r="Q401" s="22">
        <f t="shared" si="139"/>
        <v>0</v>
      </c>
      <c r="R401" s="22">
        <f t="shared" si="139"/>
        <v>0</v>
      </c>
      <c r="S401" s="22">
        <f t="shared" si="139"/>
        <v>0</v>
      </c>
      <c r="T401" s="22">
        <f t="shared" si="139"/>
        <v>0</v>
      </c>
      <c r="U401" s="22">
        <f t="shared" si="139"/>
        <v>0</v>
      </c>
      <c r="V401" s="22">
        <f t="shared" si="139"/>
        <v>0</v>
      </c>
      <c r="W401" s="22">
        <f t="shared" si="139"/>
        <v>0</v>
      </c>
      <c r="X401" s="22">
        <f t="shared" si="139"/>
        <v>0</v>
      </c>
      <c r="Y401" s="22">
        <f t="shared" si="139"/>
        <v>0</v>
      </c>
      <c r="Z401" s="22">
        <f t="shared" si="139"/>
        <v>0</v>
      </c>
      <c r="AA401" s="20">
        <f t="shared" si="137"/>
        <v>0</v>
      </c>
      <c r="AB401" s="23"/>
      <c r="AC401" s="2"/>
    </row>
    <row r="402">
      <c r="A402" s="17" t="s">
        <v>38</v>
      </c>
      <c r="B402" s="24" t="str">
        <f t="shared" ref="B402:Z402" si="140">B401/(COUNT(B397:B400)*1)</f>
        <v>#DIV/0!</v>
      </c>
      <c r="C402" s="24" t="str">
        <f t="shared" si="140"/>
        <v>#DIV/0!</v>
      </c>
      <c r="D402" s="24" t="str">
        <f t="shared" si="140"/>
        <v>#DIV/0!</v>
      </c>
      <c r="E402" s="24" t="str">
        <f t="shared" si="140"/>
        <v>#DIV/0!</v>
      </c>
      <c r="F402" s="24" t="str">
        <f t="shared" si="140"/>
        <v>#DIV/0!</v>
      </c>
      <c r="G402" s="24" t="str">
        <f t="shared" si="140"/>
        <v>#DIV/0!</v>
      </c>
      <c r="H402" s="24" t="str">
        <f t="shared" si="140"/>
        <v>#DIV/0!</v>
      </c>
      <c r="I402" s="24" t="str">
        <f t="shared" si="140"/>
        <v>#DIV/0!</v>
      </c>
      <c r="J402" s="24" t="str">
        <f t="shared" si="140"/>
        <v>#DIV/0!</v>
      </c>
      <c r="K402" s="24" t="str">
        <f t="shared" si="140"/>
        <v>#DIV/0!</v>
      </c>
      <c r="L402" s="24" t="str">
        <f t="shared" si="140"/>
        <v>#DIV/0!</v>
      </c>
      <c r="M402" s="24" t="str">
        <f t="shared" si="140"/>
        <v>#DIV/0!</v>
      </c>
      <c r="N402" s="24" t="str">
        <f t="shared" si="140"/>
        <v>#DIV/0!</v>
      </c>
      <c r="O402" s="24" t="str">
        <f t="shared" si="140"/>
        <v>#DIV/0!</v>
      </c>
      <c r="P402" s="24" t="str">
        <f t="shared" si="140"/>
        <v>#DIV/0!</v>
      </c>
      <c r="Q402" s="24" t="str">
        <f t="shared" si="140"/>
        <v>#DIV/0!</v>
      </c>
      <c r="R402" s="24" t="str">
        <f t="shared" si="140"/>
        <v>#DIV/0!</v>
      </c>
      <c r="S402" s="24" t="str">
        <f t="shared" si="140"/>
        <v>#DIV/0!</v>
      </c>
      <c r="T402" s="24" t="str">
        <f t="shared" si="140"/>
        <v>#DIV/0!</v>
      </c>
      <c r="U402" s="24" t="str">
        <f t="shared" si="140"/>
        <v>#DIV/0!</v>
      </c>
      <c r="V402" s="24" t="str">
        <f t="shared" si="140"/>
        <v>#DIV/0!</v>
      </c>
      <c r="W402" s="24" t="str">
        <f t="shared" si="140"/>
        <v>#DIV/0!</v>
      </c>
      <c r="X402" s="24" t="str">
        <f t="shared" si="140"/>
        <v>#DIV/0!</v>
      </c>
      <c r="Y402" s="24" t="str">
        <f t="shared" si="140"/>
        <v>#DIV/0!</v>
      </c>
      <c r="Z402" s="24" t="str">
        <f t="shared" si="140"/>
        <v>#DIV/0!</v>
      </c>
      <c r="AA402" s="25"/>
      <c r="AB402" s="26" t="str">
        <f>SUM(AB397:AB400)/4</f>
        <v>#DIV/0!</v>
      </c>
      <c r="AC402" s="2"/>
    </row>
    <row r="403">
      <c r="A403" s="27" t="s">
        <v>44</v>
      </c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30">
        <f t="shared" ref="AA403:AA405" si="141">SUM(B403:Z403)</f>
        <v>0</v>
      </c>
      <c r="AB403" s="31"/>
      <c r="AC403" s="2"/>
    </row>
    <row r="404">
      <c r="A404" s="32" t="s">
        <v>45</v>
      </c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28"/>
      <c r="W404" s="28"/>
      <c r="X404" s="28"/>
      <c r="Y404" s="28"/>
      <c r="Z404" s="28"/>
      <c r="AA404" s="30">
        <f t="shared" si="141"/>
        <v>0</v>
      </c>
      <c r="AB404" s="31"/>
      <c r="AC404" s="9"/>
    </row>
    <row r="405">
      <c r="A405" s="34" t="s">
        <v>46</v>
      </c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28"/>
      <c r="W405" s="28"/>
      <c r="X405" s="28"/>
      <c r="Y405" s="28"/>
      <c r="Z405" s="28"/>
      <c r="AA405" s="30">
        <f t="shared" si="141"/>
        <v>0</v>
      </c>
      <c r="AB405" s="31"/>
      <c r="AC405" s="9"/>
    </row>
    <row r="406">
      <c r="A406" s="35" t="s">
        <v>47</v>
      </c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8"/>
      <c r="AB406" s="39"/>
      <c r="AC406" s="2"/>
    </row>
    <row r="407">
      <c r="A407" s="40" t="s">
        <v>48</v>
      </c>
      <c r="B407" s="41"/>
      <c r="C407" s="42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3"/>
      <c r="W407" s="43"/>
      <c r="X407" s="43"/>
      <c r="Y407" s="43"/>
      <c r="Z407" s="43"/>
      <c r="AA407" s="44">
        <f t="shared" ref="AA407:AA408" si="142">SUM(B407:Z407)</f>
        <v>0</v>
      </c>
      <c r="AB407" s="31"/>
      <c r="AC407" s="2"/>
    </row>
    <row r="408">
      <c r="A408" s="40" t="s">
        <v>49</v>
      </c>
      <c r="B408" s="41"/>
      <c r="C408" s="42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3"/>
      <c r="W408" s="43"/>
      <c r="X408" s="43"/>
      <c r="Y408" s="43"/>
      <c r="Z408" s="43"/>
      <c r="AA408" s="44">
        <f t="shared" si="142"/>
        <v>0</v>
      </c>
      <c r="AB408" s="31"/>
      <c r="AC408" s="2"/>
    </row>
    <row r="409">
      <c r="A409" s="40" t="s">
        <v>50</v>
      </c>
      <c r="B409" s="42"/>
      <c r="C409" s="42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3"/>
      <c r="W409" s="43"/>
      <c r="X409" s="43"/>
      <c r="Y409" s="43"/>
      <c r="Z409" s="43"/>
      <c r="AA409" s="44" t="str">
        <f>AVERAGE(B409:Z409)</f>
        <v>#DIV/0!</v>
      </c>
      <c r="AB409" s="31"/>
      <c r="AC409" s="2"/>
    </row>
    <row r="410">
      <c r="A410" s="45" t="s">
        <v>51</v>
      </c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7"/>
      <c r="AA410" s="46"/>
      <c r="AB410" s="39"/>
      <c r="AC410" s="2"/>
    </row>
    <row r="411">
      <c r="A411" s="47" t="s">
        <v>48</v>
      </c>
      <c r="B411" s="48"/>
      <c r="C411" s="49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50"/>
      <c r="W411" s="50"/>
      <c r="X411" s="50"/>
      <c r="Y411" s="50"/>
      <c r="Z411" s="50"/>
      <c r="AA411" s="51">
        <f t="shared" ref="AA411:AA412" si="143">SUM(B411:Z411)</f>
        <v>0</v>
      </c>
      <c r="AB411" s="31"/>
      <c r="AC411" s="2"/>
    </row>
    <row r="412">
      <c r="A412" s="47" t="s">
        <v>49</v>
      </c>
      <c r="B412" s="48"/>
      <c r="C412" s="49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50"/>
      <c r="W412" s="50"/>
      <c r="X412" s="50"/>
      <c r="Y412" s="50"/>
      <c r="Z412" s="50"/>
      <c r="AA412" s="51">
        <f t="shared" si="143"/>
        <v>0</v>
      </c>
      <c r="AB412" s="31"/>
      <c r="AC412" s="2"/>
    </row>
    <row r="413">
      <c r="A413" s="47" t="s">
        <v>50</v>
      </c>
      <c r="B413" s="49"/>
      <c r="C413" s="49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50"/>
      <c r="W413" s="50"/>
      <c r="X413" s="50"/>
      <c r="Y413" s="50"/>
      <c r="Z413" s="50"/>
      <c r="AA413" s="51" t="str">
        <f>AVERAGE(B413:Z413)</f>
        <v>#DIV/0!</v>
      </c>
      <c r="AB413" s="31"/>
      <c r="AC413" s="2"/>
    </row>
    <row r="414">
      <c r="A414" s="52" t="s">
        <v>53</v>
      </c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7"/>
      <c r="AA414" s="38"/>
      <c r="AB414" s="39"/>
      <c r="AC414" s="2"/>
    </row>
    <row r="415">
      <c r="A415" s="40" t="s">
        <v>48</v>
      </c>
      <c r="B415" s="41"/>
      <c r="C415" s="42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3"/>
      <c r="W415" s="43"/>
      <c r="X415" s="43"/>
      <c r="Y415" s="43"/>
      <c r="Z415" s="43"/>
      <c r="AA415" s="44">
        <f t="shared" ref="AA415:AA416" si="144">SUM(B415:Z415)</f>
        <v>0</v>
      </c>
      <c r="AB415" s="31"/>
      <c r="AC415" s="2"/>
    </row>
    <row r="416">
      <c r="A416" s="40" t="s">
        <v>49</v>
      </c>
      <c r="B416" s="41"/>
      <c r="C416" s="42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3"/>
      <c r="W416" s="43"/>
      <c r="X416" s="43"/>
      <c r="Y416" s="43"/>
      <c r="Z416" s="43"/>
      <c r="AA416" s="44">
        <f t="shared" si="144"/>
        <v>0</v>
      </c>
      <c r="AB416" s="31"/>
      <c r="AC416" s="2"/>
    </row>
    <row r="417">
      <c r="A417" s="53" t="s">
        <v>50</v>
      </c>
      <c r="B417" s="54"/>
      <c r="C417" s="54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6"/>
      <c r="W417" s="56"/>
      <c r="X417" s="56"/>
      <c r="Y417" s="56"/>
      <c r="Z417" s="56"/>
      <c r="AA417" s="57" t="str">
        <f>AVERAGE(B417:Z417)</f>
        <v>#DIV/0!</v>
      </c>
      <c r="AB417" s="58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59"/>
      <c r="AB418" s="59"/>
      <c r="AC418" s="2"/>
    </row>
    <row r="419">
      <c r="A419" s="71" t="s">
        <v>54</v>
      </c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5" t="s">
        <v>37</v>
      </c>
      <c r="AB419" s="16" t="s">
        <v>38</v>
      </c>
      <c r="AC419" s="2"/>
    </row>
    <row r="420">
      <c r="A420" s="17" t="s">
        <v>39</v>
      </c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20">
        <f t="shared" ref="AA420:AA424" si="145">SUM(B420:Z420)</f>
        <v>0</v>
      </c>
      <c r="AB420" s="21" t="str">
        <f t="shared" ref="AB420:AB423" si="146">AA420/(COUNT(B420:Z420)*1)</f>
        <v>#DIV/0!</v>
      </c>
      <c r="AC420" s="2"/>
    </row>
    <row r="421">
      <c r="A421" s="17" t="s">
        <v>40</v>
      </c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20">
        <f t="shared" si="145"/>
        <v>0</v>
      </c>
      <c r="AB421" s="21" t="str">
        <f t="shared" si="146"/>
        <v>#DIV/0!</v>
      </c>
      <c r="AC421" s="2"/>
    </row>
    <row r="422">
      <c r="A422" s="17" t="s">
        <v>41</v>
      </c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20">
        <f t="shared" si="145"/>
        <v>0</v>
      </c>
      <c r="AB422" s="21" t="str">
        <f t="shared" si="146"/>
        <v>#DIV/0!</v>
      </c>
      <c r="AC422" s="2"/>
    </row>
    <row r="423">
      <c r="A423" s="17" t="s">
        <v>42</v>
      </c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20">
        <f t="shared" si="145"/>
        <v>0</v>
      </c>
      <c r="AB423" s="21" t="str">
        <f t="shared" si="146"/>
        <v>#DIV/0!</v>
      </c>
      <c r="AC423" s="2"/>
    </row>
    <row r="424">
      <c r="A424" s="17" t="s">
        <v>43</v>
      </c>
      <c r="B424" s="22">
        <f t="shared" ref="B424:Z424" si="147">SUM(B420:B423)</f>
        <v>0</v>
      </c>
      <c r="C424" s="22">
        <f t="shared" si="147"/>
        <v>0</v>
      </c>
      <c r="D424" s="22">
        <f t="shared" si="147"/>
        <v>0</v>
      </c>
      <c r="E424" s="22">
        <f t="shared" si="147"/>
        <v>0</v>
      </c>
      <c r="F424" s="22">
        <f t="shared" si="147"/>
        <v>0</v>
      </c>
      <c r="G424" s="22">
        <f t="shared" si="147"/>
        <v>0</v>
      </c>
      <c r="H424" s="22">
        <f t="shared" si="147"/>
        <v>0</v>
      </c>
      <c r="I424" s="22">
        <f t="shared" si="147"/>
        <v>0</v>
      </c>
      <c r="J424" s="22">
        <f t="shared" si="147"/>
        <v>0</v>
      </c>
      <c r="K424" s="22">
        <f t="shared" si="147"/>
        <v>0</v>
      </c>
      <c r="L424" s="22">
        <f t="shared" si="147"/>
        <v>0</v>
      </c>
      <c r="M424" s="22">
        <f t="shared" si="147"/>
        <v>0</v>
      </c>
      <c r="N424" s="22">
        <f t="shared" si="147"/>
        <v>0</v>
      </c>
      <c r="O424" s="22">
        <f t="shared" si="147"/>
        <v>0</v>
      </c>
      <c r="P424" s="22">
        <f t="shared" si="147"/>
        <v>0</v>
      </c>
      <c r="Q424" s="22">
        <f t="shared" si="147"/>
        <v>0</v>
      </c>
      <c r="R424" s="22">
        <f t="shared" si="147"/>
        <v>0</v>
      </c>
      <c r="S424" s="22">
        <f t="shared" si="147"/>
        <v>0</v>
      </c>
      <c r="T424" s="22">
        <f t="shared" si="147"/>
        <v>0</v>
      </c>
      <c r="U424" s="22">
        <f t="shared" si="147"/>
        <v>0</v>
      </c>
      <c r="V424" s="22">
        <f t="shared" si="147"/>
        <v>0</v>
      </c>
      <c r="W424" s="22">
        <f t="shared" si="147"/>
        <v>0</v>
      </c>
      <c r="X424" s="22">
        <f t="shared" si="147"/>
        <v>0</v>
      </c>
      <c r="Y424" s="22">
        <f t="shared" si="147"/>
        <v>0</v>
      </c>
      <c r="Z424" s="22">
        <f t="shared" si="147"/>
        <v>0</v>
      </c>
      <c r="AA424" s="20">
        <f t="shared" si="145"/>
        <v>0</v>
      </c>
      <c r="AB424" s="23"/>
      <c r="AC424" s="2"/>
    </row>
    <row r="425">
      <c r="A425" s="17" t="s">
        <v>38</v>
      </c>
      <c r="B425" s="24" t="str">
        <f t="shared" ref="B425:Z425" si="148">B424/(COUNT(B420:B423)*1)</f>
        <v>#DIV/0!</v>
      </c>
      <c r="C425" s="24" t="str">
        <f t="shared" si="148"/>
        <v>#DIV/0!</v>
      </c>
      <c r="D425" s="24" t="str">
        <f t="shared" si="148"/>
        <v>#DIV/0!</v>
      </c>
      <c r="E425" s="24" t="str">
        <f t="shared" si="148"/>
        <v>#DIV/0!</v>
      </c>
      <c r="F425" s="24" t="str">
        <f t="shared" si="148"/>
        <v>#DIV/0!</v>
      </c>
      <c r="G425" s="24" t="str">
        <f t="shared" si="148"/>
        <v>#DIV/0!</v>
      </c>
      <c r="H425" s="24" t="str">
        <f t="shared" si="148"/>
        <v>#DIV/0!</v>
      </c>
      <c r="I425" s="24" t="str">
        <f t="shared" si="148"/>
        <v>#DIV/0!</v>
      </c>
      <c r="J425" s="24" t="str">
        <f t="shared" si="148"/>
        <v>#DIV/0!</v>
      </c>
      <c r="K425" s="24" t="str">
        <f t="shared" si="148"/>
        <v>#DIV/0!</v>
      </c>
      <c r="L425" s="24" t="str">
        <f t="shared" si="148"/>
        <v>#DIV/0!</v>
      </c>
      <c r="M425" s="24" t="str">
        <f t="shared" si="148"/>
        <v>#DIV/0!</v>
      </c>
      <c r="N425" s="24" t="str">
        <f t="shared" si="148"/>
        <v>#DIV/0!</v>
      </c>
      <c r="O425" s="24" t="str">
        <f t="shared" si="148"/>
        <v>#DIV/0!</v>
      </c>
      <c r="P425" s="24" t="str">
        <f t="shared" si="148"/>
        <v>#DIV/0!</v>
      </c>
      <c r="Q425" s="24" t="str">
        <f t="shared" si="148"/>
        <v>#DIV/0!</v>
      </c>
      <c r="R425" s="24" t="str">
        <f t="shared" si="148"/>
        <v>#DIV/0!</v>
      </c>
      <c r="S425" s="24" t="str">
        <f t="shared" si="148"/>
        <v>#DIV/0!</v>
      </c>
      <c r="T425" s="24" t="str">
        <f t="shared" si="148"/>
        <v>#DIV/0!</v>
      </c>
      <c r="U425" s="24" t="str">
        <f t="shared" si="148"/>
        <v>#DIV/0!</v>
      </c>
      <c r="V425" s="24" t="str">
        <f t="shared" si="148"/>
        <v>#DIV/0!</v>
      </c>
      <c r="W425" s="24" t="str">
        <f t="shared" si="148"/>
        <v>#DIV/0!</v>
      </c>
      <c r="X425" s="24" t="str">
        <f t="shared" si="148"/>
        <v>#DIV/0!</v>
      </c>
      <c r="Y425" s="24" t="str">
        <f t="shared" si="148"/>
        <v>#DIV/0!</v>
      </c>
      <c r="Z425" s="24" t="str">
        <f t="shared" si="148"/>
        <v>#DIV/0!</v>
      </c>
      <c r="AA425" s="25"/>
      <c r="AB425" s="26" t="str">
        <f>SUM(AB420:AB423)/4</f>
        <v>#DIV/0!</v>
      </c>
      <c r="AC425" s="2"/>
    </row>
    <row r="426">
      <c r="A426" s="27" t="s">
        <v>44</v>
      </c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30">
        <f t="shared" ref="AA426:AA428" si="149">SUM(B426:Z426)</f>
        <v>0</v>
      </c>
      <c r="AB426" s="31"/>
      <c r="AC426" s="2"/>
    </row>
    <row r="427">
      <c r="A427" s="32" t="s">
        <v>45</v>
      </c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28"/>
      <c r="W427" s="28"/>
      <c r="X427" s="28"/>
      <c r="Y427" s="28"/>
      <c r="Z427" s="28"/>
      <c r="AA427" s="30">
        <f t="shared" si="149"/>
        <v>0</v>
      </c>
      <c r="AB427" s="31"/>
      <c r="AC427" s="9"/>
    </row>
    <row r="428">
      <c r="A428" s="34" t="s">
        <v>46</v>
      </c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28"/>
      <c r="W428" s="28"/>
      <c r="X428" s="28"/>
      <c r="Y428" s="28"/>
      <c r="Z428" s="28"/>
      <c r="AA428" s="30">
        <f t="shared" si="149"/>
        <v>0</v>
      </c>
      <c r="AB428" s="31"/>
      <c r="AC428" s="9"/>
    </row>
    <row r="429">
      <c r="A429" s="35" t="s">
        <v>47</v>
      </c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7"/>
      <c r="AA429" s="38"/>
      <c r="AB429" s="39"/>
      <c r="AC429" s="2"/>
    </row>
    <row r="430">
      <c r="A430" s="40" t="s">
        <v>48</v>
      </c>
      <c r="B430" s="41"/>
      <c r="C430" s="42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3"/>
      <c r="W430" s="43"/>
      <c r="X430" s="43"/>
      <c r="Y430" s="43"/>
      <c r="Z430" s="43"/>
      <c r="AA430" s="44">
        <f t="shared" ref="AA430:AA431" si="150">SUM(B430:Z430)</f>
        <v>0</v>
      </c>
      <c r="AB430" s="31"/>
      <c r="AC430" s="2"/>
    </row>
    <row r="431">
      <c r="A431" s="40" t="s">
        <v>49</v>
      </c>
      <c r="B431" s="41"/>
      <c r="C431" s="42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3"/>
      <c r="W431" s="43"/>
      <c r="X431" s="43"/>
      <c r="Y431" s="43"/>
      <c r="Z431" s="43"/>
      <c r="AA431" s="44">
        <f t="shared" si="150"/>
        <v>0</v>
      </c>
      <c r="AB431" s="31"/>
      <c r="AC431" s="2"/>
    </row>
    <row r="432">
      <c r="A432" s="40" t="s">
        <v>50</v>
      </c>
      <c r="B432" s="42"/>
      <c r="C432" s="42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3"/>
      <c r="W432" s="43"/>
      <c r="X432" s="43"/>
      <c r="Y432" s="43"/>
      <c r="Z432" s="43"/>
      <c r="AA432" s="44" t="str">
        <f>AVERAGE(B432:Z432)</f>
        <v>#DIV/0!</v>
      </c>
      <c r="AB432" s="31"/>
      <c r="AC432" s="2"/>
    </row>
    <row r="433">
      <c r="A433" s="45" t="s">
        <v>51</v>
      </c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7"/>
      <c r="AA433" s="46"/>
      <c r="AB433" s="39"/>
      <c r="AC433" s="2"/>
    </row>
    <row r="434">
      <c r="A434" s="47" t="s">
        <v>48</v>
      </c>
      <c r="B434" s="48"/>
      <c r="C434" s="49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50"/>
      <c r="W434" s="50"/>
      <c r="X434" s="50"/>
      <c r="Y434" s="50"/>
      <c r="Z434" s="50"/>
      <c r="AA434" s="51">
        <f t="shared" ref="AA434:AA435" si="151">SUM(B434:Z434)</f>
        <v>0</v>
      </c>
      <c r="AB434" s="31"/>
      <c r="AC434" s="2"/>
    </row>
    <row r="435">
      <c r="A435" s="47" t="s">
        <v>49</v>
      </c>
      <c r="B435" s="48"/>
      <c r="C435" s="49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50"/>
      <c r="W435" s="50"/>
      <c r="X435" s="50"/>
      <c r="Y435" s="50"/>
      <c r="Z435" s="50"/>
      <c r="AA435" s="51">
        <f t="shared" si="151"/>
        <v>0</v>
      </c>
      <c r="AB435" s="31"/>
      <c r="AC435" s="2"/>
    </row>
    <row r="436">
      <c r="A436" s="47" t="s">
        <v>50</v>
      </c>
      <c r="B436" s="49"/>
      <c r="C436" s="49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50"/>
      <c r="W436" s="50"/>
      <c r="X436" s="50"/>
      <c r="Y436" s="50"/>
      <c r="Z436" s="50"/>
      <c r="AA436" s="51" t="str">
        <f>AVERAGE(B436:Z436)</f>
        <v>#DIV/0!</v>
      </c>
      <c r="AB436" s="31"/>
      <c r="AC436" s="2"/>
    </row>
    <row r="437">
      <c r="A437" s="52" t="s">
        <v>53</v>
      </c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7"/>
      <c r="AA437" s="38"/>
      <c r="AB437" s="39"/>
      <c r="AC437" s="2"/>
    </row>
    <row r="438">
      <c r="A438" s="40" t="s">
        <v>48</v>
      </c>
      <c r="B438" s="41"/>
      <c r="C438" s="42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3"/>
      <c r="W438" s="43"/>
      <c r="X438" s="43"/>
      <c r="Y438" s="43"/>
      <c r="Z438" s="43"/>
      <c r="AA438" s="44">
        <f t="shared" ref="AA438:AA439" si="152">SUM(B438:Z438)</f>
        <v>0</v>
      </c>
      <c r="AB438" s="31"/>
      <c r="AC438" s="2"/>
    </row>
    <row r="439">
      <c r="A439" s="40" t="s">
        <v>49</v>
      </c>
      <c r="B439" s="41"/>
      <c r="C439" s="42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3"/>
      <c r="W439" s="43"/>
      <c r="X439" s="43"/>
      <c r="Y439" s="43"/>
      <c r="Z439" s="43"/>
      <c r="AA439" s="44">
        <f t="shared" si="152"/>
        <v>0</v>
      </c>
      <c r="AB439" s="31"/>
      <c r="AC439" s="2"/>
    </row>
    <row r="440">
      <c r="A440" s="53" t="s">
        <v>50</v>
      </c>
      <c r="B440" s="54"/>
      <c r="C440" s="54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6"/>
      <c r="W440" s="56"/>
      <c r="X440" s="56"/>
      <c r="Y440" s="56"/>
      <c r="Z440" s="56"/>
      <c r="AA440" s="57" t="str">
        <f>AVERAGE(B440:Z440)</f>
        <v>#DIV/0!</v>
      </c>
      <c r="AB440" s="58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59"/>
      <c r="AB441" s="59"/>
      <c r="AC441" s="2"/>
    </row>
    <row r="442">
      <c r="A442" s="71" t="s">
        <v>54</v>
      </c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5" t="s">
        <v>37</v>
      </c>
      <c r="AB442" s="16" t="s">
        <v>38</v>
      </c>
      <c r="AC442" s="2"/>
    </row>
    <row r="443">
      <c r="A443" s="17" t="s">
        <v>39</v>
      </c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20">
        <f t="shared" ref="AA443:AA447" si="153">SUM(B443:Z443)</f>
        <v>0</v>
      </c>
      <c r="AB443" s="21" t="str">
        <f t="shared" ref="AB443:AB446" si="154">AA443/(COUNT(B443:Z443)*1)</f>
        <v>#DIV/0!</v>
      </c>
      <c r="AC443" s="2"/>
    </row>
    <row r="444">
      <c r="A444" s="17" t="s">
        <v>40</v>
      </c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20">
        <f t="shared" si="153"/>
        <v>0</v>
      </c>
      <c r="AB444" s="21" t="str">
        <f t="shared" si="154"/>
        <v>#DIV/0!</v>
      </c>
      <c r="AC444" s="2"/>
    </row>
    <row r="445">
      <c r="A445" s="17" t="s">
        <v>41</v>
      </c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20">
        <f t="shared" si="153"/>
        <v>0</v>
      </c>
      <c r="AB445" s="21" t="str">
        <f t="shared" si="154"/>
        <v>#DIV/0!</v>
      </c>
      <c r="AC445" s="2"/>
    </row>
    <row r="446">
      <c r="A446" s="17" t="s">
        <v>42</v>
      </c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20">
        <f t="shared" si="153"/>
        <v>0</v>
      </c>
      <c r="AB446" s="21" t="str">
        <f t="shared" si="154"/>
        <v>#DIV/0!</v>
      </c>
      <c r="AC446" s="2"/>
    </row>
    <row r="447">
      <c r="A447" s="17" t="s">
        <v>43</v>
      </c>
      <c r="B447" s="22">
        <f t="shared" ref="B447:Z447" si="155">SUM(B443:B446)</f>
        <v>0</v>
      </c>
      <c r="C447" s="22">
        <f t="shared" si="155"/>
        <v>0</v>
      </c>
      <c r="D447" s="22">
        <f t="shared" si="155"/>
        <v>0</v>
      </c>
      <c r="E447" s="22">
        <f t="shared" si="155"/>
        <v>0</v>
      </c>
      <c r="F447" s="22">
        <f t="shared" si="155"/>
        <v>0</v>
      </c>
      <c r="G447" s="22">
        <f t="shared" si="155"/>
        <v>0</v>
      </c>
      <c r="H447" s="22">
        <f t="shared" si="155"/>
        <v>0</v>
      </c>
      <c r="I447" s="22">
        <f t="shared" si="155"/>
        <v>0</v>
      </c>
      <c r="J447" s="22">
        <f t="shared" si="155"/>
        <v>0</v>
      </c>
      <c r="K447" s="22">
        <f t="shared" si="155"/>
        <v>0</v>
      </c>
      <c r="L447" s="22">
        <f t="shared" si="155"/>
        <v>0</v>
      </c>
      <c r="M447" s="22">
        <f t="shared" si="155"/>
        <v>0</v>
      </c>
      <c r="N447" s="22">
        <f t="shared" si="155"/>
        <v>0</v>
      </c>
      <c r="O447" s="22">
        <f t="shared" si="155"/>
        <v>0</v>
      </c>
      <c r="P447" s="22">
        <f t="shared" si="155"/>
        <v>0</v>
      </c>
      <c r="Q447" s="22">
        <f t="shared" si="155"/>
        <v>0</v>
      </c>
      <c r="R447" s="22">
        <f t="shared" si="155"/>
        <v>0</v>
      </c>
      <c r="S447" s="22">
        <f t="shared" si="155"/>
        <v>0</v>
      </c>
      <c r="T447" s="22">
        <f t="shared" si="155"/>
        <v>0</v>
      </c>
      <c r="U447" s="22">
        <f t="shared" si="155"/>
        <v>0</v>
      </c>
      <c r="V447" s="22">
        <f t="shared" si="155"/>
        <v>0</v>
      </c>
      <c r="W447" s="22">
        <f t="shared" si="155"/>
        <v>0</v>
      </c>
      <c r="X447" s="22">
        <f t="shared" si="155"/>
        <v>0</v>
      </c>
      <c r="Y447" s="22">
        <f t="shared" si="155"/>
        <v>0</v>
      </c>
      <c r="Z447" s="22">
        <f t="shared" si="155"/>
        <v>0</v>
      </c>
      <c r="AA447" s="20">
        <f t="shared" si="153"/>
        <v>0</v>
      </c>
      <c r="AB447" s="23"/>
      <c r="AC447" s="2"/>
    </row>
    <row r="448">
      <c r="A448" s="17" t="s">
        <v>38</v>
      </c>
      <c r="B448" s="24" t="str">
        <f t="shared" ref="B448:Z448" si="156">B447/(COUNT(B443:B446)*1)</f>
        <v>#DIV/0!</v>
      </c>
      <c r="C448" s="24" t="str">
        <f t="shared" si="156"/>
        <v>#DIV/0!</v>
      </c>
      <c r="D448" s="24" t="str">
        <f t="shared" si="156"/>
        <v>#DIV/0!</v>
      </c>
      <c r="E448" s="24" t="str">
        <f t="shared" si="156"/>
        <v>#DIV/0!</v>
      </c>
      <c r="F448" s="24" t="str">
        <f t="shared" si="156"/>
        <v>#DIV/0!</v>
      </c>
      <c r="G448" s="24" t="str">
        <f t="shared" si="156"/>
        <v>#DIV/0!</v>
      </c>
      <c r="H448" s="24" t="str">
        <f t="shared" si="156"/>
        <v>#DIV/0!</v>
      </c>
      <c r="I448" s="24" t="str">
        <f t="shared" si="156"/>
        <v>#DIV/0!</v>
      </c>
      <c r="J448" s="24" t="str">
        <f t="shared" si="156"/>
        <v>#DIV/0!</v>
      </c>
      <c r="K448" s="24" t="str">
        <f t="shared" si="156"/>
        <v>#DIV/0!</v>
      </c>
      <c r="L448" s="24" t="str">
        <f t="shared" si="156"/>
        <v>#DIV/0!</v>
      </c>
      <c r="M448" s="24" t="str">
        <f t="shared" si="156"/>
        <v>#DIV/0!</v>
      </c>
      <c r="N448" s="24" t="str">
        <f t="shared" si="156"/>
        <v>#DIV/0!</v>
      </c>
      <c r="O448" s="24" t="str">
        <f t="shared" si="156"/>
        <v>#DIV/0!</v>
      </c>
      <c r="P448" s="24" t="str">
        <f t="shared" si="156"/>
        <v>#DIV/0!</v>
      </c>
      <c r="Q448" s="24" t="str">
        <f t="shared" si="156"/>
        <v>#DIV/0!</v>
      </c>
      <c r="R448" s="24" t="str">
        <f t="shared" si="156"/>
        <v>#DIV/0!</v>
      </c>
      <c r="S448" s="24" t="str">
        <f t="shared" si="156"/>
        <v>#DIV/0!</v>
      </c>
      <c r="T448" s="24" t="str">
        <f t="shared" si="156"/>
        <v>#DIV/0!</v>
      </c>
      <c r="U448" s="24" t="str">
        <f t="shared" si="156"/>
        <v>#DIV/0!</v>
      </c>
      <c r="V448" s="24" t="str">
        <f t="shared" si="156"/>
        <v>#DIV/0!</v>
      </c>
      <c r="W448" s="24" t="str">
        <f t="shared" si="156"/>
        <v>#DIV/0!</v>
      </c>
      <c r="X448" s="24" t="str">
        <f t="shared" si="156"/>
        <v>#DIV/0!</v>
      </c>
      <c r="Y448" s="24" t="str">
        <f t="shared" si="156"/>
        <v>#DIV/0!</v>
      </c>
      <c r="Z448" s="24" t="str">
        <f t="shared" si="156"/>
        <v>#DIV/0!</v>
      </c>
      <c r="AA448" s="25"/>
      <c r="AB448" s="26" t="str">
        <f>SUM(AB443:AB446)/4</f>
        <v>#DIV/0!</v>
      </c>
      <c r="AC448" s="2"/>
    </row>
    <row r="449">
      <c r="A449" s="27" t="s">
        <v>44</v>
      </c>
      <c r="B449" s="28"/>
      <c r="C449" s="29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30">
        <f t="shared" ref="AA449:AA451" si="157">SUM(B449:Z449)</f>
        <v>0</v>
      </c>
      <c r="AB449" s="31"/>
      <c r="AC449" s="2"/>
    </row>
    <row r="450">
      <c r="A450" s="32" t="s">
        <v>45</v>
      </c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28"/>
      <c r="W450" s="28"/>
      <c r="X450" s="28"/>
      <c r="Y450" s="28"/>
      <c r="Z450" s="28"/>
      <c r="AA450" s="30">
        <f t="shared" si="157"/>
        <v>0</v>
      </c>
      <c r="AB450" s="31"/>
      <c r="AC450" s="9"/>
    </row>
    <row r="451">
      <c r="A451" s="34" t="s">
        <v>46</v>
      </c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28"/>
      <c r="W451" s="28"/>
      <c r="X451" s="28"/>
      <c r="Y451" s="28"/>
      <c r="Z451" s="28"/>
      <c r="AA451" s="30">
        <f t="shared" si="157"/>
        <v>0</v>
      </c>
      <c r="AB451" s="31"/>
      <c r="AC451" s="9"/>
    </row>
    <row r="452">
      <c r="A452" s="35" t="s">
        <v>47</v>
      </c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7"/>
      <c r="AA452" s="38"/>
      <c r="AB452" s="39"/>
      <c r="AC452" s="2"/>
    </row>
    <row r="453">
      <c r="A453" s="40" t="s">
        <v>48</v>
      </c>
      <c r="B453" s="41"/>
      <c r="C453" s="42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3"/>
      <c r="W453" s="43"/>
      <c r="X453" s="43"/>
      <c r="Y453" s="43"/>
      <c r="Z453" s="43"/>
      <c r="AA453" s="44">
        <f t="shared" ref="AA453:AA454" si="158">SUM(B453:Z453)</f>
        <v>0</v>
      </c>
      <c r="AB453" s="31"/>
      <c r="AC453" s="2"/>
    </row>
    <row r="454">
      <c r="A454" s="40" t="s">
        <v>49</v>
      </c>
      <c r="B454" s="41"/>
      <c r="C454" s="42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3"/>
      <c r="W454" s="43"/>
      <c r="X454" s="43"/>
      <c r="Y454" s="43"/>
      <c r="Z454" s="43"/>
      <c r="AA454" s="44">
        <f t="shared" si="158"/>
        <v>0</v>
      </c>
      <c r="AB454" s="31"/>
      <c r="AC454" s="2"/>
    </row>
    <row r="455">
      <c r="A455" s="40" t="s">
        <v>50</v>
      </c>
      <c r="B455" s="42"/>
      <c r="C455" s="42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3"/>
      <c r="W455" s="43"/>
      <c r="X455" s="43"/>
      <c r="Y455" s="43"/>
      <c r="Z455" s="43"/>
      <c r="AA455" s="44" t="str">
        <f>AVERAGE(B455:Z455)</f>
        <v>#DIV/0!</v>
      </c>
      <c r="AB455" s="31"/>
      <c r="AC455" s="2"/>
    </row>
    <row r="456">
      <c r="A456" s="45" t="s">
        <v>51</v>
      </c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7"/>
      <c r="AA456" s="46"/>
      <c r="AB456" s="39"/>
      <c r="AC456" s="2"/>
    </row>
    <row r="457">
      <c r="A457" s="47" t="s">
        <v>48</v>
      </c>
      <c r="B457" s="48"/>
      <c r="C457" s="49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50"/>
      <c r="W457" s="50"/>
      <c r="X457" s="50"/>
      <c r="Y457" s="50"/>
      <c r="Z457" s="50"/>
      <c r="AA457" s="51">
        <f t="shared" ref="AA457:AA458" si="159">SUM(B457:Z457)</f>
        <v>0</v>
      </c>
      <c r="AB457" s="31"/>
      <c r="AC457" s="2"/>
    </row>
    <row r="458">
      <c r="A458" s="47" t="s">
        <v>49</v>
      </c>
      <c r="B458" s="48"/>
      <c r="C458" s="49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50"/>
      <c r="W458" s="50"/>
      <c r="X458" s="50"/>
      <c r="Y458" s="50"/>
      <c r="Z458" s="50"/>
      <c r="AA458" s="51">
        <f t="shared" si="159"/>
        <v>0</v>
      </c>
      <c r="AB458" s="31"/>
      <c r="AC458" s="2"/>
    </row>
    <row r="459">
      <c r="A459" s="47" t="s">
        <v>50</v>
      </c>
      <c r="B459" s="49"/>
      <c r="C459" s="49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50"/>
      <c r="W459" s="50"/>
      <c r="X459" s="50"/>
      <c r="Y459" s="50"/>
      <c r="Z459" s="50"/>
      <c r="AA459" s="51" t="str">
        <f>AVERAGE(B459:Z459)</f>
        <v>#DIV/0!</v>
      </c>
      <c r="AB459" s="31"/>
      <c r="AC459" s="2"/>
    </row>
    <row r="460">
      <c r="A460" s="52" t="s">
        <v>53</v>
      </c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7"/>
      <c r="AA460" s="38"/>
      <c r="AB460" s="39"/>
      <c r="AC460" s="2"/>
    </row>
    <row r="461">
      <c r="A461" s="40" t="s">
        <v>48</v>
      </c>
      <c r="B461" s="41"/>
      <c r="C461" s="42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3"/>
      <c r="W461" s="43"/>
      <c r="X461" s="43"/>
      <c r="Y461" s="43"/>
      <c r="Z461" s="43"/>
      <c r="AA461" s="44">
        <f t="shared" ref="AA461:AA462" si="160">SUM(B461:Z461)</f>
        <v>0</v>
      </c>
      <c r="AB461" s="31"/>
      <c r="AC461" s="2"/>
    </row>
    <row r="462">
      <c r="A462" s="40" t="s">
        <v>49</v>
      </c>
      <c r="B462" s="41"/>
      <c r="C462" s="42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3"/>
      <c r="W462" s="43"/>
      <c r="X462" s="43"/>
      <c r="Y462" s="43"/>
      <c r="Z462" s="43"/>
      <c r="AA462" s="44">
        <f t="shared" si="160"/>
        <v>0</v>
      </c>
      <c r="AB462" s="31"/>
      <c r="AC462" s="2"/>
    </row>
    <row r="463">
      <c r="A463" s="53" t="s">
        <v>50</v>
      </c>
      <c r="B463" s="54"/>
      <c r="C463" s="54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6"/>
      <c r="W463" s="56"/>
      <c r="X463" s="56"/>
      <c r="Y463" s="56"/>
      <c r="Z463" s="56"/>
      <c r="AA463" s="57" t="str">
        <f>AVERAGE(B463:Z463)</f>
        <v>#DIV/0!</v>
      </c>
      <c r="AB463" s="58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59"/>
      <c r="AB464" s="59"/>
      <c r="AC464" s="2"/>
    </row>
    <row r="465">
      <c r="A465" s="71" t="s">
        <v>54</v>
      </c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 t="s">
        <v>37</v>
      </c>
      <c r="AB465" s="16" t="s">
        <v>38</v>
      </c>
      <c r="AC465" s="2"/>
    </row>
    <row r="466">
      <c r="A466" s="17" t="s">
        <v>39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20">
        <f t="shared" ref="AA466:AA470" si="161">SUM(B466:Z466)</f>
        <v>0</v>
      </c>
      <c r="AB466" s="21" t="str">
        <f t="shared" ref="AB466:AB469" si="162">AA466/(COUNT(B466:Z466)*1)</f>
        <v>#DIV/0!</v>
      </c>
      <c r="AC466" s="2"/>
    </row>
    <row r="467">
      <c r="A467" s="17" t="s">
        <v>40</v>
      </c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20">
        <f t="shared" si="161"/>
        <v>0</v>
      </c>
      <c r="AB467" s="21" t="str">
        <f t="shared" si="162"/>
        <v>#DIV/0!</v>
      </c>
      <c r="AC467" s="2"/>
    </row>
    <row r="468">
      <c r="A468" s="17" t="s">
        <v>41</v>
      </c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20">
        <f t="shared" si="161"/>
        <v>0</v>
      </c>
      <c r="AB468" s="21" t="str">
        <f t="shared" si="162"/>
        <v>#DIV/0!</v>
      </c>
      <c r="AC468" s="2"/>
    </row>
    <row r="469">
      <c r="A469" s="17" t="s">
        <v>42</v>
      </c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20">
        <f t="shared" si="161"/>
        <v>0</v>
      </c>
      <c r="AB469" s="21" t="str">
        <f t="shared" si="162"/>
        <v>#DIV/0!</v>
      </c>
      <c r="AC469" s="2"/>
    </row>
    <row r="470">
      <c r="A470" s="17" t="s">
        <v>43</v>
      </c>
      <c r="B470" s="22">
        <f t="shared" ref="B470:Z470" si="163">SUM(B466:B469)</f>
        <v>0</v>
      </c>
      <c r="C470" s="22">
        <f t="shared" si="163"/>
        <v>0</v>
      </c>
      <c r="D470" s="22">
        <f t="shared" si="163"/>
        <v>0</v>
      </c>
      <c r="E470" s="22">
        <f t="shared" si="163"/>
        <v>0</v>
      </c>
      <c r="F470" s="22">
        <f t="shared" si="163"/>
        <v>0</v>
      </c>
      <c r="G470" s="22">
        <f t="shared" si="163"/>
        <v>0</v>
      </c>
      <c r="H470" s="22">
        <f t="shared" si="163"/>
        <v>0</v>
      </c>
      <c r="I470" s="22">
        <f t="shared" si="163"/>
        <v>0</v>
      </c>
      <c r="J470" s="22">
        <f t="shared" si="163"/>
        <v>0</v>
      </c>
      <c r="K470" s="22">
        <f t="shared" si="163"/>
        <v>0</v>
      </c>
      <c r="L470" s="22">
        <f t="shared" si="163"/>
        <v>0</v>
      </c>
      <c r="M470" s="22">
        <f t="shared" si="163"/>
        <v>0</v>
      </c>
      <c r="N470" s="22">
        <f t="shared" si="163"/>
        <v>0</v>
      </c>
      <c r="O470" s="22">
        <f t="shared" si="163"/>
        <v>0</v>
      </c>
      <c r="P470" s="22">
        <f t="shared" si="163"/>
        <v>0</v>
      </c>
      <c r="Q470" s="22">
        <f t="shared" si="163"/>
        <v>0</v>
      </c>
      <c r="R470" s="22">
        <f t="shared" si="163"/>
        <v>0</v>
      </c>
      <c r="S470" s="22">
        <f t="shared" si="163"/>
        <v>0</v>
      </c>
      <c r="T470" s="22">
        <f t="shared" si="163"/>
        <v>0</v>
      </c>
      <c r="U470" s="22">
        <f t="shared" si="163"/>
        <v>0</v>
      </c>
      <c r="V470" s="22">
        <f t="shared" si="163"/>
        <v>0</v>
      </c>
      <c r="W470" s="22">
        <f t="shared" si="163"/>
        <v>0</v>
      </c>
      <c r="X470" s="22">
        <f t="shared" si="163"/>
        <v>0</v>
      </c>
      <c r="Y470" s="22">
        <f t="shared" si="163"/>
        <v>0</v>
      </c>
      <c r="Z470" s="22">
        <f t="shared" si="163"/>
        <v>0</v>
      </c>
      <c r="AA470" s="20">
        <f t="shared" si="161"/>
        <v>0</v>
      </c>
      <c r="AB470" s="23"/>
      <c r="AC470" s="2"/>
    </row>
    <row r="471">
      <c r="A471" s="17" t="s">
        <v>38</v>
      </c>
      <c r="B471" s="24" t="str">
        <f t="shared" ref="B471:Z471" si="164">B470/(COUNT(B466:B469)*1)</f>
        <v>#DIV/0!</v>
      </c>
      <c r="C471" s="24" t="str">
        <f t="shared" si="164"/>
        <v>#DIV/0!</v>
      </c>
      <c r="D471" s="24" t="str">
        <f t="shared" si="164"/>
        <v>#DIV/0!</v>
      </c>
      <c r="E471" s="24" t="str">
        <f t="shared" si="164"/>
        <v>#DIV/0!</v>
      </c>
      <c r="F471" s="24" t="str">
        <f t="shared" si="164"/>
        <v>#DIV/0!</v>
      </c>
      <c r="G471" s="24" t="str">
        <f t="shared" si="164"/>
        <v>#DIV/0!</v>
      </c>
      <c r="H471" s="24" t="str">
        <f t="shared" si="164"/>
        <v>#DIV/0!</v>
      </c>
      <c r="I471" s="24" t="str">
        <f t="shared" si="164"/>
        <v>#DIV/0!</v>
      </c>
      <c r="J471" s="24" t="str">
        <f t="shared" si="164"/>
        <v>#DIV/0!</v>
      </c>
      <c r="K471" s="24" t="str">
        <f t="shared" si="164"/>
        <v>#DIV/0!</v>
      </c>
      <c r="L471" s="24" t="str">
        <f t="shared" si="164"/>
        <v>#DIV/0!</v>
      </c>
      <c r="M471" s="24" t="str">
        <f t="shared" si="164"/>
        <v>#DIV/0!</v>
      </c>
      <c r="N471" s="24" t="str">
        <f t="shared" si="164"/>
        <v>#DIV/0!</v>
      </c>
      <c r="O471" s="24" t="str">
        <f t="shared" si="164"/>
        <v>#DIV/0!</v>
      </c>
      <c r="P471" s="24" t="str">
        <f t="shared" si="164"/>
        <v>#DIV/0!</v>
      </c>
      <c r="Q471" s="24" t="str">
        <f t="shared" si="164"/>
        <v>#DIV/0!</v>
      </c>
      <c r="R471" s="24" t="str">
        <f t="shared" si="164"/>
        <v>#DIV/0!</v>
      </c>
      <c r="S471" s="24" t="str">
        <f t="shared" si="164"/>
        <v>#DIV/0!</v>
      </c>
      <c r="T471" s="24" t="str">
        <f t="shared" si="164"/>
        <v>#DIV/0!</v>
      </c>
      <c r="U471" s="24" t="str">
        <f t="shared" si="164"/>
        <v>#DIV/0!</v>
      </c>
      <c r="V471" s="24" t="str">
        <f t="shared" si="164"/>
        <v>#DIV/0!</v>
      </c>
      <c r="W471" s="24" t="str">
        <f t="shared" si="164"/>
        <v>#DIV/0!</v>
      </c>
      <c r="X471" s="24" t="str">
        <f t="shared" si="164"/>
        <v>#DIV/0!</v>
      </c>
      <c r="Y471" s="24" t="str">
        <f t="shared" si="164"/>
        <v>#DIV/0!</v>
      </c>
      <c r="Z471" s="24" t="str">
        <f t="shared" si="164"/>
        <v>#DIV/0!</v>
      </c>
      <c r="AA471" s="25"/>
      <c r="AB471" s="26" t="str">
        <f>SUM(AB466:AB469)/4</f>
        <v>#DIV/0!</v>
      </c>
      <c r="AC471" s="2"/>
    </row>
    <row r="472">
      <c r="A472" s="27" t="s">
        <v>44</v>
      </c>
      <c r="B472" s="28"/>
      <c r="C472" s="2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30">
        <f t="shared" ref="AA472:AA474" si="165">SUM(B472:Z472)</f>
        <v>0</v>
      </c>
      <c r="AB472" s="31"/>
      <c r="AC472" s="2"/>
    </row>
    <row r="473">
      <c r="A473" s="32" t="s">
        <v>45</v>
      </c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28"/>
      <c r="W473" s="28"/>
      <c r="X473" s="28"/>
      <c r="Y473" s="28"/>
      <c r="Z473" s="28"/>
      <c r="AA473" s="30">
        <f t="shared" si="165"/>
        <v>0</v>
      </c>
      <c r="AB473" s="31"/>
      <c r="AC473" s="9"/>
    </row>
    <row r="474">
      <c r="A474" s="34" t="s">
        <v>46</v>
      </c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28"/>
      <c r="W474" s="28"/>
      <c r="X474" s="28"/>
      <c r="Y474" s="28"/>
      <c r="Z474" s="28"/>
      <c r="AA474" s="30">
        <f t="shared" si="165"/>
        <v>0</v>
      </c>
      <c r="AB474" s="31"/>
      <c r="AC474" s="9"/>
    </row>
    <row r="475">
      <c r="A475" s="35" t="s">
        <v>47</v>
      </c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7"/>
      <c r="AA475" s="38"/>
      <c r="AB475" s="39"/>
      <c r="AC475" s="2"/>
    </row>
    <row r="476">
      <c r="A476" s="40" t="s">
        <v>48</v>
      </c>
      <c r="B476" s="41"/>
      <c r="C476" s="42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3"/>
      <c r="W476" s="43"/>
      <c r="X476" s="43"/>
      <c r="Y476" s="43"/>
      <c r="Z476" s="43"/>
      <c r="AA476" s="44">
        <f t="shared" ref="AA476:AA477" si="166">SUM(B476:Z476)</f>
        <v>0</v>
      </c>
      <c r="AB476" s="31"/>
      <c r="AC476" s="2"/>
    </row>
    <row r="477">
      <c r="A477" s="40" t="s">
        <v>49</v>
      </c>
      <c r="B477" s="41"/>
      <c r="C477" s="42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3"/>
      <c r="W477" s="43"/>
      <c r="X477" s="43"/>
      <c r="Y477" s="43"/>
      <c r="Z477" s="43"/>
      <c r="AA477" s="44">
        <f t="shared" si="166"/>
        <v>0</v>
      </c>
      <c r="AB477" s="31"/>
      <c r="AC477" s="2"/>
    </row>
    <row r="478">
      <c r="A478" s="40" t="s">
        <v>50</v>
      </c>
      <c r="B478" s="42"/>
      <c r="C478" s="42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3"/>
      <c r="W478" s="43"/>
      <c r="X478" s="43"/>
      <c r="Y478" s="43"/>
      <c r="Z478" s="43"/>
      <c r="AA478" s="44" t="str">
        <f>AVERAGE(B478:Z478)</f>
        <v>#DIV/0!</v>
      </c>
      <c r="AB478" s="31"/>
      <c r="AC478" s="2"/>
    </row>
    <row r="479">
      <c r="A479" s="45" t="s">
        <v>51</v>
      </c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7"/>
      <c r="AA479" s="46"/>
      <c r="AB479" s="39"/>
      <c r="AC479" s="2"/>
    </row>
    <row r="480">
      <c r="A480" s="47" t="s">
        <v>48</v>
      </c>
      <c r="B480" s="48"/>
      <c r="C480" s="49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50"/>
      <c r="W480" s="50"/>
      <c r="X480" s="50"/>
      <c r="Y480" s="50"/>
      <c r="Z480" s="50"/>
      <c r="AA480" s="51">
        <f t="shared" ref="AA480:AA481" si="167">SUM(B480:Z480)</f>
        <v>0</v>
      </c>
      <c r="AB480" s="31"/>
      <c r="AC480" s="2"/>
    </row>
    <row r="481">
      <c r="A481" s="47" t="s">
        <v>49</v>
      </c>
      <c r="B481" s="48"/>
      <c r="C481" s="49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50"/>
      <c r="W481" s="50"/>
      <c r="X481" s="50"/>
      <c r="Y481" s="50"/>
      <c r="Z481" s="50"/>
      <c r="AA481" s="51">
        <f t="shared" si="167"/>
        <v>0</v>
      </c>
      <c r="AB481" s="31"/>
      <c r="AC481" s="2"/>
    </row>
    <row r="482">
      <c r="A482" s="47" t="s">
        <v>50</v>
      </c>
      <c r="B482" s="49"/>
      <c r="C482" s="49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50"/>
      <c r="W482" s="50"/>
      <c r="X482" s="50"/>
      <c r="Y482" s="50"/>
      <c r="Z482" s="50"/>
      <c r="AA482" s="51" t="str">
        <f>AVERAGE(B482:Z482)</f>
        <v>#DIV/0!</v>
      </c>
      <c r="AB482" s="31"/>
      <c r="AC482" s="2"/>
    </row>
    <row r="483">
      <c r="A483" s="52" t="s">
        <v>53</v>
      </c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7"/>
      <c r="AA483" s="38"/>
      <c r="AB483" s="39"/>
      <c r="AC483" s="2"/>
    </row>
    <row r="484">
      <c r="A484" s="40" t="s">
        <v>48</v>
      </c>
      <c r="B484" s="41"/>
      <c r="C484" s="42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3"/>
      <c r="W484" s="43"/>
      <c r="X484" s="43"/>
      <c r="Y484" s="43"/>
      <c r="Z484" s="43"/>
      <c r="AA484" s="44">
        <f t="shared" ref="AA484:AA485" si="168">SUM(B484:Z484)</f>
        <v>0</v>
      </c>
      <c r="AB484" s="31"/>
      <c r="AC484" s="2"/>
    </row>
    <row r="485">
      <c r="A485" s="40" t="s">
        <v>49</v>
      </c>
      <c r="B485" s="41"/>
      <c r="C485" s="42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3"/>
      <c r="W485" s="43"/>
      <c r="X485" s="43"/>
      <c r="Y485" s="43"/>
      <c r="Z485" s="43"/>
      <c r="AA485" s="44">
        <f t="shared" si="168"/>
        <v>0</v>
      </c>
      <c r="AB485" s="31"/>
      <c r="AC485" s="2"/>
    </row>
    <row r="486">
      <c r="A486" s="53" t="s">
        <v>50</v>
      </c>
      <c r="B486" s="54"/>
      <c r="C486" s="54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6"/>
      <c r="W486" s="56"/>
      <c r="X486" s="56"/>
      <c r="Y486" s="56"/>
      <c r="Z486" s="56"/>
      <c r="AA486" s="57" t="str">
        <f>AVERAGE(B486:Z486)</f>
        <v>#DIV/0!</v>
      </c>
      <c r="AB486" s="58"/>
      <c r="AC486" s="2"/>
    </row>
    <row r="487">
      <c r="A487" s="9"/>
      <c r="B487" s="9"/>
      <c r="C487" s="9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71" t="s">
        <v>54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5" t="s">
        <v>37</v>
      </c>
      <c r="AB488" s="16" t="s">
        <v>38</v>
      </c>
      <c r="AC488" s="2"/>
    </row>
    <row r="489">
      <c r="A489" s="17" t="s">
        <v>39</v>
      </c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20">
        <f t="shared" ref="AA489:AA493" si="169">SUM(B489:Z489)</f>
        <v>0</v>
      </c>
      <c r="AB489" s="21" t="str">
        <f t="shared" ref="AB489:AB492" si="170">AA489/(COUNT(B489:Z489)*1)</f>
        <v>#DIV/0!</v>
      </c>
      <c r="AC489" s="2"/>
    </row>
    <row r="490">
      <c r="A490" s="17" t="s">
        <v>40</v>
      </c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20">
        <f t="shared" si="169"/>
        <v>0</v>
      </c>
      <c r="AB490" s="21" t="str">
        <f t="shared" si="170"/>
        <v>#DIV/0!</v>
      </c>
      <c r="AC490" s="2"/>
    </row>
    <row r="491">
      <c r="A491" s="17" t="s">
        <v>41</v>
      </c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20">
        <f t="shared" si="169"/>
        <v>0</v>
      </c>
      <c r="AB491" s="21" t="str">
        <f t="shared" si="170"/>
        <v>#DIV/0!</v>
      </c>
      <c r="AC491" s="2"/>
    </row>
    <row r="492">
      <c r="A492" s="17" t="s">
        <v>42</v>
      </c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20">
        <f t="shared" si="169"/>
        <v>0</v>
      </c>
      <c r="AB492" s="21" t="str">
        <f t="shared" si="170"/>
        <v>#DIV/0!</v>
      </c>
      <c r="AC492" s="2"/>
    </row>
    <row r="493">
      <c r="A493" s="17" t="s">
        <v>43</v>
      </c>
      <c r="B493" s="22">
        <f t="shared" ref="B493:Z493" si="171">SUM(B489:B492)</f>
        <v>0</v>
      </c>
      <c r="C493" s="22">
        <f t="shared" si="171"/>
        <v>0</v>
      </c>
      <c r="D493" s="22">
        <f t="shared" si="171"/>
        <v>0</v>
      </c>
      <c r="E493" s="22">
        <f t="shared" si="171"/>
        <v>0</v>
      </c>
      <c r="F493" s="22">
        <f t="shared" si="171"/>
        <v>0</v>
      </c>
      <c r="G493" s="22">
        <f t="shared" si="171"/>
        <v>0</v>
      </c>
      <c r="H493" s="22">
        <f t="shared" si="171"/>
        <v>0</v>
      </c>
      <c r="I493" s="22">
        <f t="shared" si="171"/>
        <v>0</v>
      </c>
      <c r="J493" s="22">
        <f t="shared" si="171"/>
        <v>0</v>
      </c>
      <c r="K493" s="22">
        <f t="shared" si="171"/>
        <v>0</v>
      </c>
      <c r="L493" s="22">
        <f t="shared" si="171"/>
        <v>0</v>
      </c>
      <c r="M493" s="22">
        <f t="shared" si="171"/>
        <v>0</v>
      </c>
      <c r="N493" s="22">
        <f t="shared" si="171"/>
        <v>0</v>
      </c>
      <c r="O493" s="22">
        <f t="shared" si="171"/>
        <v>0</v>
      </c>
      <c r="P493" s="22">
        <f t="shared" si="171"/>
        <v>0</v>
      </c>
      <c r="Q493" s="22">
        <f t="shared" si="171"/>
        <v>0</v>
      </c>
      <c r="R493" s="22">
        <f t="shared" si="171"/>
        <v>0</v>
      </c>
      <c r="S493" s="22">
        <f t="shared" si="171"/>
        <v>0</v>
      </c>
      <c r="T493" s="22">
        <f t="shared" si="171"/>
        <v>0</v>
      </c>
      <c r="U493" s="22">
        <f t="shared" si="171"/>
        <v>0</v>
      </c>
      <c r="V493" s="22">
        <f t="shared" si="171"/>
        <v>0</v>
      </c>
      <c r="W493" s="22">
        <f t="shared" si="171"/>
        <v>0</v>
      </c>
      <c r="X493" s="22">
        <f t="shared" si="171"/>
        <v>0</v>
      </c>
      <c r="Y493" s="22">
        <f t="shared" si="171"/>
        <v>0</v>
      </c>
      <c r="Z493" s="22">
        <f t="shared" si="171"/>
        <v>0</v>
      </c>
      <c r="AA493" s="20">
        <f t="shared" si="169"/>
        <v>0</v>
      </c>
      <c r="AB493" s="23"/>
      <c r="AC493" s="2"/>
    </row>
    <row r="494">
      <c r="A494" s="17" t="s">
        <v>38</v>
      </c>
      <c r="B494" s="24" t="str">
        <f t="shared" ref="B494:Z494" si="172">B493/(COUNT(B489:B492)*1)</f>
        <v>#DIV/0!</v>
      </c>
      <c r="C494" s="24" t="str">
        <f t="shared" si="172"/>
        <v>#DIV/0!</v>
      </c>
      <c r="D494" s="24" t="str">
        <f t="shared" si="172"/>
        <v>#DIV/0!</v>
      </c>
      <c r="E494" s="24" t="str">
        <f t="shared" si="172"/>
        <v>#DIV/0!</v>
      </c>
      <c r="F494" s="24" t="str">
        <f t="shared" si="172"/>
        <v>#DIV/0!</v>
      </c>
      <c r="G494" s="24" t="str">
        <f t="shared" si="172"/>
        <v>#DIV/0!</v>
      </c>
      <c r="H494" s="24" t="str">
        <f t="shared" si="172"/>
        <v>#DIV/0!</v>
      </c>
      <c r="I494" s="24" t="str">
        <f t="shared" si="172"/>
        <v>#DIV/0!</v>
      </c>
      <c r="J494" s="24" t="str">
        <f t="shared" si="172"/>
        <v>#DIV/0!</v>
      </c>
      <c r="K494" s="24" t="str">
        <f t="shared" si="172"/>
        <v>#DIV/0!</v>
      </c>
      <c r="L494" s="24" t="str">
        <f t="shared" si="172"/>
        <v>#DIV/0!</v>
      </c>
      <c r="M494" s="24" t="str">
        <f t="shared" si="172"/>
        <v>#DIV/0!</v>
      </c>
      <c r="N494" s="24" t="str">
        <f t="shared" si="172"/>
        <v>#DIV/0!</v>
      </c>
      <c r="O494" s="24" t="str">
        <f t="shared" si="172"/>
        <v>#DIV/0!</v>
      </c>
      <c r="P494" s="24" t="str">
        <f t="shared" si="172"/>
        <v>#DIV/0!</v>
      </c>
      <c r="Q494" s="24" t="str">
        <f t="shared" si="172"/>
        <v>#DIV/0!</v>
      </c>
      <c r="R494" s="24" t="str">
        <f t="shared" si="172"/>
        <v>#DIV/0!</v>
      </c>
      <c r="S494" s="24" t="str">
        <f t="shared" si="172"/>
        <v>#DIV/0!</v>
      </c>
      <c r="T494" s="24" t="str">
        <f t="shared" si="172"/>
        <v>#DIV/0!</v>
      </c>
      <c r="U494" s="24" t="str">
        <f t="shared" si="172"/>
        <v>#DIV/0!</v>
      </c>
      <c r="V494" s="24" t="str">
        <f t="shared" si="172"/>
        <v>#DIV/0!</v>
      </c>
      <c r="W494" s="24" t="str">
        <f t="shared" si="172"/>
        <v>#DIV/0!</v>
      </c>
      <c r="X494" s="24" t="str">
        <f t="shared" si="172"/>
        <v>#DIV/0!</v>
      </c>
      <c r="Y494" s="24" t="str">
        <f t="shared" si="172"/>
        <v>#DIV/0!</v>
      </c>
      <c r="Z494" s="24" t="str">
        <f t="shared" si="172"/>
        <v>#DIV/0!</v>
      </c>
      <c r="AA494" s="25"/>
      <c r="AB494" s="26" t="str">
        <f>SUM(AB489:AB492)/4</f>
        <v>#DIV/0!</v>
      </c>
      <c r="AC494" s="2"/>
    </row>
    <row r="495">
      <c r="A495" s="27" t="s">
        <v>44</v>
      </c>
      <c r="B495" s="28"/>
      <c r="C495" s="2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30">
        <f t="shared" ref="AA495:AA497" si="173">SUM(B495:Z495)</f>
        <v>0</v>
      </c>
      <c r="AB495" s="31"/>
      <c r="AC495" s="2"/>
    </row>
    <row r="496">
      <c r="A496" s="32" t="s">
        <v>45</v>
      </c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28"/>
      <c r="W496" s="28"/>
      <c r="X496" s="28"/>
      <c r="Y496" s="28"/>
      <c r="Z496" s="28"/>
      <c r="AA496" s="30">
        <f t="shared" si="173"/>
        <v>0</v>
      </c>
      <c r="AB496" s="31"/>
      <c r="AC496" s="9"/>
    </row>
    <row r="497">
      <c r="A497" s="34" t="s">
        <v>46</v>
      </c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28"/>
      <c r="W497" s="28"/>
      <c r="X497" s="28"/>
      <c r="Y497" s="28"/>
      <c r="Z497" s="28"/>
      <c r="AA497" s="30">
        <f t="shared" si="173"/>
        <v>0</v>
      </c>
      <c r="AB497" s="31"/>
      <c r="AC497" s="9"/>
    </row>
    <row r="498">
      <c r="A498" s="35" t="s">
        <v>47</v>
      </c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7"/>
      <c r="AA498" s="38"/>
      <c r="AB498" s="39"/>
      <c r="AC498" s="2"/>
    </row>
    <row r="499">
      <c r="A499" s="40" t="s">
        <v>48</v>
      </c>
      <c r="B499" s="41"/>
      <c r="C499" s="42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3"/>
      <c r="W499" s="43"/>
      <c r="X499" s="43"/>
      <c r="Y499" s="43"/>
      <c r="Z499" s="43"/>
      <c r="AA499" s="44">
        <f t="shared" ref="AA499:AA500" si="174">SUM(B499:Z499)</f>
        <v>0</v>
      </c>
      <c r="AB499" s="31"/>
      <c r="AC499" s="2"/>
    </row>
    <row r="500">
      <c r="A500" s="40" t="s">
        <v>49</v>
      </c>
      <c r="B500" s="41"/>
      <c r="C500" s="42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3"/>
      <c r="W500" s="43"/>
      <c r="X500" s="43"/>
      <c r="Y500" s="43"/>
      <c r="Z500" s="43"/>
      <c r="AA500" s="44">
        <f t="shared" si="174"/>
        <v>0</v>
      </c>
      <c r="AB500" s="31"/>
      <c r="AC500" s="2"/>
    </row>
    <row r="501">
      <c r="A501" s="40" t="s">
        <v>50</v>
      </c>
      <c r="B501" s="42"/>
      <c r="C501" s="42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3"/>
      <c r="W501" s="43"/>
      <c r="X501" s="43"/>
      <c r="Y501" s="43"/>
      <c r="Z501" s="43"/>
      <c r="AA501" s="44" t="str">
        <f>AVERAGE(B501:Z501)</f>
        <v>#DIV/0!</v>
      </c>
      <c r="AB501" s="31"/>
      <c r="AC501" s="2"/>
    </row>
    <row r="502">
      <c r="A502" s="45" t="s">
        <v>51</v>
      </c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7"/>
      <c r="AA502" s="46"/>
      <c r="AB502" s="39"/>
      <c r="AC502" s="2"/>
    </row>
    <row r="503">
      <c r="A503" s="47" t="s">
        <v>48</v>
      </c>
      <c r="B503" s="48"/>
      <c r="C503" s="49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50"/>
      <c r="W503" s="50"/>
      <c r="X503" s="50"/>
      <c r="Y503" s="50"/>
      <c r="Z503" s="50"/>
      <c r="AA503" s="51">
        <f t="shared" ref="AA503:AA504" si="175">SUM(B503:Z503)</f>
        <v>0</v>
      </c>
      <c r="AB503" s="31"/>
      <c r="AC503" s="2"/>
    </row>
    <row r="504">
      <c r="A504" s="47" t="s">
        <v>49</v>
      </c>
      <c r="B504" s="48"/>
      <c r="C504" s="49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50"/>
      <c r="W504" s="50"/>
      <c r="X504" s="50"/>
      <c r="Y504" s="50"/>
      <c r="Z504" s="50"/>
      <c r="AA504" s="51">
        <f t="shared" si="175"/>
        <v>0</v>
      </c>
      <c r="AB504" s="31"/>
      <c r="AC504" s="2"/>
    </row>
    <row r="505">
      <c r="A505" s="47" t="s">
        <v>50</v>
      </c>
      <c r="B505" s="49"/>
      <c r="C505" s="49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50"/>
      <c r="W505" s="50"/>
      <c r="X505" s="50"/>
      <c r="Y505" s="50"/>
      <c r="Z505" s="50"/>
      <c r="AA505" s="51" t="str">
        <f>AVERAGE(B505:Z505)</f>
        <v>#DIV/0!</v>
      </c>
      <c r="AB505" s="31"/>
      <c r="AC505" s="2"/>
    </row>
    <row r="506">
      <c r="A506" s="52" t="s">
        <v>53</v>
      </c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7"/>
      <c r="AA506" s="38"/>
      <c r="AB506" s="39"/>
      <c r="AC506" s="2"/>
    </row>
    <row r="507">
      <c r="A507" s="40" t="s">
        <v>48</v>
      </c>
      <c r="B507" s="41"/>
      <c r="C507" s="42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3"/>
      <c r="W507" s="43"/>
      <c r="X507" s="43"/>
      <c r="Y507" s="43"/>
      <c r="Z507" s="43"/>
      <c r="AA507" s="44">
        <f t="shared" ref="AA507:AA508" si="176">SUM(B507:Z507)</f>
        <v>0</v>
      </c>
      <c r="AB507" s="31"/>
      <c r="AC507" s="2"/>
    </row>
    <row r="508">
      <c r="A508" s="40" t="s">
        <v>49</v>
      </c>
      <c r="B508" s="41"/>
      <c r="C508" s="42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3"/>
      <c r="W508" s="43"/>
      <c r="X508" s="43"/>
      <c r="Y508" s="43"/>
      <c r="Z508" s="43"/>
      <c r="AA508" s="44">
        <f t="shared" si="176"/>
        <v>0</v>
      </c>
      <c r="AB508" s="31"/>
      <c r="AC508" s="2"/>
    </row>
    <row r="509">
      <c r="A509" s="53" t="s">
        <v>50</v>
      </c>
      <c r="B509" s="54"/>
      <c r="C509" s="54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6"/>
      <c r="W509" s="56"/>
      <c r="X509" s="56"/>
      <c r="Y509" s="56"/>
      <c r="Z509" s="56"/>
      <c r="AA509" s="57" t="str">
        <f>AVERAGE(B509:Z509)</f>
        <v>#DIV/0!</v>
      </c>
      <c r="AB509" s="58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9"/>
      <c r="AB511" s="9"/>
      <c r="AC511" s="2"/>
    </row>
    <row r="512" ht="15.75" customHeight="1">
      <c r="A512" s="72" t="s">
        <v>55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73" t="s">
        <v>56</v>
      </c>
      <c r="AB512" s="73" t="s">
        <v>57</v>
      </c>
      <c r="AC512" s="2"/>
    </row>
    <row r="513" ht="15.75" customHeight="1">
      <c r="A513" s="74" t="s">
        <v>39</v>
      </c>
      <c r="B513" s="75">
        <f t="shared" ref="B513:Z513" si="177">B6+B29+B52+B75+B98+B121+B144+B167+B190+B213+B236+B259+B282+B305+B328+B351+B374+B397+B420+B443+B466+B489</f>
        <v>12</v>
      </c>
      <c r="C513" s="75">
        <f t="shared" si="177"/>
        <v>15</v>
      </c>
      <c r="D513" s="75">
        <f t="shared" si="177"/>
        <v>14</v>
      </c>
      <c r="E513" s="75">
        <f t="shared" si="177"/>
        <v>12</v>
      </c>
      <c r="F513" s="75">
        <f t="shared" si="177"/>
        <v>11</v>
      </c>
      <c r="G513" s="75">
        <f t="shared" si="177"/>
        <v>11</v>
      </c>
      <c r="H513" s="75">
        <f t="shared" si="177"/>
        <v>12</v>
      </c>
      <c r="I513" s="75">
        <f t="shared" si="177"/>
        <v>9</v>
      </c>
      <c r="J513" s="75">
        <f t="shared" si="177"/>
        <v>10</v>
      </c>
      <c r="K513" s="75">
        <f t="shared" si="177"/>
        <v>12</v>
      </c>
      <c r="L513" s="75">
        <f t="shared" si="177"/>
        <v>12</v>
      </c>
      <c r="M513" s="75">
        <f t="shared" si="177"/>
        <v>11</v>
      </c>
      <c r="N513" s="75">
        <f t="shared" si="177"/>
        <v>10</v>
      </c>
      <c r="O513" s="75">
        <f t="shared" si="177"/>
        <v>14</v>
      </c>
      <c r="P513" s="75">
        <f t="shared" si="177"/>
        <v>15</v>
      </c>
      <c r="Q513" s="75">
        <f t="shared" si="177"/>
        <v>13</v>
      </c>
      <c r="R513" s="75">
        <f t="shared" si="177"/>
        <v>14</v>
      </c>
      <c r="S513" s="75">
        <f t="shared" si="177"/>
        <v>7</v>
      </c>
      <c r="T513" s="75">
        <f t="shared" si="177"/>
        <v>8</v>
      </c>
      <c r="U513" s="75">
        <f t="shared" si="177"/>
        <v>7</v>
      </c>
      <c r="V513" s="75">
        <f t="shared" si="177"/>
        <v>6</v>
      </c>
      <c r="W513" s="75">
        <f t="shared" si="177"/>
        <v>7</v>
      </c>
      <c r="X513" s="75">
        <f t="shared" si="177"/>
        <v>5</v>
      </c>
      <c r="Y513" s="75">
        <f t="shared" si="177"/>
        <v>1</v>
      </c>
      <c r="Z513" s="75">
        <f t="shared" si="177"/>
        <v>0</v>
      </c>
      <c r="AA513" s="76">
        <f t="shared" ref="AA513:AA521" si="179">SUM(B513:Z513)</f>
        <v>248</v>
      </c>
      <c r="AB513" s="77">
        <f t="shared" ref="AB513:AB516" si="180">AA513/(COUNT(B6:Z6,B29:Z29,B52:Z52,B75:Z75,B98:Z98,B121:Z121,B144:Z144,B167:Z167,B190:Z190,B213:Z213,B236:Z236,B259:Z259,B282:Z282,B305:Z305,B328:Z328,B351:Z351,B374:Z374,B397:Z397,B420:Z420,B443:Z443,B466:Z466,B489:Z489))</f>
        <v>0.6739130435</v>
      </c>
      <c r="AC513" s="78" t="s">
        <v>39</v>
      </c>
    </row>
    <row r="514" ht="15.75" customHeight="1">
      <c r="A514" s="17" t="s">
        <v>40</v>
      </c>
      <c r="B514" s="20">
        <f t="shared" ref="B514:Z514" si="178">B7+B30+B53+B76+B99+B122+B145+B168+B191+B214+B237+B260+B283+B306+B329+B352+B375+B398+B421+B444+B467+B490</f>
        <v>12</v>
      </c>
      <c r="C514" s="20">
        <f t="shared" si="178"/>
        <v>16</v>
      </c>
      <c r="D514" s="20">
        <f t="shared" si="178"/>
        <v>15</v>
      </c>
      <c r="E514" s="20">
        <f t="shared" si="178"/>
        <v>12</v>
      </c>
      <c r="F514" s="20">
        <f t="shared" si="178"/>
        <v>14</v>
      </c>
      <c r="G514" s="20">
        <f t="shared" si="178"/>
        <v>14</v>
      </c>
      <c r="H514" s="20">
        <f t="shared" si="178"/>
        <v>16</v>
      </c>
      <c r="I514" s="20">
        <f t="shared" si="178"/>
        <v>13</v>
      </c>
      <c r="J514" s="20">
        <f t="shared" si="178"/>
        <v>14</v>
      </c>
      <c r="K514" s="20">
        <f t="shared" si="178"/>
        <v>13</v>
      </c>
      <c r="L514" s="20">
        <f t="shared" si="178"/>
        <v>15</v>
      </c>
      <c r="M514" s="20">
        <f t="shared" si="178"/>
        <v>13</v>
      </c>
      <c r="N514" s="20">
        <f t="shared" si="178"/>
        <v>14</v>
      </c>
      <c r="O514" s="20">
        <f t="shared" si="178"/>
        <v>15</v>
      </c>
      <c r="P514" s="20">
        <f t="shared" si="178"/>
        <v>13</v>
      </c>
      <c r="Q514" s="20">
        <f t="shared" si="178"/>
        <v>15</v>
      </c>
      <c r="R514" s="20">
        <f t="shared" si="178"/>
        <v>16</v>
      </c>
      <c r="S514" s="20">
        <f t="shared" si="178"/>
        <v>13</v>
      </c>
      <c r="T514" s="20">
        <f t="shared" si="178"/>
        <v>13</v>
      </c>
      <c r="U514" s="20">
        <f t="shared" si="178"/>
        <v>14</v>
      </c>
      <c r="V514" s="20">
        <f t="shared" si="178"/>
        <v>11</v>
      </c>
      <c r="W514" s="20">
        <f t="shared" si="178"/>
        <v>10</v>
      </c>
      <c r="X514" s="20">
        <f t="shared" si="178"/>
        <v>6</v>
      </c>
      <c r="Y514" s="20">
        <f t="shared" si="178"/>
        <v>1</v>
      </c>
      <c r="Z514" s="20">
        <f t="shared" si="178"/>
        <v>0</v>
      </c>
      <c r="AA514" s="79">
        <f t="shared" si="179"/>
        <v>308</v>
      </c>
      <c r="AB514" s="80">
        <f t="shared" si="180"/>
        <v>0.8369565217</v>
      </c>
      <c r="AC514" s="81" t="s">
        <v>40</v>
      </c>
    </row>
    <row r="515" ht="15.75" customHeight="1">
      <c r="A515" s="17" t="s">
        <v>41</v>
      </c>
      <c r="B515" s="20">
        <f t="shared" ref="B515:Z515" si="181">B8+B31+B54+B77+B100+B123+B146+B169+B192+B215+B238+B261+B284+B307+B330+B353+B376+B399+B422+B445+B468+B491</f>
        <v>11</v>
      </c>
      <c r="C515" s="20">
        <f t="shared" si="181"/>
        <v>7</v>
      </c>
      <c r="D515" s="20">
        <f t="shared" si="181"/>
        <v>9</v>
      </c>
      <c r="E515" s="20">
        <f t="shared" si="181"/>
        <v>11</v>
      </c>
      <c r="F515" s="20">
        <f t="shared" si="181"/>
        <v>11</v>
      </c>
      <c r="G515" s="20">
        <f t="shared" si="181"/>
        <v>8</v>
      </c>
      <c r="H515" s="20">
        <f t="shared" si="181"/>
        <v>9</v>
      </c>
      <c r="I515" s="20">
        <f t="shared" si="181"/>
        <v>11</v>
      </c>
      <c r="J515" s="20">
        <f t="shared" si="181"/>
        <v>10</v>
      </c>
      <c r="K515" s="20">
        <f t="shared" si="181"/>
        <v>9</v>
      </c>
      <c r="L515" s="20">
        <f t="shared" si="181"/>
        <v>12</v>
      </c>
      <c r="M515" s="20">
        <f t="shared" si="181"/>
        <v>9</v>
      </c>
      <c r="N515" s="20">
        <f t="shared" si="181"/>
        <v>10</v>
      </c>
      <c r="O515" s="20">
        <f t="shared" si="181"/>
        <v>14</v>
      </c>
      <c r="P515" s="20">
        <f t="shared" si="181"/>
        <v>12</v>
      </c>
      <c r="Q515" s="20">
        <f t="shared" si="181"/>
        <v>14</v>
      </c>
      <c r="R515" s="20">
        <f t="shared" si="181"/>
        <v>14</v>
      </c>
      <c r="S515" s="20">
        <f t="shared" si="181"/>
        <v>7</v>
      </c>
      <c r="T515" s="20">
        <f t="shared" si="181"/>
        <v>12</v>
      </c>
      <c r="U515" s="20">
        <f t="shared" si="181"/>
        <v>10</v>
      </c>
      <c r="V515" s="20">
        <f t="shared" si="181"/>
        <v>7</v>
      </c>
      <c r="W515" s="20">
        <f t="shared" si="181"/>
        <v>9</v>
      </c>
      <c r="X515" s="20">
        <f t="shared" si="181"/>
        <v>5</v>
      </c>
      <c r="Y515" s="20">
        <f t="shared" si="181"/>
        <v>1</v>
      </c>
      <c r="Z515" s="20">
        <f t="shared" si="181"/>
        <v>0</v>
      </c>
      <c r="AA515" s="79">
        <f t="shared" si="179"/>
        <v>232</v>
      </c>
      <c r="AB515" s="80">
        <f t="shared" si="180"/>
        <v>0.6304347826</v>
      </c>
      <c r="AC515" s="81" t="s">
        <v>41</v>
      </c>
    </row>
    <row r="516" ht="15.75" customHeight="1">
      <c r="A516" s="17" t="s">
        <v>42</v>
      </c>
      <c r="B516" s="20">
        <f t="shared" ref="B516:Z516" si="182">B9+B32+B55+B78+B101+B124+B147+B170+B193+B216+B239+B262+B285+B308+B331+B354+B377+B400+B423+B446+B469+B492</f>
        <v>12</v>
      </c>
      <c r="C516" s="20">
        <f t="shared" si="182"/>
        <v>9</v>
      </c>
      <c r="D516" s="20">
        <f t="shared" si="182"/>
        <v>8</v>
      </c>
      <c r="E516" s="20">
        <f t="shared" si="182"/>
        <v>11</v>
      </c>
      <c r="F516" s="20">
        <f t="shared" si="182"/>
        <v>10</v>
      </c>
      <c r="G516" s="20">
        <f t="shared" si="182"/>
        <v>12</v>
      </c>
      <c r="H516" s="20">
        <f t="shared" si="182"/>
        <v>9</v>
      </c>
      <c r="I516" s="20">
        <f t="shared" si="182"/>
        <v>7</v>
      </c>
      <c r="J516" s="20">
        <f t="shared" si="182"/>
        <v>9</v>
      </c>
      <c r="K516" s="20">
        <f t="shared" si="182"/>
        <v>13</v>
      </c>
      <c r="L516" s="20">
        <f t="shared" si="182"/>
        <v>13</v>
      </c>
      <c r="M516" s="20">
        <f t="shared" si="182"/>
        <v>13</v>
      </c>
      <c r="N516" s="20">
        <f t="shared" si="182"/>
        <v>12</v>
      </c>
      <c r="O516" s="20">
        <f t="shared" si="182"/>
        <v>12</v>
      </c>
      <c r="P516" s="20">
        <f t="shared" si="182"/>
        <v>11</v>
      </c>
      <c r="Q516" s="20">
        <f t="shared" si="182"/>
        <v>10</v>
      </c>
      <c r="R516" s="20">
        <f t="shared" si="182"/>
        <v>12</v>
      </c>
      <c r="S516" s="20">
        <f t="shared" si="182"/>
        <v>4</v>
      </c>
      <c r="T516" s="20">
        <f t="shared" si="182"/>
        <v>4</v>
      </c>
      <c r="U516" s="20">
        <f t="shared" si="182"/>
        <v>6</v>
      </c>
      <c r="V516" s="20">
        <f t="shared" si="182"/>
        <v>5</v>
      </c>
      <c r="W516" s="20">
        <f t="shared" si="182"/>
        <v>7</v>
      </c>
      <c r="X516" s="20">
        <f t="shared" si="182"/>
        <v>5</v>
      </c>
      <c r="Y516" s="20">
        <f t="shared" si="182"/>
        <v>1</v>
      </c>
      <c r="Z516" s="20">
        <f t="shared" si="182"/>
        <v>0</v>
      </c>
      <c r="AA516" s="79">
        <f t="shared" si="179"/>
        <v>215</v>
      </c>
      <c r="AB516" s="80">
        <f t="shared" si="180"/>
        <v>0.5842391304</v>
      </c>
      <c r="AC516" s="81" t="s">
        <v>42</v>
      </c>
    </row>
    <row r="517" ht="15.75" hidden="1" customHeight="1">
      <c r="A517" s="82"/>
      <c r="B517" s="20">
        <f t="shared" ref="B517:Z517" si="183">B513+B514+B515+B516</f>
        <v>47</v>
      </c>
      <c r="C517" s="20">
        <f t="shared" si="183"/>
        <v>47</v>
      </c>
      <c r="D517" s="20">
        <f t="shared" si="183"/>
        <v>46</v>
      </c>
      <c r="E517" s="20">
        <f t="shared" si="183"/>
        <v>46</v>
      </c>
      <c r="F517" s="20">
        <f t="shared" si="183"/>
        <v>46</v>
      </c>
      <c r="G517" s="20">
        <f t="shared" si="183"/>
        <v>45</v>
      </c>
      <c r="H517" s="20">
        <f t="shared" si="183"/>
        <v>46</v>
      </c>
      <c r="I517" s="20">
        <f t="shared" si="183"/>
        <v>40</v>
      </c>
      <c r="J517" s="20">
        <f t="shared" si="183"/>
        <v>43</v>
      </c>
      <c r="K517" s="20">
        <f t="shared" si="183"/>
        <v>47</v>
      </c>
      <c r="L517" s="20">
        <f t="shared" si="183"/>
        <v>52</v>
      </c>
      <c r="M517" s="20">
        <f t="shared" si="183"/>
        <v>46</v>
      </c>
      <c r="N517" s="20">
        <f t="shared" si="183"/>
        <v>46</v>
      </c>
      <c r="O517" s="20">
        <f t="shared" si="183"/>
        <v>55</v>
      </c>
      <c r="P517" s="20">
        <f t="shared" si="183"/>
        <v>51</v>
      </c>
      <c r="Q517" s="20">
        <f t="shared" si="183"/>
        <v>52</v>
      </c>
      <c r="R517" s="20">
        <f t="shared" si="183"/>
        <v>56</v>
      </c>
      <c r="S517" s="20">
        <f t="shared" si="183"/>
        <v>31</v>
      </c>
      <c r="T517" s="20">
        <f t="shared" si="183"/>
        <v>37</v>
      </c>
      <c r="U517" s="20">
        <f t="shared" si="183"/>
        <v>37</v>
      </c>
      <c r="V517" s="20">
        <f t="shared" si="183"/>
        <v>29</v>
      </c>
      <c r="W517" s="20">
        <f t="shared" si="183"/>
        <v>33</v>
      </c>
      <c r="X517" s="20">
        <f t="shared" si="183"/>
        <v>21</v>
      </c>
      <c r="Y517" s="20">
        <f t="shared" si="183"/>
        <v>4</v>
      </c>
      <c r="Z517" s="20">
        <f t="shared" si="183"/>
        <v>0</v>
      </c>
      <c r="AA517" s="79">
        <f t="shared" si="179"/>
        <v>1003</v>
      </c>
      <c r="AB517" s="83"/>
      <c r="AC517" s="82"/>
    </row>
    <row r="518" ht="15.75" customHeight="1">
      <c r="A518" s="84" t="s">
        <v>58</v>
      </c>
      <c r="B518" s="85">
        <f t="shared" ref="B518:Z518" si="184">B517/(COUNT(B6:B9,B29:B32,B52:B55,B75:B78,B98:B101,B121:B124,B144:B147,B167:B170,B190:B193,B213:B216,B236:B239,B259:B262,B282:B285,B305:B308,B328:B331,B351:B354,B374:B377,B397:B400,B420:B423,B443:B446,B466:B469,B489:B492)*1)</f>
        <v>0.9791666667</v>
      </c>
      <c r="C518" s="85">
        <f t="shared" si="184"/>
        <v>0.6911764706</v>
      </c>
      <c r="D518" s="85">
        <f t="shared" si="184"/>
        <v>0.6764705882</v>
      </c>
      <c r="E518" s="85">
        <f t="shared" si="184"/>
        <v>0.6764705882</v>
      </c>
      <c r="F518" s="85">
        <f t="shared" si="184"/>
        <v>0.6764705882</v>
      </c>
      <c r="G518" s="85">
        <f t="shared" si="184"/>
        <v>0.6617647059</v>
      </c>
      <c r="H518" s="85">
        <f t="shared" si="184"/>
        <v>0.6764705882</v>
      </c>
      <c r="I518" s="85">
        <f t="shared" si="184"/>
        <v>0.5882352941</v>
      </c>
      <c r="J518" s="85">
        <f t="shared" si="184"/>
        <v>0.6323529412</v>
      </c>
      <c r="K518" s="85">
        <f t="shared" si="184"/>
        <v>0.6911764706</v>
      </c>
      <c r="L518" s="85">
        <f t="shared" si="184"/>
        <v>0.7647058824</v>
      </c>
      <c r="M518" s="85">
        <f t="shared" si="184"/>
        <v>0.6764705882</v>
      </c>
      <c r="N518" s="85">
        <f t="shared" si="184"/>
        <v>0.6764705882</v>
      </c>
      <c r="O518" s="85">
        <f t="shared" si="184"/>
        <v>0.859375</v>
      </c>
      <c r="P518" s="85">
        <f t="shared" si="184"/>
        <v>0.796875</v>
      </c>
      <c r="Q518" s="85">
        <f t="shared" si="184"/>
        <v>0.7647058824</v>
      </c>
      <c r="R518" s="85">
        <f t="shared" si="184"/>
        <v>0.8235294118</v>
      </c>
      <c r="S518" s="85">
        <f t="shared" si="184"/>
        <v>0.4558823529</v>
      </c>
      <c r="T518" s="85">
        <f t="shared" si="184"/>
        <v>0.5441176471</v>
      </c>
      <c r="U518" s="85">
        <f t="shared" si="184"/>
        <v>0.578125</v>
      </c>
      <c r="V518" s="85">
        <f t="shared" si="184"/>
        <v>0.453125</v>
      </c>
      <c r="W518" s="85">
        <f t="shared" si="184"/>
        <v>0.6346153846</v>
      </c>
      <c r="X518" s="85">
        <f t="shared" si="184"/>
        <v>0.875</v>
      </c>
      <c r="Y518" s="85">
        <f t="shared" si="184"/>
        <v>1</v>
      </c>
      <c r="Z518" s="85" t="str">
        <f t="shared" si="184"/>
        <v>#DIV/0!</v>
      </c>
      <c r="AA518" s="79" t="str">
        <f t="shared" si="179"/>
        <v>#DIV/0!</v>
      </c>
      <c r="AB518" s="80">
        <f>SUM(AB513:AB516)/4</f>
        <v>0.6813858696</v>
      </c>
      <c r="AC518" s="87" t="s">
        <v>58</v>
      </c>
    </row>
    <row r="519">
      <c r="A519" s="27" t="s">
        <v>44</v>
      </c>
      <c r="B519" s="88">
        <f t="shared" ref="B519:Z519" si="185">B12+B35+B58+B81+B104+B127+B150+B173+B196+B219+B242+B265+B288+B311+B334+B357+B380+B403+B426+B449+B472+B495</f>
        <v>0</v>
      </c>
      <c r="C519" s="88">
        <f t="shared" si="185"/>
        <v>0</v>
      </c>
      <c r="D519" s="88">
        <f t="shared" si="185"/>
        <v>20</v>
      </c>
      <c r="E519" s="88">
        <f t="shared" si="185"/>
        <v>20</v>
      </c>
      <c r="F519" s="88">
        <f t="shared" si="185"/>
        <v>20</v>
      </c>
      <c r="G519" s="88">
        <f t="shared" si="185"/>
        <v>20</v>
      </c>
      <c r="H519" s="88">
        <f t="shared" si="185"/>
        <v>20</v>
      </c>
      <c r="I519" s="88">
        <f t="shared" si="185"/>
        <v>20</v>
      </c>
      <c r="J519" s="88">
        <f t="shared" si="185"/>
        <v>20</v>
      </c>
      <c r="K519" s="88">
        <f t="shared" si="185"/>
        <v>20</v>
      </c>
      <c r="L519" s="88">
        <f t="shared" si="185"/>
        <v>20</v>
      </c>
      <c r="M519" s="88">
        <f t="shared" si="185"/>
        <v>20</v>
      </c>
      <c r="N519" s="88">
        <f t="shared" si="185"/>
        <v>20</v>
      </c>
      <c r="O519" s="88">
        <f t="shared" si="185"/>
        <v>20</v>
      </c>
      <c r="P519" s="88">
        <f t="shared" si="185"/>
        <v>0</v>
      </c>
      <c r="Q519" s="88">
        <f t="shared" si="185"/>
        <v>0</v>
      </c>
      <c r="R519" s="88">
        <f t="shared" si="185"/>
        <v>20</v>
      </c>
      <c r="S519" s="88">
        <f t="shared" si="185"/>
        <v>20</v>
      </c>
      <c r="T519" s="88">
        <f t="shared" si="185"/>
        <v>20</v>
      </c>
      <c r="U519" s="88">
        <f t="shared" si="185"/>
        <v>20</v>
      </c>
      <c r="V519" s="88">
        <f t="shared" si="185"/>
        <v>20</v>
      </c>
      <c r="W519" s="88">
        <f t="shared" si="185"/>
        <v>20</v>
      </c>
      <c r="X519" s="88">
        <f t="shared" si="185"/>
        <v>0</v>
      </c>
      <c r="Y519" s="88">
        <f t="shared" si="185"/>
        <v>0</v>
      </c>
      <c r="Z519" s="88">
        <f t="shared" si="185"/>
        <v>0</v>
      </c>
      <c r="AA519" s="89">
        <f t="shared" si="179"/>
        <v>360</v>
      </c>
      <c r="AB519" s="90" t="s">
        <v>59</v>
      </c>
      <c r="AC519" s="91"/>
    </row>
    <row r="520" ht="15.75" customHeight="1">
      <c r="A520" s="32" t="s">
        <v>45</v>
      </c>
      <c r="B520" s="88">
        <f t="shared" ref="B520:Z520" si="186">B13+B36+B59+B82+B105+B128+B151+B174+B197+B220+B243+B266+B289+B312+B335+B358+B381+B404+B427+B450+B473+B496</f>
        <v>0</v>
      </c>
      <c r="C520" s="88">
        <f t="shared" si="186"/>
        <v>0</v>
      </c>
      <c r="D520" s="88">
        <f t="shared" si="186"/>
        <v>3</v>
      </c>
      <c r="E520" s="88">
        <f t="shared" si="186"/>
        <v>12</v>
      </c>
      <c r="F520" s="88">
        <f t="shared" si="186"/>
        <v>7</v>
      </c>
      <c r="G520" s="88">
        <f t="shared" si="186"/>
        <v>10</v>
      </c>
      <c r="H520" s="88">
        <f t="shared" si="186"/>
        <v>10</v>
      </c>
      <c r="I520" s="88">
        <f t="shared" si="186"/>
        <v>17</v>
      </c>
      <c r="J520" s="88">
        <f t="shared" si="186"/>
        <v>9</v>
      </c>
      <c r="K520" s="88">
        <f t="shared" si="186"/>
        <v>17</v>
      </c>
      <c r="L520" s="88">
        <f t="shared" si="186"/>
        <v>4</v>
      </c>
      <c r="M520" s="88">
        <f t="shared" si="186"/>
        <v>13</v>
      </c>
      <c r="N520" s="88">
        <f t="shared" si="186"/>
        <v>8</v>
      </c>
      <c r="O520" s="88">
        <f t="shared" si="186"/>
        <v>0</v>
      </c>
      <c r="P520" s="88">
        <f t="shared" si="186"/>
        <v>8</v>
      </c>
      <c r="Q520" s="88">
        <f t="shared" si="186"/>
        <v>1</v>
      </c>
      <c r="R520" s="88">
        <f t="shared" si="186"/>
        <v>0</v>
      </c>
      <c r="S520" s="88">
        <f t="shared" si="186"/>
        <v>45</v>
      </c>
      <c r="T520" s="88">
        <f t="shared" si="186"/>
        <v>29</v>
      </c>
      <c r="U520" s="88">
        <f t="shared" si="186"/>
        <v>13</v>
      </c>
      <c r="V520" s="88">
        <f t="shared" si="186"/>
        <v>15</v>
      </c>
      <c r="W520" s="88">
        <f t="shared" si="186"/>
        <v>2</v>
      </c>
      <c r="X520" s="88">
        <f t="shared" si="186"/>
        <v>0</v>
      </c>
      <c r="Y520" s="88">
        <f t="shared" si="186"/>
        <v>0</v>
      </c>
      <c r="Z520" s="88">
        <f t="shared" si="186"/>
        <v>0</v>
      </c>
      <c r="AA520" s="89">
        <f t="shared" si="179"/>
        <v>223</v>
      </c>
      <c r="AB520" s="90" t="s">
        <v>59</v>
      </c>
      <c r="AC520" s="92"/>
    </row>
    <row r="521">
      <c r="A521" s="93" t="s">
        <v>46</v>
      </c>
      <c r="B521" s="88">
        <f t="shared" ref="B521:Z521" si="187">B14+B37+B60+B83+B106+B129+B152+B175+B198+B221+B244+B267+B290+B313+B336+B359+B382+B405+B428+B451+B474+B497</f>
        <v>0</v>
      </c>
      <c r="C521" s="88">
        <f t="shared" si="187"/>
        <v>0</v>
      </c>
      <c r="D521" s="88">
        <f t="shared" si="187"/>
        <v>0</v>
      </c>
      <c r="E521" s="88">
        <f t="shared" si="187"/>
        <v>0</v>
      </c>
      <c r="F521" s="88">
        <f t="shared" si="187"/>
        <v>0</v>
      </c>
      <c r="G521" s="88">
        <f t="shared" si="187"/>
        <v>0</v>
      </c>
      <c r="H521" s="88">
        <f t="shared" si="187"/>
        <v>0</v>
      </c>
      <c r="I521" s="88">
        <f t="shared" si="187"/>
        <v>0</v>
      </c>
      <c r="J521" s="88">
        <f t="shared" si="187"/>
        <v>0</v>
      </c>
      <c r="K521" s="88">
        <f t="shared" si="187"/>
        <v>0</v>
      </c>
      <c r="L521" s="88">
        <f t="shared" si="187"/>
        <v>0</v>
      </c>
      <c r="M521" s="88">
        <f t="shared" si="187"/>
        <v>0</v>
      </c>
      <c r="N521" s="88">
        <f t="shared" si="187"/>
        <v>0</v>
      </c>
      <c r="O521" s="88">
        <f t="shared" si="187"/>
        <v>0</v>
      </c>
      <c r="P521" s="88">
        <f t="shared" si="187"/>
        <v>0</v>
      </c>
      <c r="Q521" s="88">
        <f t="shared" si="187"/>
        <v>0</v>
      </c>
      <c r="R521" s="88">
        <f t="shared" si="187"/>
        <v>0</v>
      </c>
      <c r="S521" s="88">
        <f t="shared" si="187"/>
        <v>0</v>
      </c>
      <c r="T521" s="88">
        <f t="shared" si="187"/>
        <v>0</v>
      </c>
      <c r="U521" s="88">
        <f t="shared" si="187"/>
        <v>0</v>
      </c>
      <c r="V521" s="88">
        <f t="shared" si="187"/>
        <v>0</v>
      </c>
      <c r="W521" s="88">
        <f t="shared" si="187"/>
        <v>0</v>
      </c>
      <c r="X521" s="88">
        <f t="shared" si="187"/>
        <v>0</v>
      </c>
      <c r="Y521" s="88">
        <f t="shared" si="187"/>
        <v>0</v>
      </c>
      <c r="Z521" s="88">
        <f t="shared" si="187"/>
        <v>0</v>
      </c>
      <c r="AA521" s="89">
        <f t="shared" si="179"/>
        <v>0</v>
      </c>
      <c r="AB521" s="90" t="s">
        <v>59</v>
      </c>
      <c r="AC521" s="92"/>
    </row>
    <row r="522">
      <c r="A522" s="94" t="s">
        <v>47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95"/>
      <c r="AB522" s="96" t="s">
        <v>47</v>
      </c>
      <c r="AC522" s="95"/>
    </row>
    <row r="523" ht="15.75" customHeight="1">
      <c r="A523" s="97" t="s">
        <v>48</v>
      </c>
      <c r="B523" s="98">
        <f t="shared" ref="B523:Z523" si="188">B16+B39+B62+B85+B108+B131+B154+B177+B200+B223+B246+B269+B292+B315+B338+B361+B384+B407+B430+B453+B476+B499</f>
        <v>0</v>
      </c>
      <c r="C523" s="98">
        <f t="shared" si="188"/>
        <v>2</v>
      </c>
      <c r="D523" s="98">
        <f t="shared" si="188"/>
        <v>3</v>
      </c>
      <c r="E523" s="98">
        <f t="shared" si="188"/>
        <v>4</v>
      </c>
      <c r="F523" s="98">
        <f t="shared" si="188"/>
        <v>7</v>
      </c>
      <c r="G523" s="98">
        <f t="shared" si="188"/>
        <v>6</v>
      </c>
      <c r="H523" s="98">
        <f t="shared" si="188"/>
        <v>6</v>
      </c>
      <c r="I523" s="98">
        <f t="shared" si="188"/>
        <v>8</v>
      </c>
      <c r="J523" s="98">
        <f t="shared" si="188"/>
        <v>7</v>
      </c>
      <c r="K523" s="98">
        <f t="shared" si="188"/>
        <v>4</v>
      </c>
      <c r="L523" s="98">
        <f t="shared" si="188"/>
        <v>5</v>
      </c>
      <c r="M523" s="98">
        <f t="shared" si="188"/>
        <v>5</v>
      </c>
      <c r="N523" s="98">
        <f t="shared" si="188"/>
        <v>5</v>
      </c>
      <c r="O523" s="98">
        <f t="shared" si="188"/>
        <v>1</v>
      </c>
      <c r="P523" s="98">
        <f t="shared" si="188"/>
        <v>1</v>
      </c>
      <c r="Q523" s="98">
        <f t="shared" si="188"/>
        <v>3</v>
      </c>
      <c r="R523" s="98">
        <f t="shared" si="188"/>
        <v>3</v>
      </c>
      <c r="S523" s="98">
        <f t="shared" si="188"/>
        <v>10</v>
      </c>
      <c r="T523" s="98">
        <f t="shared" si="188"/>
        <v>9</v>
      </c>
      <c r="U523" s="98">
        <f t="shared" si="188"/>
        <v>8</v>
      </c>
      <c r="V523" s="98">
        <f t="shared" si="188"/>
        <v>9</v>
      </c>
      <c r="W523" s="98">
        <f t="shared" si="188"/>
        <v>5</v>
      </c>
      <c r="X523" s="98">
        <f t="shared" si="188"/>
        <v>2</v>
      </c>
      <c r="Y523" s="98">
        <f t="shared" si="188"/>
        <v>0</v>
      </c>
      <c r="Z523" s="98">
        <f t="shared" si="188"/>
        <v>0</v>
      </c>
      <c r="AA523" s="99">
        <f t="shared" ref="AA523:AA524" si="190">SUM(B523:Z523)</f>
        <v>113</v>
      </c>
      <c r="AB523" s="100" t="s">
        <v>60</v>
      </c>
      <c r="AC523" s="95"/>
    </row>
    <row r="524" ht="15.75" customHeight="1">
      <c r="A524" s="97" t="s">
        <v>49</v>
      </c>
      <c r="B524" s="98">
        <f t="shared" ref="B524:Z524" si="189">B17+B40+B63+B86+B109+B132+B155+B178+B201+B224+B247+B270+B293+B316+B339+B362+B385+B408+B431+B454+B477+B500</f>
        <v>0</v>
      </c>
      <c r="C524" s="98">
        <f t="shared" si="189"/>
        <v>30</v>
      </c>
      <c r="D524" s="98">
        <f t="shared" si="189"/>
        <v>50</v>
      </c>
      <c r="E524" s="98">
        <f t="shared" si="189"/>
        <v>80</v>
      </c>
      <c r="F524" s="98">
        <f t="shared" si="189"/>
        <v>115</v>
      </c>
      <c r="G524" s="98">
        <f t="shared" si="189"/>
        <v>120</v>
      </c>
      <c r="H524" s="98">
        <f t="shared" si="189"/>
        <v>110</v>
      </c>
      <c r="I524" s="98">
        <f t="shared" si="189"/>
        <v>160</v>
      </c>
      <c r="J524" s="98">
        <f t="shared" si="189"/>
        <v>125</v>
      </c>
      <c r="K524" s="98">
        <f t="shared" si="189"/>
        <v>80</v>
      </c>
      <c r="L524" s="98">
        <f t="shared" si="189"/>
        <v>100</v>
      </c>
      <c r="M524" s="98">
        <f t="shared" si="189"/>
        <v>85</v>
      </c>
      <c r="N524" s="98">
        <f t="shared" si="189"/>
        <v>75</v>
      </c>
      <c r="O524" s="98">
        <f t="shared" si="189"/>
        <v>20</v>
      </c>
      <c r="P524" s="98">
        <f t="shared" si="189"/>
        <v>5</v>
      </c>
      <c r="Q524" s="98">
        <f t="shared" si="189"/>
        <v>60</v>
      </c>
      <c r="R524" s="98">
        <f t="shared" si="189"/>
        <v>50</v>
      </c>
      <c r="S524" s="98">
        <f t="shared" si="189"/>
        <v>195</v>
      </c>
      <c r="T524" s="98">
        <f t="shared" si="189"/>
        <v>165</v>
      </c>
      <c r="U524" s="98">
        <f t="shared" si="189"/>
        <v>152</v>
      </c>
      <c r="V524" s="98">
        <f t="shared" si="189"/>
        <v>180</v>
      </c>
      <c r="W524" s="98">
        <f t="shared" si="189"/>
        <v>45</v>
      </c>
      <c r="X524" s="98">
        <f t="shared" si="189"/>
        <v>13</v>
      </c>
      <c r="Y524" s="98">
        <f t="shared" si="189"/>
        <v>0</v>
      </c>
      <c r="Z524" s="98">
        <f t="shared" si="189"/>
        <v>0</v>
      </c>
      <c r="AA524" s="99">
        <f t="shared" si="190"/>
        <v>2015</v>
      </c>
      <c r="AB524" s="100" t="s">
        <v>61</v>
      </c>
      <c r="AC524" s="95"/>
    </row>
    <row r="525" ht="15.75" customHeight="1">
      <c r="A525" s="101" t="s">
        <v>62</v>
      </c>
      <c r="B525" s="102">
        <f t="shared" ref="B525:Z525" si="191">SUM(B18,B41,B64,B87,B110,B133,B156,B179,B202,B225,B248,B271,B294,B317,B340,B363,B386,B409,B432,B455,B478,B501)</f>
        <v>0</v>
      </c>
      <c r="C525" s="102">
        <f t="shared" si="191"/>
        <v>3</v>
      </c>
      <c r="D525" s="102">
        <f t="shared" si="191"/>
        <v>6</v>
      </c>
      <c r="E525" s="102">
        <f t="shared" si="191"/>
        <v>7</v>
      </c>
      <c r="F525" s="102">
        <f t="shared" si="191"/>
        <v>13</v>
      </c>
      <c r="G525" s="102">
        <f t="shared" si="191"/>
        <v>9</v>
      </c>
      <c r="H525" s="102">
        <f t="shared" si="191"/>
        <v>11</v>
      </c>
      <c r="I525" s="102">
        <f t="shared" si="191"/>
        <v>16</v>
      </c>
      <c r="J525" s="102">
        <f t="shared" si="191"/>
        <v>15</v>
      </c>
      <c r="K525" s="102">
        <f t="shared" si="191"/>
        <v>9</v>
      </c>
      <c r="L525" s="102">
        <f t="shared" si="191"/>
        <v>12</v>
      </c>
      <c r="M525" s="102">
        <f t="shared" si="191"/>
        <v>11</v>
      </c>
      <c r="N525" s="102">
        <f t="shared" si="191"/>
        <v>10</v>
      </c>
      <c r="O525" s="102">
        <f t="shared" si="191"/>
        <v>1</v>
      </c>
      <c r="P525" s="102">
        <f t="shared" si="191"/>
        <v>2</v>
      </c>
      <c r="Q525" s="102">
        <f t="shared" si="191"/>
        <v>6</v>
      </c>
      <c r="R525" s="102">
        <f t="shared" si="191"/>
        <v>4</v>
      </c>
      <c r="S525" s="102">
        <f t="shared" si="191"/>
        <v>22</v>
      </c>
      <c r="T525" s="102">
        <f t="shared" si="191"/>
        <v>21</v>
      </c>
      <c r="U525" s="102">
        <f t="shared" si="191"/>
        <v>18</v>
      </c>
      <c r="V525" s="102">
        <f t="shared" si="191"/>
        <v>18</v>
      </c>
      <c r="W525" s="102">
        <f t="shared" si="191"/>
        <v>11</v>
      </c>
      <c r="X525" s="102">
        <f t="shared" si="191"/>
        <v>3</v>
      </c>
      <c r="Y525" s="102">
        <f t="shared" si="191"/>
        <v>0</v>
      </c>
      <c r="Z525" s="102">
        <f t="shared" si="191"/>
        <v>0</v>
      </c>
      <c r="AA525" s="103"/>
      <c r="AB525" s="104"/>
      <c r="AC525" s="105"/>
    </row>
    <row r="526" ht="15.75" customHeight="1">
      <c r="A526" s="106" t="s">
        <v>50</v>
      </c>
      <c r="B526" s="107" t="str">
        <f t="shared" ref="B526:Z526" si="192">B525/COUNT(B18,B41,B64,B87,B110,B133,B156,B179,B202,B225,B248,B271,B294,B317,B340,B363,B386,B409,B432,B455,B478,B501)</f>
        <v>#DIV/0!</v>
      </c>
      <c r="C526" s="107">
        <f t="shared" si="192"/>
        <v>1.5</v>
      </c>
      <c r="D526" s="107">
        <f t="shared" si="192"/>
        <v>2</v>
      </c>
      <c r="E526" s="107">
        <f t="shared" si="192"/>
        <v>1.75</v>
      </c>
      <c r="F526" s="107">
        <f t="shared" si="192"/>
        <v>2.166666667</v>
      </c>
      <c r="G526" s="107">
        <f t="shared" si="192"/>
        <v>1.5</v>
      </c>
      <c r="H526" s="107">
        <f t="shared" si="192"/>
        <v>1.833333333</v>
      </c>
      <c r="I526" s="107">
        <f t="shared" si="192"/>
        <v>2</v>
      </c>
      <c r="J526" s="107">
        <f t="shared" si="192"/>
        <v>2.142857143</v>
      </c>
      <c r="K526" s="107">
        <f t="shared" si="192"/>
        <v>2.25</v>
      </c>
      <c r="L526" s="107">
        <f t="shared" si="192"/>
        <v>2.4</v>
      </c>
      <c r="M526" s="107">
        <f t="shared" si="192"/>
        <v>2.2</v>
      </c>
      <c r="N526" s="107">
        <f t="shared" si="192"/>
        <v>2</v>
      </c>
      <c r="O526" s="107">
        <f t="shared" si="192"/>
        <v>1</v>
      </c>
      <c r="P526" s="107">
        <f t="shared" si="192"/>
        <v>2</v>
      </c>
      <c r="Q526" s="107">
        <f t="shared" si="192"/>
        <v>2</v>
      </c>
      <c r="R526" s="107">
        <f t="shared" si="192"/>
        <v>1.333333333</v>
      </c>
      <c r="S526" s="107">
        <f t="shared" si="192"/>
        <v>2.2</v>
      </c>
      <c r="T526" s="107">
        <f t="shared" si="192"/>
        <v>2.333333333</v>
      </c>
      <c r="U526" s="107">
        <f t="shared" si="192"/>
        <v>2.25</v>
      </c>
      <c r="V526" s="107">
        <f t="shared" si="192"/>
        <v>2</v>
      </c>
      <c r="W526" s="107">
        <f t="shared" si="192"/>
        <v>2.2</v>
      </c>
      <c r="X526" s="107">
        <f t="shared" si="192"/>
        <v>1.5</v>
      </c>
      <c r="Y526" s="107" t="str">
        <f t="shared" si="192"/>
        <v>#DIV/0!</v>
      </c>
      <c r="Z526" s="107" t="str">
        <f t="shared" si="192"/>
        <v>#DIV/0!</v>
      </c>
      <c r="AA526" s="108">
        <f>round(AVERAGEif(B526:Z526, "&gt;0"),0)</f>
        <v>2</v>
      </c>
      <c r="AB526" s="109" t="s">
        <v>63</v>
      </c>
      <c r="AC526" s="110"/>
    </row>
    <row r="527" ht="15.75" customHeight="1">
      <c r="A527" s="111" t="s">
        <v>51</v>
      </c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3"/>
      <c r="AB527" s="114" t="s">
        <v>51</v>
      </c>
      <c r="AC527" s="113"/>
    </row>
    <row r="528" ht="15.75" customHeight="1">
      <c r="A528" s="115" t="s">
        <v>48</v>
      </c>
      <c r="B528" s="20">
        <f t="shared" ref="B528:Z528" si="193">B20+B43+B66+B89+B112+B135+B158+B181+B204+B227+B250+B273+B296+B319+B342+B365+B388+B411+B434+B457+B480+B503</f>
        <v>0</v>
      </c>
      <c r="C528" s="20">
        <f t="shared" si="193"/>
        <v>0</v>
      </c>
      <c r="D528" s="20">
        <f t="shared" si="193"/>
        <v>0</v>
      </c>
      <c r="E528" s="20">
        <f t="shared" si="193"/>
        <v>0</v>
      </c>
      <c r="F528" s="20">
        <f t="shared" si="193"/>
        <v>0</v>
      </c>
      <c r="G528" s="20">
        <f t="shared" si="193"/>
        <v>0</v>
      </c>
      <c r="H528" s="20">
        <f t="shared" si="193"/>
        <v>0</v>
      </c>
      <c r="I528" s="20">
        <f t="shared" si="193"/>
        <v>0</v>
      </c>
      <c r="J528" s="20">
        <f t="shared" si="193"/>
        <v>0</v>
      </c>
      <c r="K528" s="20">
        <f t="shared" si="193"/>
        <v>0</v>
      </c>
      <c r="L528" s="20">
        <f t="shared" si="193"/>
        <v>0</v>
      </c>
      <c r="M528" s="20">
        <f t="shared" si="193"/>
        <v>0</v>
      </c>
      <c r="N528" s="20">
        <f t="shared" si="193"/>
        <v>0</v>
      </c>
      <c r="O528" s="20">
        <f t="shared" si="193"/>
        <v>0</v>
      </c>
      <c r="P528" s="20">
        <f t="shared" si="193"/>
        <v>0</v>
      </c>
      <c r="Q528" s="20">
        <f t="shared" si="193"/>
        <v>0</v>
      </c>
      <c r="R528" s="20">
        <f t="shared" si="193"/>
        <v>0</v>
      </c>
      <c r="S528" s="20">
        <f t="shared" si="193"/>
        <v>0</v>
      </c>
      <c r="T528" s="20">
        <f t="shared" si="193"/>
        <v>0</v>
      </c>
      <c r="U528" s="20">
        <f t="shared" si="193"/>
        <v>0</v>
      </c>
      <c r="V528" s="20">
        <f t="shared" si="193"/>
        <v>0</v>
      </c>
      <c r="W528" s="20">
        <f t="shared" si="193"/>
        <v>0</v>
      </c>
      <c r="X528" s="20">
        <f t="shared" si="193"/>
        <v>0</v>
      </c>
      <c r="Y528" s="20">
        <f t="shared" si="193"/>
        <v>0</v>
      </c>
      <c r="Z528" s="20">
        <f t="shared" si="193"/>
        <v>0</v>
      </c>
      <c r="AA528" s="116">
        <f t="shared" ref="AA528:AA529" si="195">SUM(B528:Z528)</f>
        <v>0</v>
      </c>
      <c r="AB528" s="114" t="s">
        <v>64</v>
      </c>
      <c r="AC528" s="113"/>
    </row>
    <row r="529" ht="15.75" customHeight="1">
      <c r="A529" s="115" t="s">
        <v>49</v>
      </c>
      <c r="B529" s="20">
        <f t="shared" ref="B529:Z529" si="194">B21+B44+B67+B90+B113+B136+B159+B182+B205+B228+B251+B274+B297+B320+B343+B366+B389+B412+B435+B458+B481+B504</f>
        <v>0</v>
      </c>
      <c r="C529" s="20">
        <f t="shared" si="194"/>
        <v>0</v>
      </c>
      <c r="D529" s="20">
        <f t="shared" si="194"/>
        <v>0</v>
      </c>
      <c r="E529" s="20">
        <f t="shared" si="194"/>
        <v>0</v>
      </c>
      <c r="F529" s="20">
        <f t="shared" si="194"/>
        <v>0</v>
      </c>
      <c r="G529" s="20">
        <f t="shared" si="194"/>
        <v>0</v>
      </c>
      <c r="H529" s="20">
        <f t="shared" si="194"/>
        <v>0</v>
      </c>
      <c r="I529" s="20">
        <f t="shared" si="194"/>
        <v>0</v>
      </c>
      <c r="J529" s="20">
        <f t="shared" si="194"/>
        <v>0</v>
      </c>
      <c r="K529" s="20">
        <f t="shared" si="194"/>
        <v>0</v>
      </c>
      <c r="L529" s="20">
        <f t="shared" si="194"/>
        <v>0</v>
      </c>
      <c r="M529" s="20">
        <f t="shared" si="194"/>
        <v>0</v>
      </c>
      <c r="N529" s="20">
        <f t="shared" si="194"/>
        <v>0</v>
      </c>
      <c r="O529" s="20">
        <f t="shared" si="194"/>
        <v>0</v>
      </c>
      <c r="P529" s="20">
        <f t="shared" si="194"/>
        <v>0</v>
      </c>
      <c r="Q529" s="20">
        <f t="shared" si="194"/>
        <v>0</v>
      </c>
      <c r="R529" s="20">
        <f t="shared" si="194"/>
        <v>0</v>
      </c>
      <c r="S529" s="20">
        <f t="shared" si="194"/>
        <v>0</v>
      </c>
      <c r="T529" s="20">
        <f t="shared" si="194"/>
        <v>0</v>
      </c>
      <c r="U529" s="20">
        <f t="shared" si="194"/>
        <v>0</v>
      </c>
      <c r="V529" s="20">
        <f t="shared" si="194"/>
        <v>0</v>
      </c>
      <c r="W529" s="20">
        <f t="shared" si="194"/>
        <v>0</v>
      </c>
      <c r="X529" s="20">
        <f t="shared" si="194"/>
        <v>0</v>
      </c>
      <c r="Y529" s="20">
        <f t="shared" si="194"/>
        <v>0</v>
      </c>
      <c r="Z529" s="20">
        <f t="shared" si="194"/>
        <v>0</v>
      </c>
      <c r="AA529" s="116">
        <f t="shared" si="195"/>
        <v>0</v>
      </c>
      <c r="AB529" s="114" t="s">
        <v>65</v>
      </c>
      <c r="AC529" s="113"/>
    </row>
    <row r="530" ht="15.75" customHeight="1">
      <c r="A530" s="101" t="s">
        <v>62</v>
      </c>
      <c r="B530" s="102">
        <f t="shared" ref="B530:Z530" si="196">sum(B22,B45,B68,B91,B114,B137,B160,B183,B206,B229,B252,B275,B298,B321,B344,B367,B390,B413,B436,B459,B482,B505)</f>
        <v>0</v>
      </c>
      <c r="C530" s="102">
        <f t="shared" si="196"/>
        <v>0</v>
      </c>
      <c r="D530" s="102">
        <f t="shared" si="196"/>
        <v>0</v>
      </c>
      <c r="E530" s="102">
        <f t="shared" si="196"/>
        <v>0</v>
      </c>
      <c r="F530" s="102">
        <f t="shared" si="196"/>
        <v>0</v>
      </c>
      <c r="G530" s="102">
        <f t="shared" si="196"/>
        <v>0</v>
      </c>
      <c r="H530" s="102">
        <f t="shared" si="196"/>
        <v>0</v>
      </c>
      <c r="I530" s="102">
        <f t="shared" si="196"/>
        <v>0</v>
      </c>
      <c r="J530" s="102">
        <f t="shared" si="196"/>
        <v>0</v>
      </c>
      <c r="K530" s="102">
        <f t="shared" si="196"/>
        <v>0</v>
      </c>
      <c r="L530" s="102">
        <f t="shared" si="196"/>
        <v>0</v>
      </c>
      <c r="M530" s="102">
        <f t="shared" si="196"/>
        <v>0</v>
      </c>
      <c r="N530" s="102">
        <f t="shared" si="196"/>
        <v>0</v>
      </c>
      <c r="O530" s="102">
        <f t="shared" si="196"/>
        <v>0</v>
      </c>
      <c r="P530" s="102">
        <f t="shared" si="196"/>
        <v>0</v>
      </c>
      <c r="Q530" s="102">
        <f t="shared" si="196"/>
        <v>0</v>
      </c>
      <c r="R530" s="102">
        <f t="shared" si="196"/>
        <v>0</v>
      </c>
      <c r="S530" s="102">
        <f t="shared" si="196"/>
        <v>0</v>
      </c>
      <c r="T530" s="102">
        <f t="shared" si="196"/>
        <v>0</v>
      </c>
      <c r="U530" s="102">
        <f t="shared" si="196"/>
        <v>0</v>
      </c>
      <c r="V530" s="102">
        <f t="shared" si="196"/>
        <v>0</v>
      </c>
      <c r="W530" s="102">
        <f t="shared" si="196"/>
        <v>0</v>
      </c>
      <c r="X530" s="102">
        <f t="shared" si="196"/>
        <v>0</v>
      </c>
      <c r="Y530" s="102">
        <f t="shared" si="196"/>
        <v>0</v>
      </c>
      <c r="Z530" s="102">
        <f t="shared" si="196"/>
        <v>0</v>
      </c>
      <c r="AA530" s="105"/>
      <c r="AB530" s="104"/>
      <c r="AC530" s="105"/>
    </row>
    <row r="531" ht="15.75" customHeight="1">
      <c r="A531" s="115" t="s">
        <v>50</v>
      </c>
      <c r="B531" s="20" t="str">
        <f t="shared" ref="B531:Z531" si="197">B530/count(B22,B45,B68,B91,B114,B137,B160,B183,B206,B229,B252,B275,B298,B321,B344,B367,B390,B413,B436,B459,B482,B505)</f>
        <v>#DIV/0!</v>
      </c>
      <c r="C531" s="20" t="str">
        <f t="shared" si="197"/>
        <v>#DIV/0!</v>
      </c>
      <c r="D531" s="20" t="str">
        <f t="shared" si="197"/>
        <v>#DIV/0!</v>
      </c>
      <c r="E531" s="20" t="str">
        <f t="shared" si="197"/>
        <v>#DIV/0!</v>
      </c>
      <c r="F531" s="20" t="str">
        <f t="shared" si="197"/>
        <v>#DIV/0!</v>
      </c>
      <c r="G531" s="20" t="str">
        <f t="shared" si="197"/>
        <v>#DIV/0!</v>
      </c>
      <c r="H531" s="20" t="str">
        <f t="shared" si="197"/>
        <v>#DIV/0!</v>
      </c>
      <c r="I531" s="20" t="str">
        <f t="shared" si="197"/>
        <v>#DIV/0!</v>
      </c>
      <c r="J531" s="20" t="str">
        <f t="shared" si="197"/>
        <v>#DIV/0!</v>
      </c>
      <c r="K531" s="20" t="str">
        <f t="shared" si="197"/>
        <v>#DIV/0!</v>
      </c>
      <c r="L531" s="20" t="str">
        <f t="shared" si="197"/>
        <v>#DIV/0!</v>
      </c>
      <c r="M531" s="20" t="str">
        <f t="shared" si="197"/>
        <v>#DIV/0!</v>
      </c>
      <c r="N531" s="20" t="str">
        <f t="shared" si="197"/>
        <v>#DIV/0!</v>
      </c>
      <c r="O531" s="20" t="str">
        <f t="shared" si="197"/>
        <v>#DIV/0!</v>
      </c>
      <c r="P531" s="20" t="str">
        <f t="shared" si="197"/>
        <v>#DIV/0!</v>
      </c>
      <c r="Q531" s="20" t="str">
        <f t="shared" si="197"/>
        <v>#DIV/0!</v>
      </c>
      <c r="R531" s="20" t="str">
        <f t="shared" si="197"/>
        <v>#DIV/0!</v>
      </c>
      <c r="S531" s="20" t="str">
        <f t="shared" si="197"/>
        <v>#DIV/0!</v>
      </c>
      <c r="T531" s="20" t="str">
        <f t="shared" si="197"/>
        <v>#DIV/0!</v>
      </c>
      <c r="U531" s="20" t="str">
        <f t="shared" si="197"/>
        <v>#DIV/0!</v>
      </c>
      <c r="V531" s="20" t="str">
        <f t="shared" si="197"/>
        <v>#DIV/0!</v>
      </c>
      <c r="W531" s="20" t="str">
        <f t="shared" si="197"/>
        <v>#DIV/0!</v>
      </c>
      <c r="X531" s="20" t="str">
        <f t="shared" si="197"/>
        <v>#DIV/0!</v>
      </c>
      <c r="Y531" s="20" t="str">
        <f t="shared" si="197"/>
        <v>#DIV/0!</v>
      </c>
      <c r="Z531" s="20" t="str">
        <f t="shared" si="197"/>
        <v>#DIV/0!</v>
      </c>
      <c r="AA531" s="116" t="str">
        <f>round(AVERAGEif(B531:Z531, "&gt;0"),0)</f>
        <v>#DIV/0!</v>
      </c>
      <c r="AB531" s="114" t="s">
        <v>63</v>
      </c>
      <c r="AC531" s="113"/>
    </row>
    <row r="532" ht="15.75" customHeight="1">
      <c r="A532" s="117" t="s">
        <v>53</v>
      </c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9"/>
      <c r="AB532" s="120" t="s">
        <v>53</v>
      </c>
      <c r="AC532" s="119"/>
    </row>
    <row r="533" ht="15.75" customHeight="1">
      <c r="A533" s="97" t="s">
        <v>48</v>
      </c>
      <c r="B533" s="98">
        <f t="shared" ref="B533:Z533" si="198">B24+B47+B70+B93+B116+B139+B162+B185+B208+B231+B254+B277+B300+B323+B346+B369+B392+B415+B438+B461+B484+B507</f>
        <v>0</v>
      </c>
      <c r="C533" s="98">
        <f t="shared" si="198"/>
        <v>0</v>
      </c>
      <c r="D533" s="98">
        <f t="shared" si="198"/>
        <v>0</v>
      </c>
      <c r="E533" s="98">
        <f t="shared" si="198"/>
        <v>0</v>
      </c>
      <c r="F533" s="98">
        <f t="shared" si="198"/>
        <v>0</v>
      </c>
      <c r="G533" s="98">
        <f t="shared" si="198"/>
        <v>0</v>
      </c>
      <c r="H533" s="98">
        <f t="shared" si="198"/>
        <v>0</v>
      </c>
      <c r="I533" s="98">
        <f t="shared" si="198"/>
        <v>0</v>
      </c>
      <c r="J533" s="98">
        <f t="shared" si="198"/>
        <v>0</v>
      </c>
      <c r="K533" s="98">
        <f t="shared" si="198"/>
        <v>0</v>
      </c>
      <c r="L533" s="98">
        <f t="shared" si="198"/>
        <v>0</v>
      </c>
      <c r="M533" s="98">
        <f t="shared" si="198"/>
        <v>0</v>
      </c>
      <c r="N533" s="98">
        <f t="shared" si="198"/>
        <v>0</v>
      </c>
      <c r="O533" s="98">
        <f t="shared" si="198"/>
        <v>0</v>
      </c>
      <c r="P533" s="98">
        <f t="shared" si="198"/>
        <v>0</v>
      </c>
      <c r="Q533" s="98">
        <f t="shared" si="198"/>
        <v>0</v>
      </c>
      <c r="R533" s="98">
        <f t="shared" si="198"/>
        <v>0</v>
      </c>
      <c r="S533" s="98">
        <f t="shared" si="198"/>
        <v>0</v>
      </c>
      <c r="T533" s="98">
        <f t="shared" si="198"/>
        <v>0</v>
      </c>
      <c r="U533" s="98">
        <f t="shared" si="198"/>
        <v>0</v>
      </c>
      <c r="V533" s="98">
        <f t="shared" si="198"/>
        <v>0</v>
      </c>
      <c r="W533" s="98">
        <f t="shared" si="198"/>
        <v>0</v>
      </c>
      <c r="X533" s="98">
        <f t="shared" si="198"/>
        <v>0</v>
      </c>
      <c r="Y533" s="98">
        <f t="shared" si="198"/>
        <v>0</v>
      </c>
      <c r="Z533" s="98">
        <f t="shared" si="198"/>
        <v>0</v>
      </c>
      <c r="AA533" s="121">
        <f t="shared" ref="AA533:AA534" si="200">SUM(B533:Z533)</f>
        <v>0</v>
      </c>
      <c r="AB533" s="120" t="s">
        <v>66</v>
      </c>
      <c r="AC533" s="119"/>
    </row>
    <row r="534" ht="15.75" customHeight="1">
      <c r="A534" s="97" t="s">
        <v>49</v>
      </c>
      <c r="B534" s="98">
        <f t="shared" ref="B534:Z534" si="199">B25+B48+B71+B94+B117+B140+B163+B186+B209+B232+B255+B278+B301+B324+B347+B370+B393+B416+B439+B462+B485+B508</f>
        <v>0</v>
      </c>
      <c r="C534" s="98">
        <f t="shared" si="199"/>
        <v>0</v>
      </c>
      <c r="D534" s="98">
        <f t="shared" si="199"/>
        <v>0</v>
      </c>
      <c r="E534" s="98">
        <f t="shared" si="199"/>
        <v>0</v>
      </c>
      <c r="F534" s="98">
        <f t="shared" si="199"/>
        <v>0</v>
      </c>
      <c r="G534" s="98">
        <f t="shared" si="199"/>
        <v>0</v>
      </c>
      <c r="H534" s="98">
        <f t="shared" si="199"/>
        <v>0</v>
      </c>
      <c r="I534" s="98">
        <f t="shared" si="199"/>
        <v>0</v>
      </c>
      <c r="J534" s="98">
        <f t="shared" si="199"/>
        <v>0</v>
      </c>
      <c r="K534" s="98">
        <f t="shared" si="199"/>
        <v>0</v>
      </c>
      <c r="L534" s="98">
        <f t="shared" si="199"/>
        <v>0</v>
      </c>
      <c r="M534" s="98">
        <f t="shared" si="199"/>
        <v>0</v>
      </c>
      <c r="N534" s="98">
        <f t="shared" si="199"/>
        <v>0</v>
      </c>
      <c r="O534" s="98">
        <f t="shared" si="199"/>
        <v>0</v>
      </c>
      <c r="P534" s="98">
        <f t="shared" si="199"/>
        <v>0</v>
      </c>
      <c r="Q534" s="98">
        <f t="shared" si="199"/>
        <v>0</v>
      </c>
      <c r="R534" s="98">
        <f t="shared" si="199"/>
        <v>0</v>
      </c>
      <c r="S534" s="98">
        <f t="shared" si="199"/>
        <v>0</v>
      </c>
      <c r="T534" s="98">
        <f t="shared" si="199"/>
        <v>0</v>
      </c>
      <c r="U534" s="98">
        <f t="shared" si="199"/>
        <v>0</v>
      </c>
      <c r="V534" s="98">
        <f t="shared" si="199"/>
        <v>0</v>
      </c>
      <c r="W534" s="98">
        <f t="shared" si="199"/>
        <v>0</v>
      </c>
      <c r="X534" s="98">
        <f t="shared" si="199"/>
        <v>0</v>
      </c>
      <c r="Y534" s="98">
        <f t="shared" si="199"/>
        <v>0</v>
      </c>
      <c r="Z534" s="98">
        <f t="shared" si="199"/>
        <v>0</v>
      </c>
      <c r="AA534" s="121">
        <f t="shared" si="200"/>
        <v>0</v>
      </c>
      <c r="AB534" s="120" t="s">
        <v>67</v>
      </c>
      <c r="AC534" s="119"/>
    </row>
    <row r="535" ht="15.75" customHeight="1">
      <c r="A535" s="122" t="s">
        <v>62</v>
      </c>
      <c r="B535" s="123">
        <f t="shared" ref="B535:Z535" si="201">sum(B26,B49,B72,B95,B118,B141,B164,B187,B210,B233,B256,B279,B302,B325,B348,B371,B394,B417,B440,B463,B486,B509)</f>
        <v>0</v>
      </c>
      <c r="C535" s="123">
        <f t="shared" si="201"/>
        <v>0</v>
      </c>
      <c r="D535" s="123">
        <f t="shared" si="201"/>
        <v>0</v>
      </c>
      <c r="E535" s="123">
        <f t="shared" si="201"/>
        <v>0</v>
      </c>
      <c r="F535" s="123">
        <f t="shared" si="201"/>
        <v>0</v>
      </c>
      <c r="G535" s="123">
        <f t="shared" si="201"/>
        <v>0</v>
      </c>
      <c r="H535" s="123">
        <f t="shared" si="201"/>
        <v>0</v>
      </c>
      <c r="I535" s="123">
        <f t="shared" si="201"/>
        <v>0</v>
      </c>
      <c r="J535" s="123">
        <f t="shared" si="201"/>
        <v>0</v>
      </c>
      <c r="K535" s="123">
        <f t="shared" si="201"/>
        <v>0</v>
      </c>
      <c r="L535" s="123">
        <f t="shared" si="201"/>
        <v>0</v>
      </c>
      <c r="M535" s="123">
        <f t="shared" si="201"/>
        <v>0</v>
      </c>
      <c r="N535" s="123">
        <f t="shared" si="201"/>
        <v>0</v>
      </c>
      <c r="O535" s="123">
        <f t="shared" si="201"/>
        <v>0</v>
      </c>
      <c r="P535" s="123">
        <f t="shared" si="201"/>
        <v>0</v>
      </c>
      <c r="Q535" s="123">
        <f t="shared" si="201"/>
        <v>0</v>
      </c>
      <c r="R535" s="123">
        <f t="shared" si="201"/>
        <v>0</v>
      </c>
      <c r="S535" s="123">
        <f t="shared" si="201"/>
        <v>0</v>
      </c>
      <c r="T535" s="123">
        <f t="shared" si="201"/>
        <v>0</v>
      </c>
      <c r="U535" s="123">
        <f t="shared" si="201"/>
        <v>0</v>
      </c>
      <c r="V535" s="123">
        <f t="shared" si="201"/>
        <v>0</v>
      </c>
      <c r="W535" s="123">
        <f t="shared" si="201"/>
        <v>0</v>
      </c>
      <c r="X535" s="123">
        <f t="shared" si="201"/>
        <v>0</v>
      </c>
      <c r="Y535" s="123">
        <f t="shared" si="201"/>
        <v>0</v>
      </c>
      <c r="Z535" s="123">
        <f t="shared" si="201"/>
        <v>0</v>
      </c>
      <c r="AA535" s="124"/>
      <c r="AB535" s="124"/>
      <c r="AC535" s="122"/>
    </row>
    <row r="536" ht="15.75" customHeight="1">
      <c r="A536" s="106" t="s">
        <v>50</v>
      </c>
      <c r="B536" s="107" t="str">
        <f t="shared" ref="B536:Z536" si="202">B535/count(B26,B49,B72,B95,B118,B141,B164,B187,B210,B233,B256,B279,B302,B325,B348,B371,B394,B417,B440,B463,B486,B509)</f>
        <v>#DIV/0!</v>
      </c>
      <c r="C536" s="107" t="str">
        <f t="shared" si="202"/>
        <v>#DIV/0!</v>
      </c>
      <c r="D536" s="107" t="str">
        <f t="shared" si="202"/>
        <v>#DIV/0!</v>
      </c>
      <c r="E536" s="107" t="str">
        <f t="shared" si="202"/>
        <v>#DIV/0!</v>
      </c>
      <c r="F536" s="107" t="str">
        <f t="shared" si="202"/>
        <v>#DIV/0!</v>
      </c>
      <c r="G536" s="107" t="str">
        <f t="shared" si="202"/>
        <v>#DIV/0!</v>
      </c>
      <c r="H536" s="107" t="str">
        <f t="shared" si="202"/>
        <v>#DIV/0!</v>
      </c>
      <c r="I536" s="107" t="str">
        <f t="shared" si="202"/>
        <v>#DIV/0!</v>
      </c>
      <c r="J536" s="107" t="str">
        <f t="shared" si="202"/>
        <v>#DIV/0!</v>
      </c>
      <c r="K536" s="107" t="str">
        <f t="shared" si="202"/>
        <v>#DIV/0!</v>
      </c>
      <c r="L536" s="107" t="str">
        <f t="shared" si="202"/>
        <v>#DIV/0!</v>
      </c>
      <c r="M536" s="107" t="str">
        <f t="shared" si="202"/>
        <v>#DIV/0!</v>
      </c>
      <c r="N536" s="107" t="str">
        <f t="shared" si="202"/>
        <v>#DIV/0!</v>
      </c>
      <c r="O536" s="107" t="str">
        <f t="shared" si="202"/>
        <v>#DIV/0!</v>
      </c>
      <c r="P536" s="107" t="str">
        <f t="shared" si="202"/>
        <v>#DIV/0!</v>
      </c>
      <c r="Q536" s="107" t="str">
        <f t="shared" si="202"/>
        <v>#DIV/0!</v>
      </c>
      <c r="R536" s="107" t="str">
        <f t="shared" si="202"/>
        <v>#DIV/0!</v>
      </c>
      <c r="S536" s="107" t="str">
        <f t="shared" si="202"/>
        <v>#DIV/0!</v>
      </c>
      <c r="T536" s="107" t="str">
        <f t="shared" si="202"/>
        <v>#DIV/0!</v>
      </c>
      <c r="U536" s="107" t="str">
        <f t="shared" si="202"/>
        <v>#DIV/0!</v>
      </c>
      <c r="V536" s="107" t="str">
        <f t="shared" si="202"/>
        <v>#DIV/0!</v>
      </c>
      <c r="W536" s="107" t="str">
        <f t="shared" si="202"/>
        <v>#DIV/0!</v>
      </c>
      <c r="X536" s="107" t="str">
        <f t="shared" si="202"/>
        <v>#DIV/0!</v>
      </c>
      <c r="Y536" s="107" t="str">
        <f t="shared" si="202"/>
        <v>#DIV/0!</v>
      </c>
      <c r="Z536" s="107" t="str">
        <f t="shared" si="202"/>
        <v>#DIV/0!</v>
      </c>
      <c r="AA536" s="125" t="str">
        <f>round(AVERAGEif(B536:Z536, "&gt;0"),0)</f>
        <v>#DIV/0!</v>
      </c>
      <c r="AB536" s="126" t="s">
        <v>63</v>
      </c>
      <c r="AC536" s="127"/>
    </row>
  </sheetData>
  <mergeCells count="78">
    <mergeCell ref="A222:Z222"/>
    <mergeCell ref="A226:Z226"/>
    <mergeCell ref="A230:Z230"/>
    <mergeCell ref="A245:Z245"/>
    <mergeCell ref="A249:Z249"/>
    <mergeCell ref="A253:Z253"/>
    <mergeCell ref="A268:Z268"/>
    <mergeCell ref="A272:Z272"/>
    <mergeCell ref="A276:Z276"/>
    <mergeCell ref="A291:Z291"/>
    <mergeCell ref="A295:Z295"/>
    <mergeCell ref="A299:Z299"/>
    <mergeCell ref="A314:Z314"/>
    <mergeCell ref="A318:Z318"/>
    <mergeCell ref="A322:Z322"/>
    <mergeCell ref="A337:Z337"/>
    <mergeCell ref="A341:Z341"/>
    <mergeCell ref="A345:Z345"/>
    <mergeCell ref="A360:Z360"/>
    <mergeCell ref="A364:Z364"/>
    <mergeCell ref="A368:Z368"/>
    <mergeCell ref="A383:Z383"/>
    <mergeCell ref="A387:Z387"/>
    <mergeCell ref="A391:Z391"/>
    <mergeCell ref="A406:Z406"/>
    <mergeCell ref="A410:Z410"/>
    <mergeCell ref="A414:Z414"/>
    <mergeCell ref="A429:Z429"/>
    <mergeCell ref="A483:Z483"/>
    <mergeCell ref="A498:Z498"/>
    <mergeCell ref="A502:Z502"/>
    <mergeCell ref="A506:Z506"/>
    <mergeCell ref="A433:Z433"/>
    <mergeCell ref="A437:Z437"/>
    <mergeCell ref="A452:Z452"/>
    <mergeCell ref="A456:Z456"/>
    <mergeCell ref="A460:Z460"/>
    <mergeCell ref="A475:Z475"/>
    <mergeCell ref="A479:Z479"/>
    <mergeCell ref="Q2:R2"/>
    <mergeCell ref="S2:T2"/>
    <mergeCell ref="U2:V2"/>
    <mergeCell ref="W2:Y2"/>
    <mergeCell ref="A1:AB1"/>
    <mergeCell ref="C2:D2"/>
    <mergeCell ref="E2:F2"/>
    <mergeCell ref="G2:H2"/>
    <mergeCell ref="I2:J2"/>
    <mergeCell ref="K2:L2"/>
    <mergeCell ref="M2:P2"/>
    <mergeCell ref="A4:AB4"/>
    <mergeCell ref="A15:Z15"/>
    <mergeCell ref="A19:Z19"/>
    <mergeCell ref="A23:Z23"/>
    <mergeCell ref="A38:Z38"/>
    <mergeCell ref="A42:Z42"/>
    <mergeCell ref="A46:Z46"/>
    <mergeCell ref="A61:Z61"/>
    <mergeCell ref="A65:Z65"/>
    <mergeCell ref="A69:Z69"/>
    <mergeCell ref="A84:Z84"/>
    <mergeCell ref="A88:Z88"/>
    <mergeCell ref="A92:Z92"/>
    <mergeCell ref="A107:Z107"/>
    <mergeCell ref="A111:Z111"/>
    <mergeCell ref="A115:Z115"/>
    <mergeCell ref="A130:Z130"/>
    <mergeCell ref="A134:Z134"/>
    <mergeCell ref="A138:Z138"/>
    <mergeCell ref="A153:Z153"/>
    <mergeCell ref="A157:Z157"/>
    <mergeCell ref="A161:Z161"/>
    <mergeCell ref="A176:Z176"/>
    <mergeCell ref="A180:Z180"/>
    <mergeCell ref="A184:Z184"/>
    <mergeCell ref="A199:Z199"/>
    <mergeCell ref="A203:Z203"/>
    <mergeCell ref="A207:Z20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5.71"/>
    <col customWidth="1" min="2" max="2" width="8.86"/>
    <col customWidth="1" min="3" max="4" width="5.86"/>
    <col customWidth="1" min="5" max="5" width="9.43"/>
    <col customWidth="1" min="6" max="14" width="5.86"/>
    <col customWidth="1" min="15" max="16" width="8.71"/>
    <col customWidth="1" min="17" max="17" width="6.43"/>
    <col customWidth="1" min="18" max="23" width="5.86"/>
    <col customWidth="1" min="24" max="24" width="12.71"/>
    <col customWidth="1" min="25" max="25" width="5.86"/>
    <col customWidth="1" min="26" max="26" width="9.57"/>
    <col customWidth="1" min="27" max="27" width="8.14"/>
    <col customWidth="1" min="28" max="28" width="9.14"/>
    <col customWidth="1" min="29" max="29" width="28.0"/>
  </cols>
  <sheetData>
    <row r="1">
      <c r="A1" s="1" t="s">
        <v>0</v>
      </c>
      <c r="AC1" s="2"/>
    </row>
    <row r="2">
      <c r="A2" s="3"/>
      <c r="B2" s="4"/>
      <c r="C2" s="5" t="s">
        <v>1</v>
      </c>
      <c r="D2" s="6"/>
      <c r="E2" s="5" t="s">
        <v>2</v>
      </c>
      <c r="F2" s="6"/>
      <c r="G2" s="5" t="s">
        <v>3</v>
      </c>
      <c r="H2" s="6"/>
      <c r="I2" s="5" t="s">
        <v>4</v>
      </c>
      <c r="J2" s="6"/>
      <c r="K2" s="5" t="s">
        <v>5</v>
      </c>
      <c r="L2" s="6"/>
      <c r="M2" s="5" t="s">
        <v>6</v>
      </c>
      <c r="N2" s="7"/>
      <c r="O2" s="7"/>
      <c r="P2" s="6"/>
      <c r="Q2" s="5" t="s">
        <v>7</v>
      </c>
      <c r="R2" s="6"/>
      <c r="S2" s="5" t="s">
        <v>8</v>
      </c>
      <c r="T2" s="6"/>
      <c r="U2" s="5" t="s">
        <v>9</v>
      </c>
      <c r="V2" s="6"/>
      <c r="W2" s="5" t="s">
        <v>1</v>
      </c>
      <c r="X2" s="7"/>
      <c r="Y2" s="6"/>
      <c r="Z2" s="8"/>
      <c r="AA2" s="3"/>
      <c r="AB2" s="3"/>
      <c r="AC2" s="9"/>
    </row>
    <row r="3">
      <c r="A3" s="3"/>
      <c r="B3" s="10" t="s">
        <v>10</v>
      </c>
      <c r="C3" s="10" t="s">
        <v>11</v>
      </c>
      <c r="D3" s="11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3"/>
      <c r="AB3" s="3"/>
      <c r="AC3" s="9"/>
    </row>
    <row r="4">
      <c r="A4" s="1" t="s">
        <v>69</v>
      </c>
      <c r="AC4" s="12" t="s">
        <v>36</v>
      </c>
    </row>
    <row r="5">
      <c r="A5" s="13">
        <v>46083.0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 t="s">
        <v>37</v>
      </c>
      <c r="AB5" s="16" t="s">
        <v>38</v>
      </c>
      <c r="AC5" s="2"/>
    </row>
    <row r="6">
      <c r="A6" s="17" t="s">
        <v>39</v>
      </c>
      <c r="B6" s="19">
        <v>1.0</v>
      </c>
      <c r="C6" s="19">
        <v>1.0</v>
      </c>
      <c r="D6" s="19">
        <v>1.0</v>
      </c>
      <c r="E6" s="19">
        <v>0.0</v>
      </c>
      <c r="F6" s="19">
        <v>0.0</v>
      </c>
      <c r="G6" s="19">
        <v>0.0</v>
      </c>
      <c r="H6" s="19">
        <v>0.0</v>
      </c>
      <c r="I6" s="19">
        <v>0.0</v>
      </c>
      <c r="J6" s="19">
        <v>0.0</v>
      </c>
      <c r="K6" s="19">
        <v>1.0</v>
      </c>
      <c r="L6" s="19">
        <v>0.0</v>
      </c>
      <c r="M6" s="19">
        <v>1.0</v>
      </c>
      <c r="N6" s="19">
        <v>1.0</v>
      </c>
      <c r="O6" s="19">
        <v>1.0</v>
      </c>
      <c r="P6" s="19">
        <v>1.0</v>
      </c>
      <c r="Q6" s="19">
        <v>0.0</v>
      </c>
      <c r="R6" s="19">
        <v>1.0</v>
      </c>
      <c r="S6" s="19">
        <v>0.0</v>
      </c>
      <c r="T6" s="19">
        <v>0.0</v>
      </c>
      <c r="U6" s="19">
        <v>0.0</v>
      </c>
      <c r="V6" s="19">
        <v>1.0</v>
      </c>
      <c r="W6" s="19">
        <v>0.0</v>
      </c>
      <c r="X6" s="19">
        <v>0.0</v>
      </c>
      <c r="Y6" s="19"/>
      <c r="Z6" s="18"/>
      <c r="AA6" s="20">
        <f t="shared" ref="AA6:AA10" si="1">SUM(B6:Z6)</f>
        <v>10</v>
      </c>
      <c r="AB6" s="21">
        <f t="shared" ref="AB6:AB9" si="2">AA6/(COUNT(B6:Z6)*1)</f>
        <v>0.4347826087</v>
      </c>
      <c r="AC6" s="2"/>
    </row>
    <row r="7">
      <c r="A7" s="17" t="s">
        <v>40</v>
      </c>
      <c r="B7" s="19">
        <v>1.0</v>
      </c>
      <c r="C7" s="19">
        <v>1.0</v>
      </c>
      <c r="D7" s="19">
        <v>1.0</v>
      </c>
      <c r="E7" s="19">
        <v>1.0</v>
      </c>
      <c r="F7" s="19">
        <v>1.0</v>
      </c>
      <c r="G7" s="19">
        <v>0.0</v>
      </c>
      <c r="H7" s="19">
        <v>1.0</v>
      </c>
      <c r="I7" s="19">
        <v>0.0</v>
      </c>
      <c r="J7" s="19">
        <v>1.0</v>
      </c>
      <c r="K7" s="19">
        <v>0.0</v>
      </c>
      <c r="L7" s="19">
        <v>1.0</v>
      </c>
      <c r="M7" s="19">
        <v>0.0</v>
      </c>
      <c r="N7" s="19">
        <v>0.0</v>
      </c>
      <c r="O7" s="19">
        <v>1.0</v>
      </c>
      <c r="P7" s="19">
        <v>1.0</v>
      </c>
      <c r="Q7" s="19">
        <v>1.0</v>
      </c>
      <c r="R7" s="19">
        <v>1.0</v>
      </c>
      <c r="S7" s="19">
        <v>1.0</v>
      </c>
      <c r="T7" s="19">
        <v>0.0</v>
      </c>
      <c r="U7" s="19">
        <v>0.0</v>
      </c>
      <c r="V7" s="19">
        <v>1.0</v>
      </c>
      <c r="W7" s="19">
        <v>1.0</v>
      </c>
      <c r="X7" s="19">
        <v>1.0</v>
      </c>
      <c r="Y7" s="18"/>
      <c r="Z7" s="18"/>
      <c r="AA7" s="20">
        <f t="shared" si="1"/>
        <v>16</v>
      </c>
      <c r="AB7" s="21">
        <f t="shared" si="2"/>
        <v>0.6956521739</v>
      </c>
      <c r="AC7" s="2"/>
    </row>
    <row r="8">
      <c r="A8" s="17" t="s">
        <v>41</v>
      </c>
      <c r="B8" s="19">
        <v>0.0</v>
      </c>
      <c r="C8" s="19">
        <v>0.0</v>
      </c>
      <c r="D8" s="19">
        <v>0.0</v>
      </c>
      <c r="E8" s="19">
        <v>1.0</v>
      </c>
      <c r="F8" s="19">
        <v>1.0</v>
      </c>
      <c r="G8" s="19">
        <v>0.0</v>
      </c>
      <c r="H8" s="19">
        <v>1.0</v>
      </c>
      <c r="I8" s="19">
        <v>0.0</v>
      </c>
      <c r="J8" s="19">
        <v>1.0</v>
      </c>
      <c r="K8" s="19">
        <v>0.0</v>
      </c>
      <c r="L8" s="19">
        <v>1.0</v>
      </c>
      <c r="M8" s="19">
        <v>1.0</v>
      </c>
      <c r="N8" s="19">
        <v>1.0</v>
      </c>
      <c r="O8" s="19">
        <v>0.0</v>
      </c>
      <c r="P8" s="19">
        <v>1.0</v>
      </c>
      <c r="Q8" s="19">
        <v>1.0</v>
      </c>
      <c r="R8" s="19">
        <v>1.0</v>
      </c>
      <c r="S8" s="19">
        <v>0.0</v>
      </c>
      <c r="T8" s="19">
        <v>1.0</v>
      </c>
      <c r="U8" s="19">
        <v>0.0</v>
      </c>
      <c r="V8" s="19">
        <v>1.0</v>
      </c>
      <c r="W8" s="19">
        <v>0.0</v>
      </c>
      <c r="X8" s="19">
        <v>0.0</v>
      </c>
      <c r="Y8" s="18"/>
      <c r="Z8" s="18"/>
      <c r="AA8" s="20">
        <f t="shared" si="1"/>
        <v>12</v>
      </c>
      <c r="AB8" s="21">
        <f t="shared" si="2"/>
        <v>0.5217391304</v>
      </c>
      <c r="AC8" s="2"/>
    </row>
    <row r="9">
      <c r="A9" s="17" t="s">
        <v>42</v>
      </c>
      <c r="B9" s="19">
        <v>0.0</v>
      </c>
      <c r="C9" s="19">
        <v>0.0</v>
      </c>
      <c r="D9" s="19">
        <v>0.0</v>
      </c>
      <c r="E9" s="19">
        <v>0.0</v>
      </c>
      <c r="F9" s="19">
        <v>1.0</v>
      </c>
      <c r="G9" s="19">
        <v>0.0</v>
      </c>
      <c r="H9" s="19">
        <v>0.0</v>
      </c>
      <c r="I9" s="19">
        <v>0.0</v>
      </c>
      <c r="J9" s="19">
        <v>0.0</v>
      </c>
      <c r="K9" s="19">
        <v>0.0</v>
      </c>
      <c r="L9" s="19">
        <v>1.0</v>
      </c>
      <c r="M9" s="19">
        <v>0.0</v>
      </c>
      <c r="N9" s="19">
        <v>0.0</v>
      </c>
      <c r="O9" s="19">
        <v>0.0</v>
      </c>
      <c r="P9" s="19">
        <v>1.0</v>
      </c>
      <c r="Q9" s="19">
        <v>1.0</v>
      </c>
      <c r="R9" s="19">
        <v>0.0</v>
      </c>
      <c r="S9" s="19">
        <v>0.0</v>
      </c>
      <c r="T9" s="19">
        <v>0.0</v>
      </c>
      <c r="U9" s="19">
        <v>0.0</v>
      </c>
      <c r="V9" s="19">
        <v>0.0</v>
      </c>
      <c r="W9" s="19">
        <v>0.0</v>
      </c>
      <c r="X9" s="19">
        <v>0.0</v>
      </c>
      <c r="Y9" s="18"/>
      <c r="Z9" s="18"/>
      <c r="AA9" s="20">
        <f t="shared" si="1"/>
        <v>4</v>
      </c>
      <c r="AB9" s="21">
        <f t="shared" si="2"/>
        <v>0.1739130435</v>
      </c>
      <c r="AC9" s="2"/>
    </row>
    <row r="10">
      <c r="A10" s="17" t="s">
        <v>43</v>
      </c>
      <c r="B10" s="22">
        <f t="shared" ref="B10:Z10" si="3">SUM(B6:B9)</f>
        <v>2</v>
      </c>
      <c r="C10" s="22">
        <f t="shared" si="3"/>
        <v>2</v>
      </c>
      <c r="D10" s="22">
        <f t="shared" si="3"/>
        <v>2</v>
      </c>
      <c r="E10" s="22">
        <f t="shared" si="3"/>
        <v>2</v>
      </c>
      <c r="F10" s="22">
        <f t="shared" si="3"/>
        <v>3</v>
      </c>
      <c r="G10" s="22">
        <f t="shared" si="3"/>
        <v>0</v>
      </c>
      <c r="H10" s="22">
        <f t="shared" si="3"/>
        <v>2</v>
      </c>
      <c r="I10" s="22">
        <f t="shared" si="3"/>
        <v>0</v>
      </c>
      <c r="J10" s="22">
        <f t="shared" si="3"/>
        <v>2</v>
      </c>
      <c r="K10" s="22">
        <f t="shared" si="3"/>
        <v>1</v>
      </c>
      <c r="L10" s="22">
        <f t="shared" si="3"/>
        <v>3</v>
      </c>
      <c r="M10" s="22">
        <f t="shared" si="3"/>
        <v>2</v>
      </c>
      <c r="N10" s="22">
        <f t="shared" si="3"/>
        <v>2</v>
      </c>
      <c r="O10" s="22">
        <f t="shared" si="3"/>
        <v>2</v>
      </c>
      <c r="P10" s="22">
        <f t="shared" si="3"/>
        <v>4</v>
      </c>
      <c r="Q10" s="22">
        <f t="shared" si="3"/>
        <v>3</v>
      </c>
      <c r="R10" s="22">
        <f t="shared" si="3"/>
        <v>3</v>
      </c>
      <c r="S10" s="22">
        <f t="shared" si="3"/>
        <v>1</v>
      </c>
      <c r="T10" s="22">
        <f t="shared" si="3"/>
        <v>1</v>
      </c>
      <c r="U10" s="22">
        <f t="shared" si="3"/>
        <v>0</v>
      </c>
      <c r="V10" s="22">
        <f t="shared" si="3"/>
        <v>3</v>
      </c>
      <c r="W10" s="22">
        <f t="shared" si="3"/>
        <v>1</v>
      </c>
      <c r="X10" s="22">
        <f t="shared" si="3"/>
        <v>1</v>
      </c>
      <c r="Y10" s="22">
        <f t="shared" si="3"/>
        <v>0</v>
      </c>
      <c r="Z10" s="22">
        <f t="shared" si="3"/>
        <v>0</v>
      </c>
      <c r="AA10" s="20">
        <f t="shared" si="1"/>
        <v>42</v>
      </c>
      <c r="AB10" s="23"/>
      <c r="AC10" s="2"/>
    </row>
    <row r="11">
      <c r="A11" s="17" t="s">
        <v>38</v>
      </c>
      <c r="B11" s="24">
        <f t="shared" ref="B11:Z11" si="4">B10/(COUNT(B6:B9)*1)</f>
        <v>0.5</v>
      </c>
      <c r="C11" s="24">
        <f t="shared" si="4"/>
        <v>0.5</v>
      </c>
      <c r="D11" s="24">
        <f t="shared" si="4"/>
        <v>0.5</v>
      </c>
      <c r="E11" s="24">
        <f t="shared" si="4"/>
        <v>0.5</v>
      </c>
      <c r="F11" s="24">
        <f t="shared" si="4"/>
        <v>0.75</v>
      </c>
      <c r="G11" s="24">
        <f t="shared" si="4"/>
        <v>0</v>
      </c>
      <c r="H11" s="24">
        <f t="shared" si="4"/>
        <v>0.5</v>
      </c>
      <c r="I11" s="24">
        <f t="shared" si="4"/>
        <v>0</v>
      </c>
      <c r="J11" s="24">
        <f t="shared" si="4"/>
        <v>0.5</v>
      </c>
      <c r="K11" s="24">
        <f t="shared" si="4"/>
        <v>0.25</v>
      </c>
      <c r="L11" s="24">
        <f t="shared" si="4"/>
        <v>0.75</v>
      </c>
      <c r="M11" s="24">
        <f t="shared" si="4"/>
        <v>0.5</v>
      </c>
      <c r="N11" s="24">
        <f t="shared" si="4"/>
        <v>0.5</v>
      </c>
      <c r="O11" s="24">
        <f t="shared" si="4"/>
        <v>0.5</v>
      </c>
      <c r="P11" s="24">
        <f t="shared" si="4"/>
        <v>1</v>
      </c>
      <c r="Q11" s="24">
        <f t="shared" si="4"/>
        <v>0.75</v>
      </c>
      <c r="R11" s="24">
        <f t="shared" si="4"/>
        <v>0.75</v>
      </c>
      <c r="S11" s="24">
        <f t="shared" si="4"/>
        <v>0.25</v>
      </c>
      <c r="T11" s="24">
        <f t="shared" si="4"/>
        <v>0.25</v>
      </c>
      <c r="U11" s="24">
        <f t="shared" si="4"/>
        <v>0</v>
      </c>
      <c r="V11" s="24">
        <f t="shared" si="4"/>
        <v>0.75</v>
      </c>
      <c r="W11" s="24">
        <f t="shared" si="4"/>
        <v>0.25</v>
      </c>
      <c r="X11" s="24">
        <f t="shared" si="4"/>
        <v>0.25</v>
      </c>
      <c r="Y11" s="24" t="str">
        <f t="shared" si="4"/>
        <v>#DIV/0!</v>
      </c>
      <c r="Z11" s="24" t="str">
        <f t="shared" si="4"/>
        <v>#DIV/0!</v>
      </c>
      <c r="AA11" s="25"/>
      <c r="AB11" s="26">
        <f>SUM(AB6:AB9)/4</f>
        <v>0.4565217391</v>
      </c>
      <c r="AC11" s="2"/>
    </row>
    <row r="12">
      <c r="A12" s="27" t="s">
        <v>44</v>
      </c>
      <c r="B12" s="28"/>
      <c r="C12" s="29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30">
        <f t="shared" ref="AA12:AA14" si="5">SUM(B12:Z12)</f>
        <v>0</v>
      </c>
      <c r="AB12" s="31"/>
      <c r="AC12" s="2"/>
    </row>
    <row r="13">
      <c r="A13" s="32" t="s">
        <v>45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28"/>
      <c r="W13" s="28"/>
      <c r="X13" s="28"/>
      <c r="Y13" s="28"/>
      <c r="Z13" s="28"/>
      <c r="AA13" s="30">
        <f t="shared" si="5"/>
        <v>0</v>
      </c>
      <c r="AB13" s="31"/>
      <c r="AC13" s="9"/>
    </row>
    <row r="14">
      <c r="A14" s="34" t="s">
        <v>46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28"/>
      <c r="W14" s="28"/>
      <c r="X14" s="28"/>
      <c r="Y14" s="28"/>
      <c r="Z14" s="28"/>
      <c r="AA14" s="30">
        <f t="shared" si="5"/>
        <v>0</v>
      </c>
      <c r="AB14" s="31"/>
      <c r="AC14" s="9"/>
    </row>
    <row r="15">
      <c r="A15" s="35" t="s">
        <v>47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8"/>
      <c r="AB15" s="39"/>
      <c r="AC15" s="2"/>
    </row>
    <row r="16">
      <c r="A16" s="40" t="s">
        <v>48</v>
      </c>
      <c r="B16" s="41"/>
      <c r="C16" s="42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3"/>
      <c r="W16" s="43"/>
      <c r="X16" s="43"/>
      <c r="Y16" s="43"/>
      <c r="Z16" s="43"/>
      <c r="AA16" s="44">
        <f t="shared" ref="AA16:AA17" si="6">SUM(B16:Z16)</f>
        <v>0</v>
      </c>
      <c r="AB16" s="31"/>
      <c r="AC16" s="2"/>
    </row>
    <row r="17">
      <c r="A17" s="40" t="s">
        <v>49</v>
      </c>
      <c r="B17" s="41"/>
      <c r="C17" s="42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3"/>
      <c r="W17" s="43"/>
      <c r="X17" s="43"/>
      <c r="Y17" s="43"/>
      <c r="Z17" s="43"/>
      <c r="AA17" s="44">
        <f t="shared" si="6"/>
        <v>0</v>
      </c>
      <c r="AB17" s="31"/>
      <c r="AC17" s="2"/>
    </row>
    <row r="18">
      <c r="A18" s="40" t="s">
        <v>50</v>
      </c>
      <c r="B18" s="42"/>
      <c r="C18" s="42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3"/>
      <c r="W18" s="43"/>
      <c r="X18" s="43"/>
      <c r="Y18" s="43"/>
      <c r="Z18" s="43"/>
      <c r="AA18" s="44" t="str">
        <f>AVERAGE(B18:Z18)</f>
        <v>#DIV/0!</v>
      </c>
      <c r="AB18" s="31"/>
      <c r="AC18" s="2"/>
    </row>
    <row r="19">
      <c r="A19" s="45" t="s">
        <v>51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7"/>
      <c r="AA19" s="46"/>
      <c r="AB19" s="39"/>
      <c r="AC19" s="2"/>
    </row>
    <row r="20">
      <c r="A20" s="47" t="s">
        <v>48</v>
      </c>
      <c r="B20" s="48"/>
      <c r="C20" s="49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50"/>
      <c r="W20" s="50"/>
      <c r="X20" s="50"/>
      <c r="Y20" s="50"/>
      <c r="Z20" s="50"/>
      <c r="AA20" s="51">
        <f t="shared" ref="AA20:AA21" si="7">SUM(B20:Z20)</f>
        <v>0</v>
      </c>
      <c r="AB20" s="31"/>
      <c r="AC20" s="2"/>
    </row>
    <row r="21">
      <c r="A21" s="47" t="s">
        <v>49</v>
      </c>
      <c r="B21" s="48"/>
      <c r="C21" s="49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50"/>
      <c r="W21" s="50"/>
      <c r="X21" s="50"/>
      <c r="Y21" s="50"/>
      <c r="Z21" s="50"/>
      <c r="AA21" s="51">
        <f t="shared" si="7"/>
        <v>0</v>
      </c>
      <c r="AB21" s="31"/>
      <c r="AC21" s="2"/>
    </row>
    <row r="22">
      <c r="A22" s="47" t="s">
        <v>52</v>
      </c>
      <c r="B22" s="49"/>
      <c r="C22" s="49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50"/>
      <c r="W22" s="50"/>
      <c r="X22" s="50"/>
      <c r="Y22" s="50"/>
      <c r="Z22" s="50"/>
      <c r="AA22" s="51" t="str">
        <f>AVERAGE(B22:Z22)</f>
        <v>#DIV/0!</v>
      </c>
      <c r="AB22" s="31"/>
      <c r="AC22" s="2"/>
    </row>
    <row r="23">
      <c r="A23" s="52" t="s">
        <v>53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7"/>
      <c r="AA23" s="38"/>
      <c r="AB23" s="39"/>
      <c r="AC23" s="2"/>
    </row>
    <row r="24">
      <c r="A24" s="40" t="s">
        <v>48</v>
      </c>
      <c r="B24" s="41"/>
      <c r="C24" s="42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3"/>
      <c r="W24" s="43"/>
      <c r="X24" s="43"/>
      <c r="Y24" s="43"/>
      <c r="Z24" s="43"/>
      <c r="AA24" s="44">
        <f t="shared" ref="AA24:AA25" si="8">SUM(B24:Z24)</f>
        <v>0</v>
      </c>
      <c r="AB24" s="31"/>
      <c r="AC24" s="2"/>
    </row>
    <row r="25">
      <c r="A25" s="40" t="s">
        <v>49</v>
      </c>
      <c r="B25" s="41"/>
      <c r="C25" s="42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3"/>
      <c r="W25" s="43"/>
      <c r="X25" s="43"/>
      <c r="Y25" s="43"/>
      <c r="Z25" s="43"/>
      <c r="AA25" s="44">
        <f t="shared" si="8"/>
        <v>0</v>
      </c>
      <c r="AB25" s="31"/>
      <c r="AC25" s="2"/>
    </row>
    <row r="26">
      <c r="A26" s="53" t="s">
        <v>50</v>
      </c>
      <c r="B26" s="54"/>
      <c r="C26" s="54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6"/>
      <c r="W26" s="56"/>
      <c r="X26" s="56"/>
      <c r="Y26" s="56"/>
      <c r="Z26" s="56"/>
      <c r="AA26" s="57" t="str">
        <f>AVERAGE(B26:Z26)</f>
        <v>#DIV/0!</v>
      </c>
      <c r="AB26" s="58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59"/>
      <c r="AB27" s="59"/>
      <c r="AC27" s="2"/>
    </row>
    <row r="28">
      <c r="A28" s="13">
        <v>46084.0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 t="s">
        <v>37</v>
      </c>
      <c r="AB28" s="16" t="s">
        <v>38</v>
      </c>
      <c r="AC28" s="2"/>
    </row>
    <row r="29">
      <c r="A29" s="17" t="s">
        <v>39</v>
      </c>
      <c r="B29" s="19">
        <v>1.0</v>
      </c>
      <c r="C29" s="19">
        <v>1.0</v>
      </c>
      <c r="D29" s="19">
        <v>1.0</v>
      </c>
      <c r="E29" s="19">
        <v>1.0</v>
      </c>
      <c r="F29" s="19">
        <v>1.0</v>
      </c>
      <c r="G29" s="19">
        <v>1.0</v>
      </c>
      <c r="H29" s="19">
        <v>1.0</v>
      </c>
      <c r="I29" s="19">
        <v>1.0</v>
      </c>
      <c r="J29" s="19">
        <v>1.0</v>
      </c>
      <c r="K29" s="19">
        <v>1.0</v>
      </c>
      <c r="L29" s="19">
        <v>0.0</v>
      </c>
      <c r="M29" s="19">
        <v>0.0</v>
      </c>
      <c r="N29" s="19">
        <v>0.0</v>
      </c>
      <c r="O29" s="19">
        <v>1.0</v>
      </c>
      <c r="P29" s="19">
        <v>1.0</v>
      </c>
      <c r="Q29" s="19">
        <v>1.0</v>
      </c>
      <c r="R29" s="19">
        <v>1.0</v>
      </c>
      <c r="S29" s="19">
        <v>1.0</v>
      </c>
      <c r="T29" s="19">
        <v>0.0</v>
      </c>
      <c r="U29" s="19">
        <v>0.0</v>
      </c>
      <c r="V29" s="19">
        <v>1.0</v>
      </c>
      <c r="W29" s="19">
        <v>0.0</v>
      </c>
      <c r="X29" s="19">
        <v>0.0</v>
      </c>
      <c r="Y29" s="18"/>
      <c r="Z29" s="18"/>
      <c r="AA29" s="20">
        <f t="shared" ref="AA29:AA33" si="9">SUM(B29:Z29)</f>
        <v>16</v>
      </c>
      <c r="AB29" s="21">
        <f t="shared" ref="AB29:AB32" si="10">AA29/(COUNT(B29:Z29)*1)</f>
        <v>0.6956521739</v>
      </c>
      <c r="AC29" s="2"/>
    </row>
    <row r="30">
      <c r="A30" s="17" t="s">
        <v>40</v>
      </c>
      <c r="B30" s="19">
        <v>0.0</v>
      </c>
      <c r="C30" s="19">
        <v>0.0</v>
      </c>
      <c r="D30" s="19">
        <v>1.0</v>
      </c>
      <c r="E30" s="19">
        <v>0.0</v>
      </c>
      <c r="F30" s="19">
        <v>1.0</v>
      </c>
      <c r="G30" s="19">
        <v>1.0</v>
      </c>
      <c r="H30" s="19">
        <v>1.0</v>
      </c>
      <c r="I30" s="19">
        <v>1.0</v>
      </c>
      <c r="J30" s="19">
        <v>1.0</v>
      </c>
      <c r="K30" s="19">
        <v>1.0</v>
      </c>
      <c r="L30" s="19">
        <v>0.0</v>
      </c>
      <c r="M30" s="19">
        <v>1.0</v>
      </c>
      <c r="N30" s="19">
        <v>1.0</v>
      </c>
      <c r="O30" s="19">
        <v>1.0</v>
      </c>
      <c r="P30" s="19">
        <v>0.0</v>
      </c>
      <c r="Q30" s="19">
        <v>1.0</v>
      </c>
      <c r="R30" s="19">
        <v>1.0</v>
      </c>
      <c r="S30" s="19">
        <v>1.0</v>
      </c>
      <c r="T30" s="19">
        <v>1.0</v>
      </c>
      <c r="U30" s="19">
        <v>1.0</v>
      </c>
      <c r="V30" s="19">
        <v>1.0</v>
      </c>
      <c r="W30" s="19">
        <v>1.0</v>
      </c>
      <c r="X30" s="19">
        <v>1.0</v>
      </c>
      <c r="Y30" s="18"/>
      <c r="Z30" s="18"/>
      <c r="AA30" s="20">
        <f t="shared" si="9"/>
        <v>18</v>
      </c>
      <c r="AB30" s="21">
        <f t="shared" si="10"/>
        <v>0.7826086957</v>
      </c>
      <c r="AC30" s="2"/>
    </row>
    <row r="31">
      <c r="A31" s="17" t="s">
        <v>41</v>
      </c>
      <c r="B31" s="19">
        <v>0.0</v>
      </c>
      <c r="C31" s="19">
        <v>0.0</v>
      </c>
      <c r="D31" s="19">
        <v>0.0</v>
      </c>
      <c r="E31" s="19">
        <v>0.0</v>
      </c>
      <c r="F31" s="19">
        <v>0.0</v>
      </c>
      <c r="G31" s="19">
        <v>1.0</v>
      </c>
      <c r="H31" s="19">
        <v>0.0</v>
      </c>
      <c r="I31" s="19">
        <v>1.0</v>
      </c>
      <c r="J31" s="19">
        <v>1.0</v>
      </c>
      <c r="K31" s="19">
        <v>0.0</v>
      </c>
      <c r="L31" s="19">
        <v>0.0</v>
      </c>
      <c r="M31" s="19">
        <v>0.0</v>
      </c>
      <c r="N31" s="19">
        <v>0.0</v>
      </c>
      <c r="O31" s="19">
        <v>1.0</v>
      </c>
      <c r="P31" s="19">
        <v>0.0</v>
      </c>
      <c r="Q31" s="19">
        <v>1.0</v>
      </c>
      <c r="R31" s="19">
        <v>1.0</v>
      </c>
      <c r="S31" s="19">
        <v>1.0</v>
      </c>
      <c r="T31" s="19">
        <v>0.0</v>
      </c>
      <c r="U31" s="19">
        <v>1.0</v>
      </c>
      <c r="V31" s="19">
        <v>1.0</v>
      </c>
      <c r="W31" s="19">
        <v>0.0</v>
      </c>
      <c r="X31" s="19">
        <v>0.0</v>
      </c>
      <c r="Y31" s="18"/>
      <c r="Z31" s="18"/>
      <c r="AA31" s="20">
        <f t="shared" si="9"/>
        <v>9</v>
      </c>
      <c r="AB31" s="21">
        <f t="shared" si="10"/>
        <v>0.3913043478</v>
      </c>
      <c r="AC31" s="2"/>
    </row>
    <row r="32">
      <c r="A32" s="17" t="s">
        <v>42</v>
      </c>
      <c r="B32" s="19">
        <v>0.0</v>
      </c>
      <c r="C32" s="19">
        <v>0.0</v>
      </c>
      <c r="D32" s="19">
        <v>0.0</v>
      </c>
      <c r="E32" s="19">
        <v>0.0</v>
      </c>
      <c r="F32" s="19">
        <v>0.0</v>
      </c>
      <c r="G32" s="19">
        <v>0.0</v>
      </c>
      <c r="H32" s="19">
        <v>0.0</v>
      </c>
      <c r="I32" s="19">
        <v>1.0</v>
      </c>
      <c r="J32" s="19">
        <v>0.0</v>
      </c>
      <c r="K32" s="19">
        <v>0.0</v>
      </c>
      <c r="L32" s="19">
        <v>0.0</v>
      </c>
      <c r="M32" s="19">
        <v>0.0</v>
      </c>
      <c r="N32" s="19">
        <v>0.0</v>
      </c>
      <c r="O32" s="19">
        <v>1.0</v>
      </c>
      <c r="P32" s="19">
        <v>0.0</v>
      </c>
      <c r="Q32" s="19">
        <v>0.0</v>
      </c>
      <c r="R32" s="19">
        <v>0.0</v>
      </c>
      <c r="S32" s="19">
        <v>0.0</v>
      </c>
      <c r="T32" s="19">
        <v>0.0</v>
      </c>
      <c r="U32" s="19">
        <v>0.0</v>
      </c>
      <c r="V32" s="19">
        <v>0.0</v>
      </c>
      <c r="W32" s="19">
        <v>0.0</v>
      </c>
      <c r="X32" s="19">
        <v>0.0</v>
      </c>
      <c r="Y32" s="18"/>
      <c r="Z32" s="18"/>
      <c r="AA32" s="20">
        <f t="shared" si="9"/>
        <v>2</v>
      </c>
      <c r="AB32" s="21">
        <f t="shared" si="10"/>
        <v>0.08695652174</v>
      </c>
      <c r="AC32" s="2"/>
    </row>
    <row r="33">
      <c r="A33" s="17" t="s">
        <v>43</v>
      </c>
      <c r="B33" s="22">
        <f t="shared" ref="B33:Z33" si="11">SUM(B29:B32)</f>
        <v>1</v>
      </c>
      <c r="C33" s="22">
        <f t="shared" si="11"/>
        <v>1</v>
      </c>
      <c r="D33" s="22">
        <f t="shared" si="11"/>
        <v>2</v>
      </c>
      <c r="E33" s="22">
        <f t="shared" si="11"/>
        <v>1</v>
      </c>
      <c r="F33" s="22">
        <f t="shared" si="11"/>
        <v>2</v>
      </c>
      <c r="G33" s="22">
        <f t="shared" si="11"/>
        <v>3</v>
      </c>
      <c r="H33" s="22">
        <f t="shared" si="11"/>
        <v>2</v>
      </c>
      <c r="I33" s="22">
        <f t="shared" si="11"/>
        <v>4</v>
      </c>
      <c r="J33" s="22">
        <f t="shared" si="11"/>
        <v>3</v>
      </c>
      <c r="K33" s="22">
        <f t="shared" si="11"/>
        <v>2</v>
      </c>
      <c r="L33" s="22">
        <f t="shared" si="11"/>
        <v>0</v>
      </c>
      <c r="M33" s="22">
        <f t="shared" si="11"/>
        <v>1</v>
      </c>
      <c r="N33" s="22">
        <f t="shared" si="11"/>
        <v>1</v>
      </c>
      <c r="O33" s="22">
        <f t="shared" si="11"/>
        <v>4</v>
      </c>
      <c r="P33" s="22">
        <f t="shared" si="11"/>
        <v>1</v>
      </c>
      <c r="Q33" s="22">
        <f t="shared" si="11"/>
        <v>3</v>
      </c>
      <c r="R33" s="22">
        <f t="shared" si="11"/>
        <v>3</v>
      </c>
      <c r="S33" s="22">
        <f t="shared" si="11"/>
        <v>3</v>
      </c>
      <c r="T33" s="22">
        <f t="shared" si="11"/>
        <v>1</v>
      </c>
      <c r="U33" s="22">
        <f t="shared" si="11"/>
        <v>2</v>
      </c>
      <c r="V33" s="22">
        <f t="shared" si="11"/>
        <v>3</v>
      </c>
      <c r="W33" s="22">
        <f t="shared" si="11"/>
        <v>1</v>
      </c>
      <c r="X33" s="22">
        <f t="shared" si="11"/>
        <v>1</v>
      </c>
      <c r="Y33" s="22">
        <f t="shared" si="11"/>
        <v>0</v>
      </c>
      <c r="Z33" s="22">
        <f t="shared" si="11"/>
        <v>0</v>
      </c>
      <c r="AA33" s="20">
        <f t="shared" si="9"/>
        <v>45</v>
      </c>
      <c r="AB33" s="23"/>
      <c r="AC33" s="2"/>
    </row>
    <row r="34">
      <c r="A34" s="17" t="s">
        <v>38</v>
      </c>
      <c r="B34" s="24">
        <f t="shared" ref="B34:Z34" si="12">B33/(COUNT(B29:B32)*1)</f>
        <v>0.25</v>
      </c>
      <c r="C34" s="24">
        <f t="shared" si="12"/>
        <v>0.25</v>
      </c>
      <c r="D34" s="24">
        <f t="shared" si="12"/>
        <v>0.5</v>
      </c>
      <c r="E34" s="24">
        <f t="shared" si="12"/>
        <v>0.25</v>
      </c>
      <c r="F34" s="24">
        <f t="shared" si="12"/>
        <v>0.5</v>
      </c>
      <c r="G34" s="24">
        <f t="shared" si="12"/>
        <v>0.75</v>
      </c>
      <c r="H34" s="24">
        <f t="shared" si="12"/>
        <v>0.5</v>
      </c>
      <c r="I34" s="24">
        <f t="shared" si="12"/>
        <v>1</v>
      </c>
      <c r="J34" s="24">
        <f t="shared" si="12"/>
        <v>0.75</v>
      </c>
      <c r="K34" s="24">
        <f t="shared" si="12"/>
        <v>0.5</v>
      </c>
      <c r="L34" s="24">
        <f t="shared" si="12"/>
        <v>0</v>
      </c>
      <c r="M34" s="24">
        <f t="shared" si="12"/>
        <v>0.25</v>
      </c>
      <c r="N34" s="24">
        <f t="shared" si="12"/>
        <v>0.25</v>
      </c>
      <c r="O34" s="24">
        <f t="shared" si="12"/>
        <v>1</v>
      </c>
      <c r="P34" s="24">
        <f t="shared" si="12"/>
        <v>0.25</v>
      </c>
      <c r="Q34" s="24">
        <f t="shared" si="12"/>
        <v>0.75</v>
      </c>
      <c r="R34" s="24">
        <f t="shared" si="12"/>
        <v>0.75</v>
      </c>
      <c r="S34" s="24">
        <f t="shared" si="12"/>
        <v>0.75</v>
      </c>
      <c r="T34" s="24">
        <f t="shared" si="12"/>
        <v>0.25</v>
      </c>
      <c r="U34" s="24">
        <f t="shared" si="12"/>
        <v>0.5</v>
      </c>
      <c r="V34" s="24">
        <f t="shared" si="12"/>
        <v>0.75</v>
      </c>
      <c r="W34" s="24">
        <f t="shared" si="12"/>
        <v>0.25</v>
      </c>
      <c r="X34" s="24">
        <f t="shared" si="12"/>
        <v>0.25</v>
      </c>
      <c r="Y34" s="24" t="str">
        <f t="shared" si="12"/>
        <v>#DIV/0!</v>
      </c>
      <c r="Z34" s="24" t="str">
        <f t="shared" si="12"/>
        <v>#DIV/0!</v>
      </c>
      <c r="AA34" s="25"/>
      <c r="AB34" s="26">
        <f>SUM(AB29:AB32)/4</f>
        <v>0.4891304348</v>
      </c>
      <c r="AC34" s="2"/>
    </row>
    <row r="35">
      <c r="A35" s="27" t="s">
        <v>44</v>
      </c>
      <c r="B35" s="28"/>
      <c r="C35" s="29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30">
        <f t="shared" ref="AA35:AA37" si="13">SUM(B35:Z35)</f>
        <v>0</v>
      </c>
      <c r="AB35" s="31"/>
      <c r="AC35" s="2"/>
    </row>
    <row r="36">
      <c r="A36" s="32" t="s">
        <v>45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28"/>
      <c r="W36" s="28"/>
      <c r="X36" s="28"/>
      <c r="Y36" s="28"/>
      <c r="Z36" s="28"/>
      <c r="AA36" s="30">
        <f t="shared" si="13"/>
        <v>0</v>
      </c>
      <c r="AB36" s="31"/>
      <c r="AC36" s="9"/>
    </row>
    <row r="37">
      <c r="A37" s="34" t="s">
        <v>46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28"/>
      <c r="W37" s="28"/>
      <c r="X37" s="28"/>
      <c r="Y37" s="28"/>
      <c r="Z37" s="28"/>
      <c r="AA37" s="30">
        <f t="shared" si="13"/>
        <v>0</v>
      </c>
      <c r="AB37" s="31"/>
      <c r="AC37" s="9"/>
    </row>
    <row r="38">
      <c r="A38" s="35" t="s">
        <v>47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7"/>
      <c r="AA38" s="38"/>
      <c r="AB38" s="39"/>
      <c r="AC38" s="2"/>
    </row>
    <row r="39">
      <c r="A39" s="40" t="s">
        <v>48</v>
      </c>
      <c r="B39" s="41"/>
      <c r="C39" s="42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3"/>
      <c r="W39" s="43"/>
      <c r="X39" s="43"/>
      <c r="Y39" s="43"/>
      <c r="Z39" s="43"/>
      <c r="AA39" s="44">
        <f t="shared" ref="AA39:AA40" si="14">SUM(B39:Z39)</f>
        <v>0</v>
      </c>
      <c r="AB39" s="31"/>
      <c r="AC39" s="2"/>
    </row>
    <row r="40">
      <c r="A40" s="40" t="s">
        <v>49</v>
      </c>
      <c r="B40" s="41"/>
      <c r="C40" s="42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3"/>
      <c r="W40" s="43"/>
      <c r="X40" s="43"/>
      <c r="Y40" s="43"/>
      <c r="Z40" s="43"/>
      <c r="AA40" s="44">
        <f t="shared" si="14"/>
        <v>0</v>
      </c>
      <c r="AB40" s="31"/>
      <c r="AC40" s="2"/>
    </row>
    <row r="41">
      <c r="A41" s="40" t="s">
        <v>50</v>
      </c>
      <c r="B41" s="42"/>
      <c r="C41" s="42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3"/>
      <c r="W41" s="43"/>
      <c r="X41" s="43"/>
      <c r="Y41" s="43"/>
      <c r="Z41" s="43"/>
      <c r="AA41" s="44" t="str">
        <f>AVERAGE(B41:Z41)</f>
        <v>#DIV/0!</v>
      </c>
      <c r="AB41" s="31"/>
      <c r="AC41" s="2"/>
    </row>
    <row r="42">
      <c r="A42" s="45" t="s">
        <v>51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7"/>
      <c r="AA42" s="46"/>
      <c r="AB42" s="39"/>
      <c r="AC42" s="2"/>
    </row>
    <row r="43">
      <c r="A43" s="47" t="s">
        <v>48</v>
      </c>
      <c r="B43" s="48"/>
      <c r="C43" s="49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50"/>
      <c r="W43" s="50"/>
      <c r="X43" s="50"/>
      <c r="Y43" s="50"/>
      <c r="Z43" s="50"/>
      <c r="AA43" s="51">
        <f t="shared" ref="AA43:AA44" si="15">SUM(B43:Z43)</f>
        <v>0</v>
      </c>
      <c r="AB43" s="31"/>
      <c r="AC43" s="2"/>
    </row>
    <row r="44">
      <c r="A44" s="47" t="s">
        <v>49</v>
      </c>
      <c r="B44" s="48"/>
      <c r="C44" s="49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50"/>
      <c r="W44" s="50"/>
      <c r="X44" s="50"/>
      <c r="Y44" s="50"/>
      <c r="Z44" s="50"/>
      <c r="AA44" s="51">
        <f t="shared" si="15"/>
        <v>0</v>
      </c>
      <c r="AB44" s="31"/>
      <c r="AC44" s="2"/>
    </row>
    <row r="45">
      <c r="A45" s="47" t="s">
        <v>50</v>
      </c>
      <c r="B45" s="49"/>
      <c r="C45" s="49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50"/>
      <c r="W45" s="50"/>
      <c r="X45" s="50"/>
      <c r="Y45" s="50"/>
      <c r="Z45" s="50"/>
      <c r="AA45" s="51" t="str">
        <f>AVERAGE(B45:Z45)</f>
        <v>#DIV/0!</v>
      </c>
      <c r="AB45" s="31"/>
      <c r="AC45" s="2"/>
    </row>
    <row r="46">
      <c r="A46" s="52" t="s">
        <v>53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7"/>
      <c r="AA46" s="38"/>
      <c r="AB46" s="39"/>
      <c r="AC46" s="2"/>
    </row>
    <row r="47">
      <c r="A47" s="40" t="s">
        <v>48</v>
      </c>
      <c r="B47" s="41"/>
      <c r="C47" s="42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3"/>
      <c r="W47" s="43"/>
      <c r="X47" s="43"/>
      <c r="Y47" s="43"/>
      <c r="Z47" s="43"/>
      <c r="AA47" s="44">
        <f t="shared" ref="AA47:AA48" si="16">SUM(B47:Z47)</f>
        <v>0</v>
      </c>
      <c r="AB47" s="31"/>
      <c r="AC47" s="2"/>
    </row>
    <row r="48">
      <c r="A48" s="40" t="s">
        <v>49</v>
      </c>
      <c r="B48" s="41"/>
      <c r="C48" s="42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3"/>
      <c r="W48" s="43"/>
      <c r="X48" s="43"/>
      <c r="Y48" s="43"/>
      <c r="Z48" s="43"/>
      <c r="AA48" s="44">
        <f t="shared" si="16"/>
        <v>0</v>
      </c>
      <c r="AB48" s="31"/>
      <c r="AC48" s="2"/>
    </row>
    <row r="49">
      <c r="A49" s="53" t="s">
        <v>50</v>
      </c>
      <c r="B49" s="54"/>
      <c r="C49" s="54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6"/>
      <c r="W49" s="56"/>
      <c r="X49" s="56"/>
      <c r="Y49" s="56"/>
      <c r="Z49" s="56"/>
      <c r="AA49" s="57" t="str">
        <f>AVERAGE(B49:Z49)</f>
        <v>#DIV/0!</v>
      </c>
      <c r="AB49" s="58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59"/>
      <c r="AB50" s="59"/>
      <c r="AC50" s="2"/>
    </row>
    <row r="51">
      <c r="A51" s="13">
        <v>46085.0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5" t="s">
        <v>37</v>
      </c>
      <c r="AB51" s="16" t="s">
        <v>38</v>
      </c>
      <c r="AC51" s="2"/>
    </row>
    <row r="52">
      <c r="A52" s="17" t="s">
        <v>39</v>
      </c>
      <c r="B52" s="19">
        <v>1.0</v>
      </c>
      <c r="C52" s="19">
        <v>1.0</v>
      </c>
      <c r="D52" s="19">
        <v>1.0</v>
      </c>
      <c r="E52" s="19">
        <v>1.0</v>
      </c>
      <c r="F52" s="19">
        <v>1.0</v>
      </c>
      <c r="G52" s="19">
        <v>1.0</v>
      </c>
      <c r="H52" s="19">
        <v>1.0</v>
      </c>
      <c r="I52" s="19">
        <v>0.0</v>
      </c>
      <c r="J52" s="19">
        <v>0.0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0">
        <f t="shared" ref="AA52:AA56" si="17">SUM(B52:Z52)</f>
        <v>7</v>
      </c>
      <c r="AB52" s="21">
        <f t="shared" ref="AB52:AB55" si="18">AA52/(COUNT(B52:Z52)*1)</f>
        <v>0.7777777778</v>
      </c>
      <c r="AC52" s="2"/>
    </row>
    <row r="53">
      <c r="A53" s="17" t="s">
        <v>40</v>
      </c>
      <c r="B53" s="19">
        <v>1.0</v>
      </c>
      <c r="C53" s="19">
        <v>1.0</v>
      </c>
      <c r="D53" s="19">
        <v>1.0</v>
      </c>
      <c r="E53" s="19">
        <v>1.0</v>
      </c>
      <c r="F53" s="19">
        <v>1.0</v>
      </c>
      <c r="G53" s="19">
        <v>0.0</v>
      </c>
      <c r="H53" s="19">
        <v>1.0</v>
      </c>
      <c r="I53" s="19">
        <v>1.0</v>
      </c>
      <c r="J53" s="19">
        <v>0.0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0">
        <f t="shared" si="17"/>
        <v>7</v>
      </c>
      <c r="AB53" s="21">
        <f t="shared" si="18"/>
        <v>0.7777777778</v>
      </c>
      <c r="AC53" s="2"/>
    </row>
    <row r="54">
      <c r="A54" s="17" t="s">
        <v>41</v>
      </c>
      <c r="B54" s="19">
        <v>1.0</v>
      </c>
      <c r="C54" s="19">
        <v>0.0</v>
      </c>
      <c r="D54" s="19">
        <v>1.0</v>
      </c>
      <c r="E54" s="19">
        <v>1.0</v>
      </c>
      <c r="F54" s="19">
        <v>1.0</v>
      </c>
      <c r="G54" s="19">
        <v>0.0</v>
      </c>
      <c r="H54" s="19">
        <v>1.0</v>
      </c>
      <c r="I54" s="19">
        <v>0.0</v>
      </c>
      <c r="J54" s="19">
        <v>0.0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0">
        <f t="shared" si="17"/>
        <v>5</v>
      </c>
      <c r="AB54" s="21">
        <f t="shared" si="18"/>
        <v>0.5555555556</v>
      </c>
      <c r="AC54" s="2"/>
    </row>
    <row r="55">
      <c r="A55" s="17" t="s">
        <v>42</v>
      </c>
      <c r="B55" s="19">
        <v>1.0</v>
      </c>
      <c r="C55" s="19">
        <v>0.0</v>
      </c>
      <c r="D55" s="19">
        <v>1.0</v>
      </c>
      <c r="E55" s="19">
        <v>1.0</v>
      </c>
      <c r="F55" s="19">
        <v>1.0</v>
      </c>
      <c r="G55" s="19">
        <v>1.0</v>
      </c>
      <c r="H55" s="19">
        <v>0.0</v>
      </c>
      <c r="I55" s="19">
        <v>0.0</v>
      </c>
      <c r="J55" s="19">
        <v>0.0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0">
        <f t="shared" si="17"/>
        <v>5</v>
      </c>
      <c r="AB55" s="21">
        <f t="shared" si="18"/>
        <v>0.5555555556</v>
      </c>
      <c r="AC55" s="2"/>
    </row>
    <row r="56">
      <c r="A56" s="17" t="s">
        <v>43</v>
      </c>
      <c r="B56" s="22">
        <f t="shared" ref="B56:Z56" si="19">SUM(B52:B55)</f>
        <v>4</v>
      </c>
      <c r="C56" s="22">
        <f t="shared" si="19"/>
        <v>2</v>
      </c>
      <c r="D56" s="22">
        <f t="shared" si="19"/>
        <v>4</v>
      </c>
      <c r="E56" s="22">
        <f t="shared" si="19"/>
        <v>4</v>
      </c>
      <c r="F56" s="22">
        <f t="shared" si="19"/>
        <v>4</v>
      </c>
      <c r="G56" s="22">
        <f t="shared" si="19"/>
        <v>2</v>
      </c>
      <c r="H56" s="22">
        <f t="shared" si="19"/>
        <v>3</v>
      </c>
      <c r="I56" s="22">
        <f t="shared" si="19"/>
        <v>1</v>
      </c>
      <c r="J56" s="22">
        <f t="shared" si="19"/>
        <v>0</v>
      </c>
      <c r="K56" s="22">
        <f t="shared" si="19"/>
        <v>0</v>
      </c>
      <c r="L56" s="22">
        <f t="shared" si="19"/>
        <v>0</v>
      </c>
      <c r="M56" s="22">
        <f t="shared" si="19"/>
        <v>0</v>
      </c>
      <c r="N56" s="22">
        <f t="shared" si="19"/>
        <v>0</v>
      </c>
      <c r="O56" s="22">
        <f t="shared" si="19"/>
        <v>0</v>
      </c>
      <c r="P56" s="22">
        <f t="shared" si="19"/>
        <v>0</v>
      </c>
      <c r="Q56" s="22">
        <f t="shared" si="19"/>
        <v>0</v>
      </c>
      <c r="R56" s="22">
        <f t="shared" si="19"/>
        <v>0</v>
      </c>
      <c r="S56" s="22">
        <f t="shared" si="19"/>
        <v>0</v>
      </c>
      <c r="T56" s="22">
        <f t="shared" si="19"/>
        <v>0</v>
      </c>
      <c r="U56" s="22">
        <f t="shared" si="19"/>
        <v>0</v>
      </c>
      <c r="V56" s="22">
        <f t="shared" si="19"/>
        <v>0</v>
      </c>
      <c r="W56" s="22">
        <f t="shared" si="19"/>
        <v>0</v>
      </c>
      <c r="X56" s="22">
        <f t="shared" si="19"/>
        <v>0</v>
      </c>
      <c r="Y56" s="22">
        <f t="shared" si="19"/>
        <v>0</v>
      </c>
      <c r="Z56" s="22">
        <f t="shared" si="19"/>
        <v>0</v>
      </c>
      <c r="AA56" s="20">
        <f t="shared" si="17"/>
        <v>24</v>
      </c>
      <c r="AB56" s="23"/>
      <c r="AC56" s="2"/>
    </row>
    <row r="57">
      <c r="A57" s="17" t="s">
        <v>38</v>
      </c>
      <c r="B57" s="24">
        <f t="shared" ref="B57:Z57" si="20">B56/(COUNT(B52:B55)*1)</f>
        <v>1</v>
      </c>
      <c r="C57" s="24">
        <f t="shared" si="20"/>
        <v>0.5</v>
      </c>
      <c r="D57" s="24">
        <f t="shared" si="20"/>
        <v>1</v>
      </c>
      <c r="E57" s="24">
        <f t="shared" si="20"/>
        <v>1</v>
      </c>
      <c r="F57" s="24">
        <f t="shared" si="20"/>
        <v>1</v>
      </c>
      <c r="G57" s="24">
        <f t="shared" si="20"/>
        <v>0.5</v>
      </c>
      <c r="H57" s="24">
        <f t="shared" si="20"/>
        <v>0.75</v>
      </c>
      <c r="I57" s="24">
        <f t="shared" si="20"/>
        <v>0.25</v>
      </c>
      <c r="J57" s="24">
        <f t="shared" si="20"/>
        <v>0</v>
      </c>
      <c r="K57" s="24" t="str">
        <f t="shared" si="20"/>
        <v>#DIV/0!</v>
      </c>
      <c r="L57" s="24" t="str">
        <f t="shared" si="20"/>
        <v>#DIV/0!</v>
      </c>
      <c r="M57" s="24" t="str">
        <f t="shared" si="20"/>
        <v>#DIV/0!</v>
      </c>
      <c r="N57" s="24" t="str">
        <f t="shared" si="20"/>
        <v>#DIV/0!</v>
      </c>
      <c r="O57" s="24" t="str">
        <f t="shared" si="20"/>
        <v>#DIV/0!</v>
      </c>
      <c r="P57" s="24" t="str">
        <f t="shared" si="20"/>
        <v>#DIV/0!</v>
      </c>
      <c r="Q57" s="24" t="str">
        <f t="shared" si="20"/>
        <v>#DIV/0!</v>
      </c>
      <c r="R57" s="24" t="str">
        <f t="shared" si="20"/>
        <v>#DIV/0!</v>
      </c>
      <c r="S57" s="24" t="str">
        <f t="shared" si="20"/>
        <v>#DIV/0!</v>
      </c>
      <c r="T57" s="24" t="str">
        <f t="shared" si="20"/>
        <v>#DIV/0!</v>
      </c>
      <c r="U57" s="24" t="str">
        <f t="shared" si="20"/>
        <v>#DIV/0!</v>
      </c>
      <c r="V57" s="24" t="str">
        <f t="shared" si="20"/>
        <v>#DIV/0!</v>
      </c>
      <c r="W57" s="24" t="str">
        <f t="shared" si="20"/>
        <v>#DIV/0!</v>
      </c>
      <c r="X57" s="24" t="str">
        <f t="shared" si="20"/>
        <v>#DIV/0!</v>
      </c>
      <c r="Y57" s="24" t="str">
        <f t="shared" si="20"/>
        <v>#DIV/0!</v>
      </c>
      <c r="Z57" s="24" t="str">
        <f t="shared" si="20"/>
        <v>#DIV/0!</v>
      </c>
      <c r="AA57" s="25"/>
      <c r="AB57" s="26">
        <f>SUM(AB52:AB55)/4</f>
        <v>0.6666666667</v>
      </c>
      <c r="AC57" s="2"/>
    </row>
    <row r="58">
      <c r="A58" s="27" t="s">
        <v>44</v>
      </c>
      <c r="B58" s="28"/>
      <c r="C58" s="29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30">
        <f t="shared" ref="AA58:AA60" si="21">SUM(B58:Z58)</f>
        <v>0</v>
      </c>
      <c r="AB58" s="31"/>
      <c r="AC58" s="2"/>
    </row>
    <row r="59">
      <c r="A59" s="32" t="s">
        <v>45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28"/>
      <c r="W59" s="28"/>
      <c r="X59" s="28"/>
      <c r="Y59" s="28"/>
      <c r="Z59" s="28"/>
      <c r="AA59" s="30">
        <f t="shared" si="21"/>
        <v>0</v>
      </c>
      <c r="AB59" s="31"/>
      <c r="AC59" s="9"/>
    </row>
    <row r="60">
      <c r="A60" s="34" t="s">
        <v>46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28"/>
      <c r="W60" s="28"/>
      <c r="X60" s="28"/>
      <c r="Y60" s="28"/>
      <c r="Z60" s="28"/>
      <c r="AA60" s="30">
        <f t="shared" si="21"/>
        <v>0</v>
      </c>
      <c r="AB60" s="31"/>
      <c r="AC60" s="9"/>
    </row>
    <row r="61">
      <c r="A61" s="35" t="s">
        <v>47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7"/>
      <c r="AA61" s="38"/>
      <c r="AB61" s="39"/>
      <c r="AC61" s="2"/>
    </row>
    <row r="62">
      <c r="A62" s="40" t="s">
        <v>48</v>
      </c>
      <c r="B62" s="41"/>
      <c r="C62" s="42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3"/>
      <c r="W62" s="43"/>
      <c r="X62" s="43"/>
      <c r="Y62" s="43"/>
      <c r="Z62" s="43"/>
      <c r="AA62" s="44">
        <f t="shared" ref="AA62:AA63" si="22">SUM(B62:Z62)</f>
        <v>0</v>
      </c>
      <c r="AB62" s="31"/>
      <c r="AC62" s="2"/>
    </row>
    <row r="63">
      <c r="A63" s="40" t="s">
        <v>49</v>
      </c>
      <c r="B63" s="41"/>
      <c r="C63" s="42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3"/>
      <c r="W63" s="43"/>
      <c r="X63" s="43"/>
      <c r="Y63" s="43"/>
      <c r="Z63" s="43"/>
      <c r="AA63" s="44">
        <f t="shared" si="22"/>
        <v>0</v>
      </c>
      <c r="AB63" s="31"/>
      <c r="AC63" s="2"/>
    </row>
    <row r="64">
      <c r="A64" s="40" t="s">
        <v>50</v>
      </c>
      <c r="B64" s="42"/>
      <c r="C64" s="42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3"/>
      <c r="W64" s="43"/>
      <c r="X64" s="43"/>
      <c r="Y64" s="43"/>
      <c r="Z64" s="43"/>
      <c r="AA64" s="44" t="str">
        <f>AVERAGE(B64:Z64)</f>
        <v>#DIV/0!</v>
      </c>
      <c r="AB64" s="31"/>
      <c r="AC64" s="2"/>
    </row>
    <row r="65">
      <c r="A65" s="45" t="s">
        <v>51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7"/>
      <c r="AA65" s="46"/>
      <c r="AB65" s="39"/>
      <c r="AC65" s="2"/>
    </row>
    <row r="66">
      <c r="A66" s="47" t="s">
        <v>48</v>
      </c>
      <c r="B66" s="48"/>
      <c r="C66" s="49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50"/>
      <c r="W66" s="50"/>
      <c r="X66" s="50"/>
      <c r="Y66" s="50"/>
      <c r="Z66" s="50"/>
      <c r="AA66" s="51">
        <f t="shared" ref="AA66:AA67" si="23">SUM(B66:Z66)</f>
        <v>0</v>
      </c>
      <c r="AB66" s="31"/>
      <c r="AC66" s="2"/>
    </row>
    <row r="67">
      <c r="A67" s="47" t="s">
        <v>49</v>
      </c>
      <c r="B67" s="48"/>
      <c r="C67" s="49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50"/>
      <c r="W67" s="50"/>
      <c r="X67" s="50"/>
      <c r="Y67" s="50"/>
      <c r="Z67" s="50"/>
      <c r="AA67" s="51">
        <f t="shared" si="23"/>
        <v>0</v>
      </c>
      <c r="AB67" s="31"/>
      <c r="AC67" s="2"/>
    </row>
    <row r="68">
      <c r="A68" s="47" t="s">
        <v>50</v>
      </c>
      <c r="B68" s="49"/>
      <c r="C68" s="49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50"/>
      <c r="W68" s="50"/>
      <c r="X68" s="50"/>
      <c r="Y68" s="50"/>
      <c r="Z68" s="50"/>
      <c r="AA68" s="51" t="str">
        <f>AVERAGE(B68:Z68)</f>
        <v>#DIV/0!</v>
      </c>
      <c r="AB68" s="31"/>
      <c r="AC68" s="2"/>
    </row>
    <row r="69">
      <c r="A69" s="52" t="s">
        <v>53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7"/>
      <c r="AA69" s="38"/>
      <c r="AB69" s="39"/>
      <c r="AC69" s="2"/>
    </row>
    <row r="70">
      <c r="A70" s="40" t="s">
        <v>48</v>
      </c>
      <c r="B70" s="41"/>
      <c r="C70" s="42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3"/>
      <c r="W70" s="43"/>
      <c r="X70" s="43"/>
      <c r="Y70" s="43"/>
      <c r="Z70" s="43"/>
      <c r="AA70" s="44">
        <f t="shared" ref="AA70:AA71" si="24">SUM(B70:Z70)</f>
        <v>0</v>
      </c>
      <c r="AB70" s="31"/>
      <c r="AC70" s="2"/>
    </row>
    <row r="71">
      <c r="A71" s="40" t="s">
        <v>49</v>
      </c>
      <c r="B71" s="41"/>
      <c r="C71" s="42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3"/>
      <c r="W71" s="43"/>
      <c r="X71" s="43"/>
      <c r="Y71" s="43"/>
      <c r="Z71" s="43"/>
      <c r="AA71" s="44">
        <f t="shared" si="24"/>
        <v>0</v>
      </c>
      <c r="AB71" s="31"/>
      <c r="AC71" s="2"/>
    </row>
    <row r="72">
      <c r="A72" s="53" t="s">
        <v>50</v>
      </c>
      <c r="B72" s="54"/>
      <c r="C72" s="54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6"/>
      <c r="W72" s="56"/>
      <c r="X72" s="56"/>
      <c r="Y72" s="56"/>
      <c r="Z72" s="56"/>
      <c r="AA72" s="57" t="str">
        <f>AVERAGE(B72:Z72)</f>
        <v>#DIV/0!</v>
      </c>
      <c r="AB72" s="58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59"/>
      <c r="AB73" s="59"/>
      <c r="AC73" s="2"/>
    </row>
    <row r="74">
      <c r="A74" s="13">
        <v>46087.0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5" t="s">
        <v>37</v>
      </c>
      <c r="AB74" s="16" t="s">
        <v>38</v>
      </c>
      <c r="AC74" s="2"/>
    </row>
    <row r="75">
      <c r="A75" s="17" t="s">
        <v>39</v>
      </c>
      <c r="B75" s="19">
        <v>1.0</v>
      </c>
      <c r="C75" s="19">
        <v>1.0</v>
      </c>
      <c r="D75" s="19">
        <v>1.0</v>
      </c>
      <c r="E75" s="19">
        <v>0.0</v>
      </c>
      <c r="F75" s="19">
        <v>0.0</v>
      </c>
      <c r="G75" s="19">
        <v>0.0</v>
      </c>
      <c r="H75" s="19">
        <v>0.0</v>
      </c>
      <c r="I75" s="19">
        <v>1.0</v>
      </c>
      <c r="J75" s="19">
        <v>1.0</v>
      </c>
      <c r="K75" s="19">
        <v>1.0</v>
      </c>
      <c r="L75" s="19">
        <v>1.0</v>
      </c>
      <c r="M75" s="19">
        <v>1.0</v>
      </c>
      <c r="N75" s="19">
        <v>1.0</v>
      </c>
      <c r="O75" s="19">
        <v>1.0</v>
      </c>
      <c r="P75" s="19">
        <v>1.0</v>
      </c>
      <c r="Q75" s="19">
        <v>1.0</v>
      </c>
      <c r="R75" s="19">
        <v>1.0</v>
      </c>
      <c r="S75" s="19">
        <v>1.0</v>
      </c>
      <c r="T75" s="19">
        <v>1.0</v>
      </c>
      <c r="U75" s="19">
        <v>1.0</v>
      </c>
      <c r="V75" s="19">
        <v>1.0</v>
      </c>
      <c r="W75" s="19">
        <v>1.0</v>
      </c>
      <c r="X75" s="19">
        <v>1.0</v>
      </c>
      <c r="Y75" s="19"/>
      <c r="Z75" s="19"/>
      <c r="AA75" s="20">
        <f t="shared" ref="AA75:AA79" si="25">SUM(B75:Z75)</f>
        <v>19</v>
      </c>
      <c r="AB75" s="21">
        <f t="shared" ref="AB75:AB78" si="26">AA75/(COUNT(B75:Z75)*1)</f>
        <v>0.8260869565</v>
      </c>
      <c r="AC75" s="2"/>
    </row>
    <row r="76">
      <c r="A76" s="17" t="s">
        <v>40</v>
      </c>
      <c r="B76" s="19">
        <v>1.0</v>
      </c>
      <c r="C76" s="19">
        <v>1.0</v>
      </c>
      <c r="D76" s="19">
        <v>1.0</v>
      </c>
      <c r="E76" s="19">
        <v>1.0</v>
      </c>
      <c r="F76" s="19">
        <v>1.0</v>
      </c>
      <c r="G76" s="19">
        <v>1.0</v>
      </c>
      <c r="H76" s="19">
        <v>1.0</v>
      </c>
      <c r="I76" s="19">
        <v>0.0</v>
      </c>
      <c r="J76" s="19">
        <v>1.0</v>
      </c>
      <c r="K76" s="19">
        <v>1.0</v>
      </c>
      <c r="L76" s="19">
        <v>1.0</v>
      </c>
      <c r="M76" s="19">
        <v>1.0</v>
      </c>
      <c r="N76" s="19">
        <v>1.0</v>
      </c>
      <c r="O76" s="19">
        <v>1.0</v>
      </c>
      <c r="P76" s="19">
        <v>1.0</v>
      </c>
      <c r="Q76" s="19">
        <v>1.0</v>
      </c>
      <c r="R76" s="19">
        <v>1.0</v>
      </c>
      <c r="S76" s="19">
        <v>1.0</v>
      </c>
      <c r="T76" s="19">
        <v>1.0</v>
      </c>
      <c r="U76" s="19">
        <v>1.0</v>
      </c>
      <c r="V76" s="19">
        <v>0.0</v>
      </c>
      <c r="W76" s="19">
        <v>0.0</v>
      </c>
      <c r="X76" s="19">
        <v>1.0</v>
      </c>
      <c r="Y76" s="19"/>
      <c r="Z76" s="19"/>
      <c r="AA76" s="20">
        <f t="shared" si="25"/>
        <v>20</v>
      </c>
      <c r="AB76" s="21">
        <f t="shared" si="26"/>
        <v>0.8695652174</v>
      </c>
      <c r="AC76" s="2"/>
    </row>
    <row r="77">
      <c r="A77" s="17" t="s">
        <v>41</v>
      </c>
      <c r="B77" s="19">
        <v>1.0</v>
      </c>
      <c r="C77" s="19">
        <v>1.0</v>
      </c>
      <c r="D77" s="19">
        <v>1.0</v>
      </c>
      <c r="E77" s="19">
        <v>0.0</v>
      </c>
      <c r="F77" s="19">
        <v>0.0</v>
      </c>
      <c r="G77" s="19">
        <v>0.0</v>
      </c>
      <c r="H77" s="19">
        <v>0.0</v>
      </c>
      <c r="I77" s="19">
        <v>0.0</v>
      </c>
      <c r="J77" s="19">
        <v>1.0</v>
      </c>
      <c r="K77" s="19">
        <v>1.0</v>
      </c>
      <c r="L77" s="19">
        <v>1.0</v>
      </c>
      <c r="M77" s="19">
        <v>1.0</v>
      </c>
      <c r="N77" s="19">
        <v>1.0</v>
      </c>
      <c r="O77" s="19">
        <v>1.0</v>
      </c>
      <c r="P77" s="19">
        <v>1.0</v>
      </c>
      <c r="Q77" s="19">
        <v>1.0</v>
      </c>
      <c r="R77" s="19">
        <v>1.0</v>
      </c>
      <c r="S77" s="19">
        <v>1.0</v>
      </c>
      <c r="T77" s="19">
        <v>1.0</v>
      </c>
      <c r="U77" s="19">
        <v>1.0</v>
      </c>
      <c r="V77" s="19">
        <v>0.0</v>
      </c>
      <c r="W77" s="19">
        <v>0.0</v>
      </c>
      <c r="X77" s="19">
        <v>1.0</v>
      </c>
      <c r="Y77" s="19"/>
      <c r="Z77" s="19"/>
      <c r="AA77" s="20">
        <f t="shared" si="25"/>
        <v>16</v>
      </c>
      <c r="AB77" s="21">
        <f t="shared" si="26"/>
        <v>0.6956521739</v>
      </c>
      <c r="AC77" s="2"/>
    </row>
    <row r="78">
      <c r="A78" s="17" t="s">
        <v>42</v>
      </c>
      <c r="B78" s="19">
        <v>1.0</v>
      </c>
      <c r="C78" s="19">
        <v>1.0</v>
      </c>
      <c r="D78" s="19">
        <v>1.0</v>
      </c>
      <c r="E78" s="19">
        <v>1.0</v>
      </c>
      <c r="F78" s="19">
        <v>1.0</v>
      </c>
      <c r="G78" s="19">
        <v>1.0</v>
      </c>
      <c r="H78" s="19">
        <v>1.0</v>
      </c>
      <c r="I78" s="19">
        <v>0.0</v>
      </c>
      <c r="J78" s="19">
        <v>1.0</v>
      </c>
      <c r="K78" s="19">
        <v>1.0</v>
      </c>
      <c r="L78" s="19">
        <v>1.0</v>
      </c>
      <c r="M78" s="19">
        <v>1.0</v>
      </c>
      <c r="N78" s="19">
        <v>1.0</v>
      </c>
      <c r="O78" s="19">
        <v>1.0</v>
      </c>
      <c r="P78" s="19">
        <v>0.0</v>
      </c>
      <c r="Q78" s="19">
        <v>0.0</v>
      </c>
      <c r="R78" s="19">
        <v>1.0</v>
      </c>
      <c r="S78" s="19">
        <v>1.0</v>
      </c>
      <c r="T78" s="19">
        <v>1.0</v>
      </c>
      <c r="U78" s="19">
        <v>1.0</v>
      </c>
      <c r="V78" s="19">
        <v>0.0</v>
      </c>
      <c r="W78" s="19">
        <v>1.0</v>
      </c>
      <c r="X78" s="19">
        <v>1.0</v>
      </c>
      <c r="Y78" s="19"/>
      <c r="Z78" s="19"/>
      <c r="AA78" s="20">
        <f t="shared" si="25"/>
        <v>19</v>
      </c>
      <c r="AB78" s="21">
        <f t="shared" si="26"/>
        <v>0.8260869565</v>
      </c>
      <c r="AC78" s="2"/>
    </row>
    <row r="79">
      <c r="A79" s="17" t="s">
        <v>43</v>
      </c>
      <c r="B79" s="22">
        <f t="shared" ref="B79:Z79" si="27">SUM(B75:B78)</f>
        <v>4</v>
      </c>
      <c r="C79" s="22">
        <f t="shared" si="27"/>
        <v>4</v>
      </c>
      <c r="D79" s="22">
        <f t="shared" si="27"/>
        <v>4</v>
      </c>
      <c r="E79" s="22">
        <f t="shared" si="27"/>
        <v>2</v>
      </c>
      <c r="F79" s="22">
        <f t="shared" si="27"/>
        <v>2</v>
      </c>
      <c r="G79" s="22">
        <f t="shared" si="27"/>
        <v>2</v>
      </c>
      <c r="H79" s="22">
        <f t="shared" si="27"/>
        <v>2</v>
      </c>
      <c r="I79" s="22">
        <f t="shared" si="27"/>
        <v>1</v>
      </c>
      <c r="J79" s="22">
        <f t="shared" si="27"/>
        <v>4</v>
      </c>
      <c r="K79" s="22">
        <f t="shared" si="27"/>
        <v>4</v>
      </c>
      <c r="L79" s="22">
        <f t="shared" si="27"/>
        <v>4</v>
      </c>
      <c r="M79" s="22">
        <f t="shared" si="27"/>
        <v>4</v>
      </c>
      <c r="N79" s="22">
        <f t="shared" si="27"/>
        <v>4</v>
      </c>
      <c r="O79" s="22">
        <f t="shared" si="27"/>
        <v>4</v>
      </c>
      <c r="P79" s="22">
        <f t="shared" si="27"/>
        <v>3</v>
      </c>
      <c r="Q79" s="22">
        <f t="shared" si="27"/>
        <v>3</v>
      </c>
      <c r="R79" s="22">
        <f t="shared" si="27"/>
        <v>4</v>
      </c>
      <c r="S79" s="22">
        <f t="shared" si="27"/>
        <v>4</v>
      </c>
      <c r="T79" s="22">
        <f t="shared" si="27"/>
        <v>4</v>
      </c>
      <c r="U79" s="22">
        <f t="shared" si="27"/>
        <v>4</v>
      </c>
      <c r="V79" s="22">
        <f t="shared" si="27"/>
        <v>1</v>
      </c>
      <c r="W79" s="22">
        <f t="shared" si="27"/>
        <v>2</v>
      </c>
      <c r="X79" s="22">
        <f t="shared" si="27"/>
        <v>4</v>
      </c>
      <c r="Y79" s="22">
        <f t="shared" si="27"/>
        <v>0</v>
      </c>
      <c r="Z79" s="22">
        <f t="shared" si="27"/>
        <v>0</v>
      </c>
      <c r="AA79" s="20">
        <f t="shared" si="25"/>
        <v>74</v>
      </c>
      <c r="AB79" s="23"/>
      <c r="AC79" s="2"/>
    </row>
    <row r="80">
      <c r="A80" s="17" t="s">
        <v>38</v>
      </c>
      <c r="B80" s="24">
        <f t="shared" ref="B80:Z80" si="28">B79/(COUNT(B75:B78)*1)</f>
        <v>1</v>
      </c>
      <c r="C80" s="24">
        <f t="shared" si="28"/>
        <v>1</v>
      </c>
      <c r="D80" s="24">
        <f t="shared" si="28"/>
        <v>1</v>
      </c>
      <c r="E80" s="24">
        <f t="shared" si="28"/>
        <v>0.5</v>
      </c>
      <c r="F80" s="24">
        <f t="shared" si="28"/>
        <v>0.5</v>
      </c>
      <c r="G80" s="24">
        <f t="shared" si="28"/>
        <v>0.5</v>
      </c>
      <c r="H80" s="24">
        <f t="shared" si="28"/>
        <v>0.5</v>
      </c>
      <c r="I80" s="24">
        <f t="shared" si="28"/>
        <v>0.25</v>
      </c>
      <c r="J80" s="24">
        <f t="shared" si="28"/>
        <v>1</v>
      </c>
      <c r="K80" s="24">
        <f t="shared" si="28"/>
        <v>1</v>
      </c>
      <c r="L80" s="24">
        <f t="shared" si="28"/>
        <v>1</v>
      </c>
      <c r="M80" s="24">
        <f t="shared" si="28"/>
        <v>1</v>
      </c>
      <c r="N80" s="24">
        <f t="shared" si="28"/>
        <v>1</v>
      </c>
      <c r="O80" s="24">
        <f t="shared" si="28"/>
        <v>1</v>
      </c>
      <c r="P80" s="24">
        <f t="shared" si="28"/>
        <v>0.75</v>
      </c>
      <c r="Q80" s="24">
        <f t="shared" si="28"/>
        <v>0.75</v>
      </c>
      <c r="R80" s="24">
        <f t="shared" si="28"/>
        <v>1</v>
      </c>
      <c r="S80" s="24">
        <f t="shared" si="28"/>
        <v>1</v>
      </c>
      <c r="T80" s="24">
        <f t="shared" si="28"/>
        <v>1</v>
      </c>
      <c r="U80" s="24">
        <f t="shared" si="28"/>
        <v>1</v>
      </c>
      <c r="V80" s="24">
        <f t="shared" si="28"/>
        <v>0.25</v>
      </c>
      <c r="W80" s="24">
        <f t="shared" si="28"/>
        <v>0.5</v>
      </c>
      <c r="X80" s="24">
        <f t="shared" si="28"/>
        <v>1</v>
      </c>
      <c r="Y80" s="24" t="str">
        <f t="shared" si="28"/>
        <v>#DIV/0!</v>
      </c>
      <c r="Z80" s="24" t="str">
        <f t="shared" si="28"/>
        <v>#DIV/0!</v>
      </c>
      <c r="AA80" s="25"/>
      <c r="AB80" s="26">
        <f>SUM(AB75:AB78)/4</f>
        <v>0.8043478261</v>
      </c>
      <c r="AC80" s="2"/>
    </row>
    <row r="81">
      <c r="A81" s="27" t="s">
        <v>44</v>
      </c>
      <c r="B81" s="60"/>
      <c r="C81" s="61"/>
      <c r="D81" s="60"/>
      <c r="E81" s="68">
        <v>20.0</v>
      </c>
      <c r="F81" s="68">
        <v>20.0</v>
      </c>
      <c r="G81" s="68">
        <v>20.0</v>
      </c>
      <c r="H81" s="68">
        <v>20.0</v>
      </c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30">
        <f t="shared" ref="AA81:AA83" si="29">SUM(B81:Z81)</f>
        <v>80</v>
      </c>
      <c r="AB81" s="31"/>
      <c r="AC81" s="2"/>
    </row>
    <row r="82">
      <c r="A82" s="32" t="s">
        <v>45</v>
      </c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0"/>
      <c r="W82" s="60"/>
      <c r="X82" s="60"/>
      <c r="Y82" s="60"/>
      <c r="Z82" s="60"/>
      <c r="AA82" s="30">
        <f t="shared" si="29"/>
        <v>0</v>
      </c>
      <c r="AB82" s="31"/>
      <c r="AC82" s="9"/>
    </row>
    <row r="83">
      <c r="A83" s="34" t="s">
        <v>46</v>
      </c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0"/>
      <c r="W83" s="60"/>
      <c r="X83" s="60"/>
      <c r="Y83" s="60"/>
      <c r="Z83" s="60"/>
      <c r="AA83" s="30">
        <f t="shared" si="29"/>
        <v>0</v>
      </c>
      <c r="AB83" s="31"/>
      <c r="AC83" s="9"/>
    </row>
    <row r="84">
      <c r="A84" s="35" t="s">
        <v>47</v>
      </c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7"/>
      <c r="AA84" s="38"/>
      <c r="AB84" s="39"/>
      <c r="AC84" s="2"/>
    </row>
    <row r="85">
      <c r="A85" s="40" t="s">
        <v>48</v>
      </c>
      <c r="B85" s="63"/>
      <c r="C85" s="64"/>
      <c r="D85" s="63"/>
      <c r="E85" s="65">
        <v>1.0</v>
      </c>
      <c r="F85" s="65">
        <v>1.0</v>
      </c>
      <c r="G85" s="65">
        <v>1.0</v>
      </c>
      <c r="H85" s="65">
        <v>1.0</v>
      </c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6"/>
      <c r="W85" s="66"/>
      <c r="X85" s="66"/>
      <c r="Y85" s="66"/>
      <c r="Z85" s="66"/>
      <c r="AA85" s="44">
        <f t="shared" ref="AA85:AA86" si="30">SUM(B85:Z85)</f>
        <v>4</v>
      </c>
      <c r="AB85" s="31"/>
      <c r="AC85" s="2"/>
    </row>
    <row r="86">
      <c r="A86" s="40" t="s">
        <v>49</v>
      </c>
      <c r="B86" s="63"/>
      <c r="C86" s="64"/>
      <c r="D86" s="63"/>
      <c r="E86" s="65">
        <v>20.0</v>
      </c>
      <c r="F86" s="65">
        <v>20.0</v>
      </c>
      <c r="G86" s="65">
        <v>20.0</v>
      </c>
      <c r="H86" s="65">
        <v>20.0</v>
      </c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6"/>
      <c r="W86" s="66"/>
      <c r="X86" s="66"/>
      <c r="Y86" s="66"/>
      <c r="Z86" s="66"/>
      <c r="AA86" s="44">
        <f t="shared" si="30"/>
        <v>80</v>
      </c>
      <c r="AB86" s="31"/>
      <c r="AC86" s="2"/>
    </row>
    <row r="87">
      <c r="A87" s="40" t="s">
        <v>50</v>
      </c>
      <c r="B87" s="64"/>
      <c r="C87" s="64"/>
      <c r="D87" s="63"/>
      <c r="E87" s="65">
        <v>1.0</v>
      </c>
      <c r="F87" s="65">
        <v>1.0</v>
      </c>
      <c r="G87" s="65">
        <v>1.0</v>
      </c>
      <c r="H87" s="65">
        <v>1.0</v>
      </c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6"/>
      <c r="W87" s="66"/>
      <c r="X87" s="66"/>
      <c r="Y87" s="66"/>
      <c r="Z87" s="66"/>
      <c r="AA87" s="44">
        <f>AVERAGE(B87:Z87)</f>
        <v>1</v>
      </c>
      <c r="AB87" s="31"/>
      <c r="AC87" s="2"/>
    </row>
    <row r="88">
      <c r="A88" s="45" t="s">
        <v>51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7"/>
      <c r="AA88" s="46"/>
      <c r="AB88" s="39"/>
      <c r="AC88" s="2"/>
    </row>
    <row r="89">
      <c r="A89" s="47" t="s">
        <v>48</v>
      </c>
      <c r="B89" s="48"/>
      <c r="C89" s="49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50"/>
      <c r="W89" s="50"/>
      <c r="X89" s="50"/>
      <c r="Y89" s="50"/>
      <c r="Z89" s="50"/>
      <c r="AA89" s="51">
        <f t="shared" ref="AA89:AA90" si="31">SUM(B89:Z89)</f>
        <v>0</v>
      </c>
      <c r="AB89" s="31"/>
      <c r="AC89" s="2"/>
    </row>
    <row r="90">
      <c r="A90" s="47" t="s">
        <v>49</v>
      </c>
      <c r="B90" s="48"/>
      <c r="C90" s="49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50"/>
      <c r="W90" s="50"/>
      <c r="X90" s="50"/>
      <c r="Y90" s="50"/>
      <c r="Z90" s="50"/>
      <c r="AA90" s="51">
        <f t="shared" si="31"/>
        <v>0</v>
      </c>
      <c r="AB90" s="31"/>
      <c r="AC90" s="2"/>
    </row>
    <row r="91">
      <c r="A91" s="47" t="s">
        <v>50</v>
      </c>
      <c r="B91" s="49"/>
      <c r="C91" s="49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50"/>
      <c r="W91" s="50"/>
      <c r="X91" s="50"/>
      <c r="Y91" s="50"/>
      <c r="Z91" s="50"/>
      <c r="AA91" s="51" t="str">
        <f>AVERAGE(B91:Z91)</f>
        <v>#DIV/0!</v>
      </c>
      <c r="AB91" s="31"/>
      <c r="AC91" s="2"/>
    </row>
    <row r="92">
      <c r="A92" s="52" t="s">
        <v>53</v>
      </c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7"/>
      <c r="AA92" s="38"/>
      <c r="AB92" s="39"/>
      <c r="AC92" s="2"/>
    </row>
    <row r="93">
      <c r="A93" s="40" t="s">
        <v>48</v>
      </c>
      <c r="B93" s="41"/>
      <c r="C93" s="42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3"/>
      <c r="W93" s="43"/>
      <c r="X93" s="43"/>
      <c r="Y93" s="43"/>
      <c r="Z93" s="43"/>
      <c r="AA93" s="44">
        <f t="shared" ref="AA93:AA94" si="32">SUM(B93:Z93)</f>
        <v>0</v>
      </c>
      <c r="AB93" s="31"/>
      <c r="AC93" s="2"/>
    </row>
    <row r="94">
      <c r="A94" s="40" t="s">
        <v>49</v>
      </c>
      <c r="B94" s="41"/>
      <c r="C94" s="42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3"/>
      <c r="W94" s="43"/>
      <c r="X94" s="43"/>
      <c r="Y94" s="43"/>
      <c r="Z94" s="43"/>
      <c r="AA94" s="44">
        <f t="shared" si="32"/>
        <v>0</v>
      </c>
      <c r="AB94" s="31"/>
      <c r="AC94" s="2"/>
    </row>
    <row r="95">
      <c r="A95" s="53" t="s">
        <v>50</v>
      </c>
      <c r="B95" s="54"/>
      <c r="C95" s="54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6"/>
      <c r="W95" s="56"/>
      <c r="X95" s="56"/>
      <c r="Y95" s="56"/>
      <c r="Z95" s="56"/>
      <c r="AA95" s="57" t="str">
        <f>AVERAGE(B95:Z95)</f>
        <v>#DIV/0!</v>
      </c>
      <c r="AB95" s="58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59"/>
      <c r="AB96" s="59"/>
      <c r="AC96" s="2"/>
    </row>
    <row r="97">
      <c r="A97" s="13">
        <v>46091.0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5" t="s">
        <v>37</v>
      </c>
      <c r="AB97" s="16" t="s">
        <v>38</v>
      </c>
      <c r="AC97" s="2"/>
    </row>
    <row r="98">
      <c r="A98" s="17" t="s">
        <v>39</v>
      </c>
      <c r="B98" s="19">
        <v>1.0</v>
      </c>
      <c r="C98" s="19">
        <v>1.0</v>
      </c>
      <c r="D98" s="19">
        <v>1.0</v>
      </c>
      <c r="E98" s="19">
        <v>1.0</v>
      </c>
      <c r="F98" s="19">
        <v>1.0</v>
      </c>
      <c r="G98" s="19">
        <v>1.0</v>
      </c>
      <c r="H98" s="19">
        <v>1.0</v>
      </c>
      <c r="I98" s="19">
        <v>1.0</v>
      </c>
      <c r="J98" s="19">
        <v>1.0</v>
      </c>
      <c r="K98" s="19">
        <v>1.0</v>
      </c>
      <c r="L98" s="19">
        <v>0.0</v>
      </c>
      <c r="M98" s="19">
        <v>0.0</v>
      </c>
      <c r="N98" s="19">
        <v>0.0</v>
      </c>
      <c r="O98" s="19">
        <v>1.0</v>
      </c>
      <c r="P98" s="19">
        <v>1.0</v>
      </c>
      <c r="Q98" s="19">
        <v>1.0</v>
      </c>
      <c r="R98" s="19">
        <v>1.0</v>
      </c>
      <c r="S98" s="19">
        <v>1.0</v>
      </c>
      <c r="T98" s="19">
        <v>1.0</v>
      </c>
      <c r="U98" s="19">
        <v>0.0</v>
      </c>
      <c r="V98" s="19">
        <v>0.0</v>
      </c>
      <c r="W98" s="19">
        <v>0.0</v>
      </c>
      <c r="X98" s="19">
        <v>0.0</v>
      </c>
      <c r="Y98" s="18"/>
      <c r="Z98" s="18"/>
      <c r="AA98" s="20">
        <f t="shared" ref="AA98:AA102" si="33">SUM(B98:Z98)</f>
        <v>16</v>
      </c>
      <c r="AB98" s="21">
        <f t="shared" ref="AB98:AB101" si="34">AA98/(COUNT(B98:Z98)*1)</f>
        <v>0.6956521739</v>
      </c>
      <c r="AC98" s="2"/>
    </row>
    <row r="99">
      <c r="A99" s="17" t="s">
        <v>40</v>
      </c>
      <c r="B99" s="19">
        <v>1.0</v>
      </c>
      <c r="C99" s="19">
        <v>1.0</v>
      </c>
      <c r="D99" s="19">
        <v>1.0</v>
      </c>
      <c r="E99" s="19">
        <v>1.0</v>
      </c>
      <c r="F99" s="19">
        <v>1.0</v>
      </c>
      <c r="G99" s="19">
        <v>1.0</v>
      </c>
      <c r="H99" s="19">
        <v>1.0</v>
      </c>
      <c r="I99" s="19">
        <v>0.0</v>
      </c>
      <c r="J99" s="19">
        <v>1.0</v>
      </c>
      <c r="K99" s="19">
        <v>1.0</v>
      </c>
      <c r="L99" s="19">
        <v>1.0</v>
      </c>
      <c r="M99" s="19">
        <v>1.0</v>
      </c>
      <c r="N99" s="19">
        <v>1.0</v>
      </c>
      <c r="O99" s="19">
        <v>1.0</v>
      </c>
      <c r="P99" s="19">
        <v>1.0</v>
      </c>
      <c r="Q99" s="19">
        <v>1.0</v>
      </c>
      <c r="R99" s="19">
        <v>1.0</v>
      </c>
      <c r="S99" s="19">
        <v>1.0</v>
      </c>
      <c r="T99" s="19">
        <v>1.0</v>
      </c>
      <c r="U99" s="19">
        <v>1.0</v>
      </c>
      <c r="V99" s="19">
        <v>1.0</v>
      </c>
      <c r="W99" s="19">
        <v>1.0</v>
      </c>
      <c r="X99" s="19">
        <v>1.0</v>
      </c>
      <c r="Y99" s="18"/>
      <c r="Z99" s="18"/>
      <c r="AA99" s="20">
        <f t="shared" si="33"/>
        <v>22</v>
      </c>
      <c r="AB99" s="21">
        <f t="shared" si="34"/>
        <v>0.9565217391</v>
      </c>
      <c r="AC99" s="2"/>
    </row>
    <row r="100">
      <c r="A100" s="17" t="s">
        <v>41</v>
      </c>
      <c r="B100" s="19">
        <v>1.0</v>
      </c>
      <c r="C100" s="19">
        <v>1.0</v>
      </c>
      <c r="D100" s="19">
        <v>1.0</v>
      </c>
      <c r="E100" s="19">
        <v>0.0</v>
      </c>
      <c r="F100" s="19">
        <v>0.0</v>
      </c>
      <c r="G100" s="19">
        <v>1.0</v>
      </c>
      <c r="H100" s="19">
        <v>1.0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1.0</v>
      </c>
      <c r="P100" s="19">
        <v>1.0</v>
      </c>
      <c r="Q100" s="19">
        <v>1.0</v>
      </c>
      <c r="R100" s="19">
        <v>1.0</v>
      </c>
      <c r="S100" s="19">
        <v>1.0</v>
      </c>
      <c r="T100" s="19">
        <v>1.0</v>
      </c>
      <c r="U100" s="19">
        <v>0.0</v>
      </c>
      <c r="V100" s="19">
        <v>1.0</v>
      </c>
      <c r="W100" s="19">
        <v>0.0</v>
      </c>
      <c r="X100" s="19">
        <v>0.0</v>
      </c>
      <c r="Y100" s="18"/>
      <c r="Z100" s="18"/>
      <c r="AA100" s="20">
        <f t="shared" si="33"/>
        <v>12</v>
      </c>
      <c r="AB100" s="21">
        <f t="shared" si="34"/>
        <v>0.5217391304</v>
      </c>
      <c r="AC100" s="2"/>
    </row>
    <row r="101">
      <c r="A101" s="17" t="s">
        <v>42</v>
      </c>
      <c r="B101" s="19">
        <v>0.0</v>
      </c>
      <c r="C101" s="19">
        <v>0.0</v>
      </c>
      <c r="D101" s="19">
        <v>1.0</v>
      </c>
      <c r="E101" s="19">
        <v>1.0</v>
      </c>
      <c r="F101" s="19">
        <v>1.0</v>
      </c>
      <c r="G101" s="19">
        <v>1.0</v>
      </c>
      <c r="H101" s="19">
        <v>1.0</v>
      </c>
      <c r="I101" s="19">
        <v>1.0</v>
      </c>
      <c r="J101" s="19">
        <v>1.0</v>
      </c>
      <c r="K101" s="19">
        <v>0.0</v>
      </c>
      <c r="L101" s="19">
        <v>1.0</v>
      </c>
      <c r="M101" s="19">
        <v>1.0</v>
      </c>
      <c r="N101" s="19">
        <v>1.0</v>
      </c>
      <c r="O101" s="19">
        <v>1.0</v>
      </c>
      <c r="P101" s="19">
        <v>1.0</v>
      </c>
      <c r="Q101" s="19">
        <v>1.0</v>
      </c>
      <c r="R101" s="19">
        <v>1.0</v>
      </c>
      <c r="S101" s="19">
        <v>1.0</v>
      </c>
      <c r="T101" s="19">
        <v>1.0</v>
      </c>
      <c r="U101" s="19">
        <v>0.0</v>
      </c>
      <c r="V101" s="19">
        <v>0.0</v>
      </c>
      <c r="W101" s="19">
        <v>0.0</v>
      </c>
      <c r="X101" s="19">
        <v>1.0</v>
      </c>
      <c r="Y101" s="19"/>
      <c r="Z101" s="18"/>
      <c r="AA101" s="20">
        <f t="shared" si="33"/>
        <v>17</v>
      </c>
      <c r="AB101" s="21">
        <f t="shared" si="34"/>
        <v>0.7391304348</v>
      </c>
      <c r="AC101" s="2"/>
    </row>
    <row r="102">
      <c r="A102" s="17" t="s">
        <v>43</v>
      </c>
      <c r="B102" s="22">
        <f t="shared" ref="B102:Z102" si="35">SUM(B98:B101)</f>
        <v>3</v>
      </c>
      <c r="C102" s="22">
        <f t="shared" si="35"/>
        <v>3</v>
      </c>
      <c r="D102" s="22">
        <f t="shared" si="35"/>
        <v>4</v>
      </c>
      <c r="E102" s="22">
        <f t="shared" si="35"/>
        <v>3</v>
      </c>
      <c r="F102" s="22">
        <f t="shared" si="35"/>
        <v>3</v>
      </c>
      <c r="G102" s="22">
        <f t="shared" si="35"/>
        <v>4</v>
      </c>
      <c r="H102" s="22">
        <f t="shared" si="35"/>
        <v>4</v>
      </c>
      <c r="I102" s="22">
        <f t="shared" si="35"/>
        <v>2</v>
      </c>
      <c r="J102" s="22">
        <f t="shared" si="35"/>
        <v>3</v>
      </c>
      <c r="K102" s="22">
        <f t="shared" si="35"/>
        <v>2</v>
      </c>
      <c r="L102" s="22">
        <f t="shared" si="35"/>
        <v>2</v>
      </c>
      <c r="M102" s="22">
        <f t="shared" si="35"/>
        <v>2</v>
      </c>
      <c r="N102" s="22">
        <f t="shared" si="35"/>
        <v>2</v>
      </c>
      <c r="O102" s="22">
        <f t="shared" si="35"/>
        <v>4</v>
      </c>
      <c r="P102" s="22">
        <f t="shared" si="35"/>
        <v>4</v>
      </c>
      <c r="Q102" s="22">
        <f t="shared" si="35"/>
        <v>4</v>
      </c>
      <c r="R102" s="22">
        <f t="shared" si="35"/>
        <v>4</v>
      </c>
      <c r="S102" s="22">
        <f t="shared" si="35"/>
        <v>4</v>
      </c>
      <c r="T102" s="22">
        <f t="shared" si="35"/>
        <v>4</v>
      </c>
      <c r="U102" s="22">
        <f t="shared" si="35"/>
        <v>1</v>
      </c>
      <c r="V102" s="22">
        <f t="shared" si="35"/>
        <v>2</v>
      </c>
      <c r="W102" s="22">
        <f t="shared" si="35"/>
        <v>1</v>
      </c>
      <c r="X102" s="22">
        <f t="shared" si="35"/>
        <v>2</v>
      </c>
      <c r="Y102" s="22">
        <f t="shared" si="35"/>
        <v>0</v>
      </c>
      <c r="Z102" s="22">
        <f t="shared" si="35"/>
        <v>0</v>
      </c>
      <c r="AA102" s="20">
        <f t="shared" si="33"/>
        <v>67</v>
      </c>
      <c r="AB102" s="23"/>
      <c r="AC102" s="2"/>
    </row>
    <row r="103">
      <c r="A103" s="17" t="s">
        <v>38</v>
      </c>
      <c r="B103" s="24">
        <f t="shared" ref="B103:Z103" si="36">B102/(COUNT(B98:B101)*1)</f>
        <v>0.75</v>
      </c>
      <c r="C103" s="24">
        <f t="shared" si="36"/>
        <v>0.75</v>
      </c>
      <c r="D103" s="24">
        <f t="shared" si="36"/>
        <v>1</v>
      </c>
      <c r="E103" s="24">
        <f t="shared" si="36"/>
        <v>0.75</v>
      </c>
      <c r="F103" s="24">
        <f t="shared" si="36"/>
        <v>0.75</v>
      </c>
      <c r="G103" s="24">
        <f t="shared" si="36"/>
        <v>1</v>
      </c>
      <c r="H103" s="24">
        <f t="shared" si="36"/>
        <v>1</v>
      </c>
      <c r="I103" s="24">
        <f t="shared" si="36"/>
        <v>0.5</v>
      </c>
      <c r="J103" s="24">
        <f t="shared" si="36"/>
        <v>0.75</v>
      </c>
      <c r="K103" s="24">
        <f t="shared" si="36"/>
        <v>0.5</v>
      </c>
      <c r="L103" s="24">
        <f t="shared" si="36"/>
        <v>0.5</v>
      </c>
      <c r="M103" s="24">
        <f t="shared" si="36"/>
        <v>0.5</v>
      </c>
      <c r="N103" s="24">
        <f t="shared" si="36"/>
        <v>0.5</v>
      </c>
      <c r="O103" s="24">
        <f t="shared" si="36"/>
        <v>1</v>
      </c>
      <c r="P103" s="24">
        <f t="shared" si="36"/>
        <v>1</v>
      </c>
      <c r="Q103" s="24">
        <f t="shared" si="36"/>
        <v>1</v>
      </c>
      <c r="R103" s="24">
        <f t="shared" si="36"/>
        <v>1</v>
      </c>
      <c r="S103" s="24">
        <f t="shared" si="36"/>
        <v>1</v>
      </c>
      <c r="T103" s="24">
        <f t="shared" si="36"/>
        <v>1</v>
      </c>
      <c r="U103" s="24">
        <f t="shared" si="36"/>
        <v>0.25</v>
      </c>
      <c r="V103" s="24">
        <f t="shared" si="36"/>
        <v>0.5</v>
      </c>
      <c r="W103" s="24">
        <f t="shared" si="36"/>
        <v>0.25</v>
      </c>
      <c r="X103" s="24">
        <f t="shared" si="36"/>
        <v>0.5</v>
      </c>
      <c r="Y103" s="24" t="str">
        <f t="shared" si="36"/>
        <v>#DIV/0!</v>
      </c>
      <c r="Z103" s="24" t="str">
        <f t="shared" si="36"/>
        <v>#DIV/0!</v>
      </c>
      <c r="AA103" s="25"/>
      <c r="AB103" s="26">
        <f>SUM(AB98:AB101)/4</f>
        <v>0.7282608696</v>
      </c>
      <c r="AC103" s="2"/>
    </row>
    <row r="104">
      <c r="A104" s="27" t="s">
        <v>44</v>
      </c>
      <c r="B104" s="60"/>
      <c r="C104" s="61"/>
      <c r="D104" s="60"/>
      <c r="E104" s="60"/>
      <c r="F104" s="60"/>
      <c r="G104" s="60"/>
      <c r="H104" s="60"/>
      <c r="I104" s="60"/>
      <c r="J104" s="60"/>
      <c r="K104" s="68">
        <v>1.0</v>
      </c>
      <c r="L104" s="60"/>
      <c r="M104" s="60"/>
      <c r="N104" s="60"/>
      <c r="O104" s="60"/>
      <c r="P104" s="60"/>
      <c r="Q104" s="60"/>
      <c r="R104" s="60"/>
      <c r="S104" s="60"/>
      <c r="T104" s="60"/>
      <c r="U104" s="68">
        <v>1.0</v>
      </c>
      <c r="V104" s="68">
        <v>1.0</v>
      </c>
      <c r="W104" s="68"/>
      <c r="X104" s="60"/>
      <c r="Y104" s="60"/>
      <c r="Z104" s="60"/>
      <c r="AA104" s="30">
        <f t="shared" ref="AA104:AA106" si="37">SUM(B104:Z104)</f>
        <v>3</v>
      </c>
      <c r="AB104" s="31"/>
      <c r="AC104" s="2"/>
    </row>
    <row r="105">
      <c r="A105" s="32" t="s">
        <v>45</v>
      </c>
      <c r="B105" s="62"/>
      <c r="C105" s="62"/>
      <c r="D105" s="62"/>
      <c r="E105" s="62"/>
      <c r="F105" s="62"/>
      <c r="G105" s="62"/>
      <c r="H105" s="62"/>
      <c r="I105" s="62"/>
      <c r="J105" s="62"/>
      <c r="K105" s="128">
        <v>3.0</v>
      </c>
      <c r="L105" s="62"/>
      <c r="M105" s="62"/>
      <c r="N105" s="62"/>
      <c r="O105" s="62"/>
      <c r="P105" s="62"/>
      <c r="Q105" s="62"/>
      <c r="R105" s="62"/>
      <c r="S105" s="62"/>
      <c r="T105" s="62"/>
      <c r="U105" s="128">
        <v>2.0</v>
      </c>
      <c r="V105" s="68">
        <v>3.0</v>
      </c>
      <c r="W105" s="60"/>
      <c r="X105" s="60"/>
      <c r="Y105" s="60"/>
      <c r="Z105" s="60"/>
      <c r="AA105" s="30">
        <f t="shared" si="37"/>
        <v>8</v>
      </c>
      <c r="AB105" s="31"/>
      <c r="AC105" s="9"/>
    </row>
    <row r="106">
      <c r="A106" s="34" t="s">
        <v>46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128">
        <v>2.0</v>
      </c>
      <c r="L106" s="62"/>
      <c r="M106" s="62"/>
      <c r="N106" s="62"/>
      <c r="O106" s="62"/>
      <c r="P106" s="62"/>
      <c r="Q106" s="62"/>
      <c r="R106" s="62"/>
      <c r="S106" s="62"/>
      <c r="T106" s="62"/>
      <c r="U106" s="128">
        <v>2.0</v>
      </c>
      <c r="V106" s="68">
        <v>2.0</v>
      </c>
      <c r="W106" s="60"/>
      <c r="X106" s="60"/>
      <c r="Y106" s="60"/>
      <c r="Z106" s="60"/>
      <c r="AA106" s="30">
        <f t="shared" si="37"/>
        <v>6</v>
      </c>
      <c r="AB106" s="31"/>
      <c r="AC106" s="9"/>
    </row>
    <row r="107">
      <c r="A107" s="35" t="s">
        <v>47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7"/>
      <c r="AA107" s="38"/>
      <c r="AB107" s="39"/>
      <c r="AC107" s="2"/>
    </row>
    <row r="108">
      <c r="A108" s="40" t="s">
        <v>48</v>
      </c>
      <c r="B108" s="63"/>
      <c r="C108" s="64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6"/>
      <c r="W108" s="66"/>
      <c r="X108" s="66"/>
      <c r="Y108" s="66"/>
      <c r="Z108" s="66"/>
      <c r="AA108" s="44">
        <f t="shared" ref="AA108:AA109" si="38">SUM(B108:Z108)</f>
        <v>0</v>
      </c>
      <c r="AB108" s="31"/>
      <c r="AC108" s="2"/>
    </row>
    <row r="109">
      <c r="A109" s="40" t="s">
        <v>49</v>
      </c>
      <c r="B109" s="63"/>
      <c r="C109" s="64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6"/>
      <c r="W109" s="66"/>
      <c r="X109" s="66"/>
      <c r="Y109" s="66"/>
      <c r="Z109" s="66"/>
      <c r="AA109" s="44">
        <f t="shared" si="38"/>
        <v>0</v>
      </c>
      <c r="AB109" s="31"/>
      <c r="AC109" s="2"/>
    </row>
    <row r="110">
      <c r="A110" s="40" t="s">
        <v>50</v>
      </c>
      <c r="B110" s="64"/>
      <c r="C110" s="64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6"/>
      <c r="W110" s="66"/>
      <c r="X110" s="66"/>
      <c r="Y110" s="66"/>
      <c r="Z110" s="66"/>
      <c r="AA110" s="44" t="str">
        <f>AVERAGE(B110:Z110)</f>
        <v>#DIV/0!</v>
      </c>
      <c r="AB110" s="31"/>
      <c r="AC110" s="2"/>
    </row>
    <row r="111">
      <c r="A111" s="45" t="s">
        <v>51</v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7"/>
      <c r="AA111" s="46"/>
      <c r="AB111" s="39"/>
      <c r="AC111" s="2"/>
    </row>
    <row r="112">
      <c r="A112" s="47" t="s">
        <v>48</v>
      </c>
      <c r="B112" s="48"/>
      <c r="C112" s="49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50"/>
      <c r="W112" s="50"/>
      <c r="X112" s="50"/>
      <c r="Y112" s="50"/>
      <c r="Z112" s="50"/>
      <c r="AA112" s="51">
        <f t="shared" ref="AA112:AA113" si="39">SUM(B112:Z112)</f>
        <v>0</v>
      </c>
      <c r="AB112" s="31"/>
      <c r="AC112" s="2"/>
    </row>
    <row r="113">
      <c r="A113" s="47" t="s">
        <v>49</v>
      </c>
      <c r="B113" s="48"/>
      <c r="C113" s="49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50"/>
      <c r="W113" s="50"/>
      <c r="X113" s="50"/>
      <c r="Y113" s="50"/>
      <c r="Z113" s="50"/>
      <c r="AA113" s="51">
        <f t="shared" si="39"/>
        <v>0</v>
      </c>
      <c r="AB113" s="31"/>
      <c r="AC113" s="2"/>
    </row>
    <row r="114">
      <c r="A114" s="47" t="s">
        <v>50</v>
      </c>
      <c r="B114" s="49"/>
      <c r="C114" s="49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50"/>
      <c r="W114" s="50"/>
      <c r="X114" s="50"/>
      <c r="Y114" s="50"/>
      <c r="Z114" s="50"/>
      <c r="AA114" s="51" t="str">
        <f>AVERAGE(B114:Z114)</f>
        <v>#DIV/0!</v>
      </c>
      <c r="AB114" s="31"/>
      <c r="AC114" s="2"/>
    </row>
    <row r="115">
      <c r="A115" s="52" t="s">
        <v>53</v>
      </c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7"/>
      <c r="AA115" s="38"/>
      <c r="AB115" s="39"/>
      <c r="AC115" s="2"/>
    </row>
    <row r="116">
      <c r="A116" s="40" t="s">
        <v>48</v>
      </c>
      <c r="B116" s="41"/>
      <c r="C116" s="42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3"/>
      <c r="W116" s="43"/>
      <c r="X116" s="43"/>
      <c r="Y116" s="43"/>
      <c r="Z116" s="43"/>
      <c r="AA116" s="44">
        <f t="shared" ref="AA116:AA117" si="40">SUM(B116:Z116)</f>
        <v>0</v>
      </c>
      <c r="AB116" s="31"/>
      <c r="AC116" s="2"/>
    </row>
    <row r="117">
      <c r="A117" s="40" t="s">
        <v>49</v>
      </c>
      <c r="B117" s="41"/>
      <c r="C117" s="42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3"/>
      <c r="W117" s="43"/>
      <c r="X117" s="43"/>
      <c r="Y117" s="43"/>
      <c r="Z117" s="43"/>
      <c r="AA117" s="44">
        <f t="shared" si="40"/>
        <v>0</v>
      </c>
      <c r="AB117" s="31"/>
      <c r="AC117" s="2"/>
    </row>
    <row r="118">
      <c r="A118" s="53" t="s">
        <v>50</v>
      </c>
      <c r="B118" s="54"/>
      <c r="C118" s="54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6"/>
      <c r="W118" s="56"/>
      <c r="X118" s="56"/>
      <c r="Y118" s="56"/>
      <c r="Z118" s="56"/>
      <c r="AA118" s="57" t="str">
        <f>AVERAGE(B118:Z118)</f>
        <v>#DIV/0!</v>
      </c>
      <c r="AB118" s="58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59"/>
      <c r="AB119" s="59"/>
      <c r="AC119" s="2"/>
    </row>
    <row r="120">
      <c r="A120" s="13">
        <v>46092.0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 t="s">
        <v>37</v>
      </c>
      <c r="AB120" s="16" t="s">
        <v>38</v>
      </c>
      <c r="AC120" s="2"/>
    </row>
    <row r="121">
      <c r="A121" s="17" t="s">
        <v>39</v>
      </c>
      <c r="B121" s="19">
        <v>1.0</v>
      </c>
      <c r="C121" s="19">
        <v>1.0</v>
      </c>
      <c r="D121" s="19">
        <v>1.0</v>
      </c>
      <c r="E121" s="19">
        <v>1.0</v>
      </c>
      <c r="F121" s="19">
        <v>1.0</v>
      </c>
      <c r="G121" s="19">
        <v>1.0</v>
      </c>
      <c r="H121" s="19">
        <v>1.0</v>
      </c>
      <c r="I121" s="19">
        <v>1.0</v>
      </c>
      <c r="J121" s="19">
        <v>1.0</v>
      </c>
      <c r="K121" s="19">
        <v>1.0</v>
      </c>
      <c r="L121" s="19">
        <v>1.0</v>
      </c>
      <c r="M121" s="19">
        <v>0.0</v>
      </c>
      <c r="N121" s="19">
        <v>0.0</v>
      </c>
      <c r="O121" s="18"/>
      <c r="P121" s="18"/>
      <c r="Q121" s="19">
        <v>0.0</v>
      </c>
      <c r="R121" s="19">
        <v>0.0</v>
      </c>
      <c r="S121" s="19">
        <v>1.0</v>
      </c>
      <c r="T121" s="19">
        <v>1.0</v>
      </c>
      <c r="U121" s="19">
        <v>0.0</v>
      </c>
      <c r="V121" s="19">
        <v>0.0</v>
      </c>
      <c r="W121" s="19">
        <v>0.0</v>
      </c>
      <c r="X121" s="19">
        <v>0.0</v>
      </c>
      <c r="Y121" s="18"/>
      <c r="Z121" s="18"/>
      <c r="AA121" s="20">
        <f t="shared" ref="AA121:AA125" si="41">SUM(B121:Z121)</f>
        <v>13</v>
      </c>
      <c r="AB121" s="21">
        <f t="shared" ref="AB121:AB124" si="42">AA121/(COUNT(B121:Z121)*1)</f>
        <v>0.619047619</v>
      </c>
      <c r="AC121" s="2"/>
    </row>
    <row r="122">
      <c r="A122" s="17" t="s">
        <v>40</v>
      </c>
      <c r="B122" s="19">
        <v>1.0</v>
      </c>
      <c r="C122" s="19">
        <v>1.0</v>
      </c>
      <c r="D122" s="19">
        <v>1.0</v>
      </c>
      <c r="E122" s="19">
        <v>1.0</v>
      </c>
      <c r="F122" s="19">
        <v>1.0</v>
      </c>
      <c r="G122" s="19">
        <v>1.0</v>
      </c>
      <c r="H122" s="19">
        <v>1.0</v>
      </c>
      <c r="I122" s="19">
        <v>1.0</v>
      </c>
      <c r="J122" s="19">
        <v>1.0</v>
      </c>
      <c r="K122" s="19">
        <v>1.0</v>
      </c>
      <c r="L122" s="19">
        <v>1.0</v>
      </c>
      <c r="M122" s="19">
        <v>1.0</v>
      </c>
      <c r="N122" s="19">
        <v>1.0</v>
      </c>
      <c r="O122" s="18"/>
      <c r="P122" s="18"/>
      <c r="Q122" s="19">
        <v>0.0</v>
      </c>
      <c r="R122" s="19">
        <v>0.0</v>
      </c>
      <c r="S122" s="19">
        <v>1.0</v>
      </c>
      <c r="T122" s="19">
        <v>1.0</v>
      </c>
      <c r="U122" s="19">
        <v>1.0</v>
      </c>
      <c r="V122" s="19">
        <v>1.0</v>
      </c>
      <c r="W122" s="19">
        <v>0.0</v>
      </c>
      <c r="X122" s="19">
        <v>1.0</v>
      </c>
      <c r="Y122" s="18"/>
      <c r="Z122" s="18"/>
      <c r="AA122" s="20">
        <f t="shared" si="41"/>
        <v>18</v>
      </c>
      <c r="AB122" s="21">
        <f t="shared" si="42"/>
        <v>0.8571428571</v>
      </c>
      <c r="AC122" s="2"/>
    </row>
    <row r="123">
      <c r="A123" s="17" t="s">
        <v>41</v>
      </c>
      <c r="B123" s="19">
        <v>1.0</v>
      </c>
      <c r="C123" s="19">
        <v>0.0</v>
      </c>
      <c r="D123" s="19">
        <v>1.0</v>
      </c>
      <c r="E123" s="19">
        <v>1.0</v>
      </c>
      <c r="F123" s="19">
        <v>1.0</v>
      </c>
      <c r="G123" s="19">
        <v>1.0</v>
      </c>
      <c r="H123" s="19">
        <v>1.0</v>
      </c>
      <c r="I123" s="19">
        <v>1.0</v>
      </c>
      <c r="J123" s="19">
        <v>1.0</v>
      </c>
      <c r="K123" s="19">
        <v>1.0</v>
      </c>
      <c r="L123" s="19">
        <v>1.0</v>
      </c>
      <c r="M123" s="19">
        <v>1.0</v>
      </c>
      <c r="N123" s="19">
        <v>1.0</v>
      </c>
      <c r="O123" s="18"/>
      <c r="P123" s="19">
        <v>0.0</v>
      </c>
      <c r="Q123" s="19">
        <v>0.0</v>
      </c>
      <c r="R123" s="19">
        <v>0.0</v>
      </c>
      <c r="S123" s="19">
        <v>1.0</v>
      </c>
      <c r="T123" s="19">
        <v>1.0</v>
      </c>
      <c r="U123" s="19">
        <v>0.0</v>
      </c>
      <c r="V123" s="19">
        <v>1.0</v>
      </c>
      <c r="W123" s="19">
        <v>0.0</v>
      </c>
      <c r="X123" s="19">
        <v>0.0</v>
      </c>
      <c r="Y123" s="18"/>
      <c r="Z123" s="18"/>
      <c r="AA123" s="20">
        <f t="shared" si="41"/>
        <v>15</v>
      </c>
      <c r="AB123" s="21">
        <f t="shared" si="42"/>
        <v>0.6818181818</v>
      </c>
      <c r="AC123" s="2"/>
    </row>
    <row r="124">
      <c r="A124" s="17" t="s">
        <v>42</v>
      </c>
      <c r="B124" s="19">
        <v>1.0</v>
      </c>
      <c r="C124" s="19">
        <v>0.0</v>
      </c>
      <c r="D124" s="19">
        <v>1.0</v>
      </c>
      <c r="E124" s="19">
        <v>1.0</v>
      </c>
      <c r="F124" s="19">
        <v>1.0</v>
      </c>
      <c r="G124" s="19">
        <v>0.0</v>
      </c>
      <c r="H124" s="19">
        <v>0.0</v>
      </c>
      <c r="I124" s="19">
        <v>0.0</v>
      </c>
      <c r="J124" s="19">
        <v>1.0</v>
      </c>
      <c r="K124" s="19">
        <v>1.0</v>
      </c>
      <c r="L124" s="19">
        <v>1.0</v>
      </c>
      <c r="M124" s="19">
        <v>1.0</v>
      </c>
      <c r="N124" s="19">
        <v>1.0</v>
      </c>
      <c r="O124" s="18"/>
      <c r="P124" s="18"/>
      <c r="Q124" s="19">
        <v>0.0</v>
      </c>
      <c r="R124" s="19">
        <v>1.0</v>
      </c>
      <c r="S124" s="19">
        <v>1.0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8"/>
      <c r="Z124" s="18"/>
      <c r="AA124" s="20">
        <f t="shared" si="41"/>
        <v>11</v>
      </c>
      <c r="AB124" s="21">
        <f t="shared" si="42"/>
        <v>0.5238095238</v>
      </c>
      <c r="AC124" s="2"/>
    </row>
    <row r="125">
      <c r="A125" s="17" t="s">
        <v>43</v>
      </c>
      <c r="B125" s="22">
        <f t="shared" ref="B125:Z125" si="43">SUM(B121:B124)</f>
        <v>4</v>
      </c>
      <c r="C125" s="22">
        <f t="shared" si="43"/>
        <v>2</v>
      </c>
      <c r="D125" s="22">
        <f t="shared" si="43"/>
        <v>4</v>
      </c>
      <c r="E125" s="22">
        <f t="shared" si="43"/>
        <v>4</v>
      </c>
      <c r="F125" s="22">
        <f t="shared" si="43"/>
        <v>4</v>
      </c>
      <c r="G125" s="22">
        <f t="shared" si="43"/>
        <v>3</v>
      </c>
      <c r="H125" s="22">
        <f t="shared" si="43"/>
        <v>3</v>
      </c>
      <c r="I125" s="22">
        <f t="shared" si="43"/>
        <v>3</v>
      </c>
      <c r="J125" s="22">
        <f t="shared" si="43"/>
        <v>4</v>
      </c>
      <c r="K125" s="22">
        <f t="shared" si="43"/>
        <v>4</v>
      </c>
      <c r="L125" s="22">
        <f t="shared" si="43"/>
        <v>4</v>
      </c>
      <c r="M125" s="22">
        <f t="shared" si="43"/>
        <v>3</v>
      </c>
      <c r="N125" s="22">
        <f t="shared" si="43"/>
        <v>3</v>
      </c>
      <c r="O125" s="22">
        <f t="shared" si="43"/>
        <v>0</v>
      </c>
      <c r="P125" s="22">
        <f t="shared" si="43"/>
        <v>0</v>
      </c>
      <c r="Q125" s="22">
        <f t="shared" si="43"/>
        <v>0</v>
      </c>
      <c r="R125" s="22">
        <f t="shared" si="43"/>
        <v>1</v>
      </c>
      <c r="S125" s="22">
        <f t="shared" si="43"/>
        <v>4</v>
      </c>
      <c r="T125" s="22">
        <f t="shared" si="43"/>
        <v>3</v>
      </c>
      <c r="U125" s="22">
        <f t="shared" si="43"/>
        <v>1</v>
      </c>
      <c r="V125" s="22">
        <f t="shared" si="43"/>
        <v>2</v>
      </c>
      <c r="W125" s="22">
        <f t="shared" si="43"/>
        <v>0</v>
      </c>
      <c r="X125" s="22">
        <f t="shared" si="43"/>
        <v>1</v>
      </c>
      <c r="Y125" s="22">
        <f t="shared" si="43"/>
        <v>0</v>
      </c>
      <c r="Z125" s="22">
        <f t="shared" si="43"/>
        <v>0</v>
      </c>
      <c r="AA125" s="20">
        <f t="shared" si="41"/>
        <v>57</v>
      </c>
      <c r="AB125" s="23"/>
      <c r="AC125" s="2"/>
    </row>
    <row r="126">
      <c r="A126" s="17" t="s">
        <v>38</v>
      </c>
      <c r="B126" s="24">
        <f t="shared" ref="B126:Z126" si="44">B125/(COUNT(B121:B124)*1)</f>
        <v>1</v>
      </c>
      <c r="C126" s="24">
        <f t="shared" si="44"/>
        <v>0.5</v>
      </c>
      <c r="D126" s="24">
        <f t="shared" si="44"/>
        <v>1</v>
      </c>
      <c r="E126" s="24">
        <f t="shared" si="44"/>
        <v>1</v>
      </c>
      <c r="F126" s="24">
        <f t="shared" si="44"/>
        <v>1</v>
      </c>
      <c r="G126" s="24">
        <f t="shared" si="44"/>
        <v>0.75</v>
      </c>
      <c r="H126" s="24">
        <f t="shared" si="44"/>
        <v>0.75</v>
      </c>
      <c r="I126" s="24">
        <f t="shared" si="44"/>
        <v>0.75</v>
      </c>
      <c r="J126" s="24">
        <f t="shared" si="44"/>
        <v>1</v>
      </c>
      <c r="K126" s="24">
        <f t="shared" si="44"/>
        <v>1</v>
      </c>
      <c r="L126" s="24">
        <f t="shared" si="44"/>
        <v>1</v>
      </c>
      <c r="M126" s="24">
        <f t="shared" si="44"/>
        <v>0.75</v>
      </c>
      <c r="N126" s="24">
        <f t="shared" si="44"/>
        <v>0.75</v>
      </c>
      <c r="O126" s="24" t="str">
        <f t="shared" si="44"/>
        <v>#DIV/0!</v>
      </c>
      <c r="P126" s="24">
        <f t="shared" si="44"/>
        <v>0</v>
      </c>
      <c r="Q126" s="24">
        <f t="shared" si="44"/>
        <v>0</v>
      </c>
      <c r="R126" s="24">
        <f t="shared" si="44"/>
        <v>0.25</v>
      </c>
      <c r="S126" s="24">
        <f t="shared" si="44"/>
        <v>1</v>
      </c>
      <c r="T126" s="24">
        <f t="shared" si="44"/>
        <v>0.75</v>
      </c>
      <c r="U126" s="24">
        <f t="shared" si="44"/>
        <v>0.25</v>
      </c>
      <c r="V126" s="24">
        <f t="shared" si="44"/>
        <v>0.5</v>
      </c>
      <c r="W126" s="24">
        <f t="shared" si="44"/>
        <v>0</v>
      </c>
      <c r="X126" s="24">
        <f t="shared" si="44"/>
        <v>0.25</v>
      </c>
      <c r="Y126" s="24" t="str">
        <f t="shared" si="44"/>
        <v>#DIV/0!</v>
      </c>
      <c r="Z126" s="24" t="str">
        <f t="shared" si="44"/>
        <v>#DIV/0!</v>
      </c>
      <c r="AA126" s="25"/>
      <c r="AB126" s="26">
        <f>SUM(AB121:AB124)/4</f>
        <v>0.6704545455</v>
      </c>
      <c r="AC126" s="2"/>
    </row>
    <row r="127">
      <c r="A127" s="27" t="s">
        <v>44</v>
      </c>
      <c r="B127" s="60"/>
      <c r="C127" s="61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30">
        <f t="shared" ref="AA127:AA129" si="45">SUM(B127:Z127)</f>
        <v>0</v>
      </c>
      <c r="AB127" s="31"/>
      <c r="AC127" s="2"/>
    </row>
    <row r="128">
      <c r="A128" s="32" t="s">
        <v>45</v>
      </c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0"/>
      <c r="W128" s="60"/>
      <c r="X128" s="60"/>
      <c r="Y128" s="60"/>
      <c r="Z128" s="60"/>
      <c r="AA128" s="30">
        <f t="shared" si="45"/>
        <v>0</v>
      </c>
      <c r="AB128" s="31"/>
      <c r="AC128" s="9"/>
    </row>
    <row r="129">
      <c r="A129" s="34" t="s">
        <v>46</v>
      </c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0"/>
      <c r="W129" s="60"/>
      <c r="X129" s="60"/>
      <c r="Y129" s="60"/>
      <c r="Z129" s="60"/>
      <c r="AA129" s="30">
        <f t="shared" si="45"/>
        <v>0</v>
      </c>
      <c r="AB129" s="31"/>
      <c r="AC129" s="9"/>
    </row>
    <row r="130">
      <c r="A130" s="35" t="s">
        <v>47</v>
      </c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7"/>
      <c r="AA130" s="38"/>
      <c r="AB130" s="39"/>
      <c r="AC130" s="2"/>
    </row>
    <row r="131">
      <c r="A131" s="40" t="s">
        <v>48</v>
      </c>
      <c r="B131" s="63"/>
      <c r="C131" s="64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6"/>
      <c r="W131" s="66"/>
      <c r="X131" s="66"/>
      <c r="Y131" s="66"/>
      <c r="Z131" s="66"/>
      <c r="AA131" s="44">
        <f t="shared" ref="AA131:AA132" si="46">SUM(B131:Z131)</f>
        <v>0</v>
      </c>
      <c r="AB131" s="31"/>
      <c r="AC131" s="2"/>
    </row>
    <row r="132">
      <c r="A132" s="40" t="s">
        <v>49</v>
      </c>
      <c r="B132" s="63"/>
      <c r="C132" s="64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6"/>
      <c r="W132" s="66"/>
      <c r="X132" s="66"/>
      <c r="Y132" s="66"/>
      <c r="Z132" s="66"/>
      <c r="AA132" s="44">
        <f t="shared" si="46"/>
        <v>0</v>
      </c>
      <c r="AB132" s="31"/>
      <c r="AC132" s="2"/>
    </row>
    <row r="133">
      <c r="A133" s="40" t="s">
        <v>50</v>
      </c>
      <c r="B133" s="64"/>
      <c r="C133" s="64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6"/>
      <c r="W133" s="66"/>
      <c r="X133" s="66"/>
      <c r="Y133" s="66"/>
      <c r="Z133" s="66"/>
      <c r="AA133" s="44" t="str">
        <f>AVERAGE(B133:Z133)</f>
        <v>#DIV/0!</v>
      </c>
      <c r="AB133" s="31"/>
      <c r="AC133" s="2"/>
    </row>
    <row r="134">
      <c r="A134" s="45" t="s">
        <v>51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7"/>
      <c r="AA134" s="46"/>
      <c r="AB134" s="39"/>
      <c r="AC134" s="2"/>
    </row>
    <row r="135">
      <c r="A135" s="47" t="s">
        <v>48</v>
      </c>
      <c r="B135" s="48"/>
      <c r="C135" s="49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50"/>
      <c r="W135" s="50"/>
      <c r="X135" s="50"/>
      <c r="Y135" s="50"/>
      <c r="Z135" s="50"/>
      <c r="AA135" s="51">
        <f t="shared" ref="AA135:AA136" si="47">SUM(B135:Z135)</f>
        <v>0</v>
      </c>
      <c r="AB135" s="31"/>
      <c r="AC135" s="2"/>
    </row>
    <row r="136">
      <c r="A136" s="47" t="s">
        <v>49</v>
      </c>
      <c r="B136" s="48"/>
      <c r="C136" s="49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50"/>
      <c r="W136" s="50"/>
      <c r="X136" s="50"/>
      <c r="Y136" s="50"/>
      <c r="Z136" s="50"/>
      <c r="AA136" s="51">
        <f t="shared" si="47"/>
        <v>0</v>
      </c>
      <c r="AB136" s="31"/>
      <c r="AC136" s="2"/>
    </row>
    <row r="137">
      <c r="A137" s="47" t="s">
        <v>50</v>
      </c>
      <c r="B137" s="49"/>
      <c r="C137" s="49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50"/>
      <c r="W137" s="50"/>
      <c r="X137" s="50"/>
      <c r="Y137" s="50"/>
      <c r="Z137" s="50"/>
      <c r="AA137" s="51" t="str">
        <f>AVERAGE(B137:Z137)</f>
        <v>#DIV/0!</v>
      </c>
      <c r="AB137" s="31"/>
      <c r="AC137" s="2"/>
    </row>
    <row r="138">
      <c r="A138" s="52" t="s">
        <v>53</v>
      </c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7"/>
      <c r="AA138" s="38"/>
      <c r="AB138" s="39"/>
      <c r="AC138" s="2"/>
    </row>
    <row r="139">
      <c r="A139" s="40" t="s">
        <v>48</v>
      </c>
      <c r="B139" s="41"/>
      <c r="C139" s="42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3"/>
      <c r="W139" s="43"/>
      <c r="X139" s="43"/>
      <c r="Y139" s="43"/>
      <c r="Z139" s="43"/>
      <c r="AA139" s="44">
        <f t="shared" ref="AA139:AA140" si="48">SUM(B139:Z139)</f>
        <v>0</v>
      </c>
      <c r="AB139" s="31"/>
      <c r="AC139" s="2"/>
    </row>
    <row r="140">
      <c r="A140" s="40" t="s">
        <v>49</v>
      </c>
      <c r="B140" s="41"/>
      <c r="C140" s="42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3"/>
      <c r="W140" s="43"/>
      <c r="X140" s="43"/>
      <c r="Y140" s="43"/>
      <c r="Z140" s="43"/>
      <c r="AA140" s="44">
        <f t="shared" si="48"/>
        <v>0</v>
      </c>
      <c r="AB140" s="31"/>
      <c r="AC140" s="2"/>
    </row>
    <row r="141">
      <c r="A141" s="53" t="s">
        <v>50</v>
      </c>
      <c r="B141" s="54"/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6"/>
      <c r="W141" s="56"/>
      <c r="X141" s="56"/>
      <c r="Y141" s="56"/>
      <c r="Z141" s="56"/>
      <c r="AA141" s="57" t="str">
        <f>AVERAGE(B141:Z141)</f>
        <v>#DIV/0!</v>
      </c>
      <c r="AB141" s="58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59"/>
      <c r="AB142" s="59"/>
      <c r="AC142" s="2"/>
    </row>
    <row r="143">
      <c r="A143" s="13">
        <v>46093.0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 t="s">
        <v>37</v>
      </c>
      <c r="AB143" s="16" t="s">
        <v>38</v>
      </c>
      <c r="AC143" s="2"/>
    </row>
    <row r="144">
      <c r="A144" s="17" t="s">
        <v>39</v>
      </c>
      <c r="B144" s="19">
        <v>1.0</v>
      </c>
      <c r="C144" s="19">
        <v>1.0</v>
      </c>
      <c r="D144" s="19">
        <v>1.0</v>
      </c>
      <c r="E144" s="19">
        <v>1.0</v>
      </c>
      <c r="F144" s="19">
        <v>1.0</v>
      </c>
      <c r="G144" s="19">
        <v>1.0</v>
      </c>
      <c r="H144" s="19">
        <v>1.0</v>
      </c>
      <c r="I144" s="19">
        <v>1.0</v>
      </c>
      <c r="J144" s="19">
        <v>1.0</v>
      </c>
      <c r="K144" s="19">
        <v>1.0</v>
      </c>
      <c r="L144" s="19">
        <v>0.0</v>
      </c>
      <c r="M144" s="19">
        <v>0.0</v>
      </c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20">
        <f t="shared" ref="AA144:AA148" si="49">SUM(B144:Z144)</f>
        <v>10</v>
      </c>
      <c r="AB144" s="21">
        <f t="shared" ref="AB144:AB147" si="50">AA144/(COUNT(B144:Z144)*1)</f>
        <v>0.8333333333</v>
      </c>
      <c r="AC144" s="2"/>
    </row>
    <row r="145">
      <c r="A145" s="17" t="s">
        <v>40</v>
      </c>
      <c r="B145" s="19">
        <v>1.0</v>
      </c>
      <c r="C145" s="19">
        <v>1.0</v>
      </c>
      <c r="D145" s="19">
        <v>1.0</v>
      </c>
      <c r="E145" s="19">
        <v>1.0</v>
      </c>
      <c r="F145" s="19">
        <v>1.0</v>
      </c>
      <c r="G145" s="19">
        <v>1.0</v>
      </c>
      <c r="H145" s="19">
        <v>1.0</v>
      </c>
      <c r="I145" s="19">
        <v>1.0</v>
      </c>
      <c r="J145" s="19">
        <v>1.0</v>
      </c>
      <c r="K145" s="19">
        <v>1.0</v>
      </c>
      <c r="L145" s="19">
        <v>0.0</v>
      </c>
      <c r="M145" s="19">
        <v>0.0</v>
      </c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20">
        <f t="shared" si="49"/>
        <v>10</v>
      </c>
      <c r="AB145" s="21">
        <f t="shared" si="50"/>
        <v>0.8333333333</v>
      </c>
      <c r="AC145" s="2"/>
    </row>
    <row r="146">
      <c r="A146" s="17" t="s">
        <v>41</v>
      </c>
      <c r="B146" s="19">
        <v>1.0</v>
      </c>
      <c r="C146" s="19">
        <v>1.0</v>
      </c>
      <c r="D146" s="19">
        <v>1.0</v>
      </c>
      <c r="E146" s="19">
        <v>1.0</v>
      </c>
      <c r="F146" s="19">
        <v>1.0</v>
      </c>
      <c r="G146" s="19">
        <v>1.0</v>
      </c>
      <c r="H146" s="19">
        <v>1.0</v>
      </c>
      <c r="I146" s="19">
        <v>1.0</v>
      </c>
      <c r="J146" s="19">
        <v>1.0</v>
      </c>
      <c r="K146" s="19">
        <v>1.0</v>
      </c>
      <c r="L146" s="19">
        <v>0.0</v>
      </c>
      <c r="M146" s="19">
        <v>0.0</v>
      </c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20">
        <f t="shared" si="49"/>
        <v>10</v>
      </c>
      <c r="AB146" s="21">
        <f t="shared" si="50"/>
        <v>0.8333333333</v>
      </c>
      <c r="AC146" s="2"/>
    </row>
    <row r="147">
      <c r="A147" s="17" t="s">
        <v>42</v>
      </c>
      <c r="B147" s="19">
        <v>1.0</v>
      </c>
      <c r="C147" s="19">
        <v>1.0</v>
      </c>
      <c r="D147" s="19">
        <v>1.0</v>
      </c>
      <c r="E147" s="19">
        <v>1.0</v>
      </c>
      <c r="F147" s="19">
        <v>0.0</v>
      </c>
      <c r="G147" s="19">
        <v>1.0</v>
      </c>
      <c r="H147" s="19">
        <v>1.0</v>
      </c>
      <c r="I147" s="19">
        <v>1.0</v>
      </c>
      <c r="J147" s="19">
        <v>1.0</v>
      </c>
      <c r="K147" s="19">
        <v>1.0</v>
      </c>
      <c r="L147" s="19">
        <v>0.0</v>
      </c>
      <c r="M147" s="19">
        <v>0.0</v>
      </c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20">
        <f t="shared" si="49"/>
        <v>9</v>
      </c>
      <c r="AB147" s="21">
        <f t="shared" si="50"/>
        <v>0.75</v>
      </c>
      <c r="AC147" s="2"/>
    </row>
    <row r="148">
      <c r="A148" s="17" t="s">
        <v>43</v>
      </c>
      <c r="B148" s="22">
        <f t="shared" ref="B148:Z148" si="51">SUM(B144:B147)</f>
        <v>4</v>
      </c>
      <c r="C148" s="22">
        <f t="shared" si="51"/>
        <v>4</v>
      </c>
      <c r="D148" s="22">
        <f t="shared" si="51"/>
        <v>4</v>
      </c>
      <c r="E148" s="22">
        <f t="shared" si="51"/>
        <v>4</v>
      </c>
      <c r="F148" s="22">
        <f t="shared" si="51"/>
        <v>3</v>
      </c>
      <c r="G148" s="22">
        <f t="shared" si="51"/>
        <v>4</v>
      </c>
      <c r="H148" s="22">
        <f t="shared" si="51"/>
        <v>4</v>
      </c>
      <c r="I148" s="22">
        <f t="shared" si="51"/>
        <v>4</v>
      </c>
      <c r="J148" s="22">
        <f t="shared" si="51"/>
        <v>4</v>
      </c>
      <c r="K148" s="22">
        <f t="shared" si="51"/>
        <v>4</v>
      </c>
      <c r="L148" s="22">
        <f t="shared" si="51"/>
        <v>0</v>
      </c>
      <c r="M148" s="22">
        <f t="shared" si="51"/>
        <v>0</v>
      </c>
      <c r="N148" s="22">
        <f t="shared" si="51"/>
        <v>0</v>
      </c>
      <c r="O148" s="22">
        <f t="shared" si="51"/>
        <v>0</v>
      </c>
      <c r="P148" s="22">
        <f t="shared" si="51"/>
        <v>0</v>
      </c>
      <c r="Q148" s="22">
        <f t="shared" si="51"/>
        <v>0</v>
      </c>
      <c r="R148" s="22">
        <f t="shared" si="51"/>
        <v>0</v>
      </c>
      <c r="S148" s="22">
        <f t="shared" si="51"/>
        <v>0</v>
      </c>
      <c r="T148" s="22">
        <f t="shared" si="51"/>
        <v>0</v>
      </c>
      <c r="U148" s="22">
        <f t="shared" si="51"/>
        <v>0</v>
      </c>
      <c r="V148" s="22">
        <f t="shared" si="51"/>
        <v>0</v>
      </c>
      <c r="W148" s="22">
        <f t="shared" si="51"/>
        <v>0</v>
      </c>
      <c r="X148" s="22">
        <f t="shared" si="51"/>
        <v>0</v>
      </c>
      <c r="Y148" s="22">
        <f t="shared" si="51"/>
        <v>0</v>
      </c>
      <c r="Z148" s="22">
        <f t="shared" si="51"/>
        <v>0</v>
      </c>
      <c r="AA148" s="20">
        <f t="shared" si="49"/>
        <v>39</v>
      </c>
      <c r="AB148" s="23"/>
      <c r="AC148" s="2"/>
    </row>
    <row r="149">
      <c r="A149" s="17" t="s">
        <v>38</v>
      </c>
      <c r="B149" s="24">
        <f t="shared" ref="B149:Z149" si="52">B148/(COUNT(B144:B147)*1)</f>
        <v>1</v>
      </c>
      <c r="C149" s="24">
        <f t="shared" si="52"/>
        <v>1</v>
      </c>
      <c r="D149" s="24">
        <f t="shared" si="52"/>
        <v>1</v>
      </c>
      <c r="E149" s="24">
        <f t="shared" si="52"/>
        <v>1</v>
      </c>
      <c r="F149" s="24">
        <f t="shared" si="52"/>
        <v>0.75</v>
      </c>
      <c r="G149" s="24">
        <f t="shared" si="52"/>
        <v>1</v>
      </c>
      <c r="H149" s="24">
        <f t="shared" si="52"/>
        <v>1</v>
      </c>
      <c r="I149" s="24">
        <f t="shared" si="52"/>
        <v>1</v>
      </c>
      <c r="J149" s="24">
        <f t="shared" si="52"/>
        <v>1</v>
      </c>
      <c r="K149" s="24">
        <f t="shared" si="52"/>
        <v>1</v>
      </c>
      <c r="L149" s="24">
        <f t="shared" si="52"/>
        <v>0</v>
      </c>
      <c r="M149" s="24">
        <f t="shared" si="52"/>
        <v>0</v>
      </c>
      <c r="N149" s="24" t="str">
        <f t="shared" si="52"/>
        <v>#DIV/0!</v>
      </c>
      <c r="O149" s="24" t="str">
        <f t="shared" si="52"/>
        <v>#DIV/0!</v>
      </c>
      <c r="P149" s="24" t="str">
        <f t="shared" si="52"/>
        <v>#DIV/0!</v>
      </c>
      <c r="Q149" s="24" t="str">
        <f t="shared" si="52"/>
        <v>#DIV/0!</v>
      </c>
      <c r="R149" s="24" t="str">
        <f t="shared" si="52"/>
        <v>#DIV/0!</v>
      </c>
      <c r="S149" s="24" t="str">
        <f t="shared" si="52"/>
        <v>#DIV/0!</v>
      </c>
      <c r="T149" s="24" t="str">
        <f t="shared" si="52"/>
        <v>#DIV/0!</v>
      </c>
      <c r="U149" s="24" t="str">
        <f t="shared" si="52"/>
        <v>#DIV/0!</v>
      </c>
      <c r="V149" s="24" t="str">
        <f t="shared" si="52"/>
        <v>#DIV/0!</v>
      </c>
      <c r="W149" s="24" t="str">
        <f t="shared" si="52"/>
        <v>#DIV/0!</v>
      </c>
      <c r="X149" s="24" t="str">
        <f t="shared" si="52"/>
        <v>#DIV/0!</v>
      </c>
      <c r="Y149" s="24" t="str">
        <f t="shared" si="52"/>
        <v>#DIV/0!</v>
      </c>
      <c r="Z149" s="24" t="str">
        <f t="shared" si="52"/>
        <v>#DIV/0!</v>
      </c>
      <c r="AA149" s="25"/>
      <c r="AB149" s="26">
        <f>SUM(AB144:AB147)/4</f>
        <v>0.8125</v>
      </c>
      <c r="AC149" s="2"/>
    </row>
    <row r="150">
      <c r="A150" s="27" t="s">
        <v>44</v>
      </c>
      <c r="B150" s="28"/>
      <c r="C150" s="29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30">
        <f t="shared" ref="AA150:AA152" si="53">SUM(B150:Z150)</f>
        <v>0</v>
      </c>
      <c r="AB150" s="31"/>
      <c r="AC150" s="2"/>
    </row>
    <row r="151">
      <c r="A151" s="32" t="s">
        <v>45</v>
      </c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28"/>
      <c r="W151" s="28"/>
      <c r="X151" s="28"/>
      <c r="Y151" s="28"/>
      <c r="Z151" s="28"/>
      <c r="AA151" s="30">
        <f t="shared" si="53"/>
        <v>0</v>
      </c>
      <c r="AB151" s="31"/>
      <c r="AC151" s="9"/>
    </row>
    <row r="152">
      <c r="A152" s="34" t="s">
        <v>46</v>
      </c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28"/>
      <c r="W152" s="28"/>
      <c r="X152" s="28"/>
      <c r="Y152" s="28"/>
      <c r="Z152" s="28"/>
      <c r="AA152" s="30">
        <f t="shared" si="53"/>
        <v>0</v>
      </c>
      <c r="AB152" s="31"/>
      <c r="AC152" s="9"/>
    </row>
    <row r="153">
      <c r="A153" s="35" t="s">
        <v>47</v>
      </c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7"/>
      <c r="AA153" s="38"/>
      <c r="AB153" s="39"/>
      <c r="AC153" s="2"/>
    </row>
    <row r="154">
      <c r="A154" s="40" t="s">
        <v>48</v>
      </c>
      <c r="B154" s="41"/>
      <c r="C154" s="42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3"/>
      <c r="W154" s="43"/>
      <c r="X154" s="43"/>
      <c r="Y154" s="43"/>
      <c r="Z154" s="43"/>
      <c r="AA154" s="44">
        <f t="shared" ref="AA154:AA155" si="54">SUM(B154:Z154)</f>
        <v>0</v>
      </c>
      <c r="AB154" s="31"/>
      <c r="AC154" s="2"/>
    </row>
    <row r="155">
      <c r="A155" s="40" t="s">
        <v>49</v>
      </c>
      <c r="B155" s="41"/>
      <c r="C155" s="42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3"/>
      <c r="W155" s="43"/>
      <c r="X155" s="43"/>
      <c r="Y155" s="43"/>
      <c r="Z155" s="43"/>
      <c r="AA155" s="44">
        <f t="shared" si="54"/>
        <v>0</v>
      </c>
      <c r="AB155" s="31"/>
      <c r="AC155" s="2"/>
    </row>
    <row r="156">
      <c r="A156" s="40" t="s">
        <v>50</v>
      </c>
      <c r="B156" s="42"/>
      <c r="C156" s="42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3"/>
      <c r="W156" s="43"/>
      <c r="X156" s="43"/>
      <c r="Y156" s="43"/>
      <c r="Z156" s="43"/>
      <c r="AA156" s="44" t="str">
        <f>AVERAGE(B156:Z156)</f>
        <v>#DIV/0!</v>
      </c>
      <c r="AB156" s="31"/>
      <c r="AC156" s="2"/>
    </row>
    <row r="157">
      <c r="A157" s="45" t="s">
        <v>51</v>
      </c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7"/>
      <c r="AA157" s="46"/>
      <c r="AB157" s="39"/>
      <c r="AC157" s="2"/>
    </row>
    <row r="158">
      <c r="A158" s="47" t="s">
        <v>48</v>
      </c>
      <c r="B158" s="48"/>
      <c r="C158" s="49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50"/>
      <c r="W158" s="50"/>
      <c r="X158" s="50"/>
      <c r="Y158" s="50"/>
      <c r="Z158" s="50"/>
      <c r="AA158" s="51">
        <f t="shared" ref="AA158:AA159" si="55">SUM(B158:Z158)</f>
        <v>0</v>
      </c>
      <c r="AB158" s="31"/>
      <c r="AC158" s="2"/>
    </row>
    <row r="159">
      <c r="A159" s="47" t="s">
        <v>49</v>
      </c>
      <c r="B159" s="48"/>
      <c r="C159" s="49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50"/>
      <c r="W159" s="50"/>
      <c r="X159" s="50"/>
      <c r="Y159" s="50"/>
      <c r="Z159" s="50"/>
      <c r="AA159" s="51">
        <f t="shared" si="55"/>
        <v>0</v>
      </c>
      <c r="AB159" s="31"/>
      <c r="AC159" s="2"/>
    </row>
    <row r="160">
      <c r="A160" s="47" t="s">
        <v>50</v>
      </c>
      <c r="B160" s="49"/>
      <c r="C160" s="49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50"/>
      <c r="W160" s="50"/>
      <c r="X160" s="50"/>
      <c r="Y160" s="50"/>
      <c r="Z160" s="50"/>
      <c r="AA160" s="51" t="str">
        <f>AVERAGE(B160:Z160)</f>
        <v>#DIV/0!</v>
      </c>
      <c r="AB160" s="31"/>
      <c r="AC160" s="2"/>
    </row>
    <row r="161">
      <c r="A161" s="52" t="s">
        <v>53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7"/>
      <c r="AA161" s="38"/>
      <c r="AB161" s="39"/>
      <c r="AC161" s="2"/>
    </row>
    <row r="162">
      <c r="A162" s="40" t="s">
        <v>48</v>
      </c>
      <c r="B162" s="41"/>
      <c r="C162" s="42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3"/>
      <c r="W162" s="43"/>
      <c r="X162" s="43"/>
      <c r="Y162" s="43"/>
      <c r="Z162" s="43"/>
      <c r="AA162" s="44">
        <f t="shared" ref="AA162:AA163" si="56">SUM(B162:Z162)</f>
        <v>0</v>
      </c>
      <c r="AB162" s="31"/>
      <c r="AC162" s="2"/>
    </row>
    <row r="163">
      <c r="A163" s="40" t="s">
        <v>49</v>
      </c>
      <c r="B163" s="41"/>
      <c r="C163" s="42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3"/>
      <c r="W163" s="43"/>
      <c r="X163" s="43"/>
      <c r="Y163" s="43"/>
      <c r="Z163" s="43"/>
      <c r="AA163" s="44">
        <f t="shared" si="56"/>
        <v>0</v>
      </c>
      <c r="AB163" s="31"/>
      <c r="AC163" s="2"/>
    </row>
    <row r="164">
      <c r="A164" s="53" t="s">
        <v>50</v>
      </c>
      <c r="B164" s="54"/>
      <c r="C164" s="54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6"/>
      <c r="W164" s="56"/>
      <c r="X164" s="56"/>
      <c r="Y164" s="56"/>
      <c r="Z164" s="56"/>
      <c r="AA164" s="57" t="str">
        <f>AVERAGE(B164:Z164)</f>
        <v>#DIV/0!</v>
      </c>
      <c r="AB164" s="58"/>
      <c r="AC164" s="2"/>
    </row>
    <row r="165">
      <c r="A165" s="9"/>
      <c r="B165" s="9"/>
      <c r="C165" s="9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13">
        <v>46098.0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5" t="s">
        <v>37</v>
      </c>
      <c r="AB166" s="16" t="s">
        <v>38</v>
      </c>
      <c r="AC166" s="2"/>
    </row>
    <row r="167">
      <c r="A167" s="17" t="s">
        <v>39</v>
      </c>
      <c r="B167" s="19">
        <v>1.0</v>
      </c>
      <c r="C167" s="19">
        <v>1.0</v>
      </c>
      <c r="D167" s="19">
        <v>1.0</v>
      </c>
      <c r="E167" s="19">
        <v>1.0</v>
      </c>
      <c r="F167" s="19">
        <v>1.0</v>
      </c>
      <c r="G167" s="19">
        <v>1.0</v>
      </c>
      <c r="H167" s="19">
        <v>1.0</v>
      </c>
      <c r="I167" s="19">
        <v>1.0</v>
      </c>
      <c r="J167" s="19">
        <v>1.0</v>
      </c>
      <c r="K167" s="19">
        <v>1.0</v>
      </c>
      <c r="L167" s="19">
        <v>1.0</v>
      </c>
      <c r="M167" s="19">
        <v>1.0</v>
      </c>
      <c r="N167" s="19">
        <v>1.0</v>
      </c>
      <c r="O167" s="19">
        <v>1.0</v>
      </c>
      <c r="P167" s="19">
        <v>1.0</v>
      </c>
      <c r="Q167" s="19">
        <v>1.0</v>
      </c>
      <c r="R167" s="19">
        <v>1.0</v>
      </c>
      <c r="S167" s="19">
        <v>1.0</v>
      </c>
      <c r="T167" s="19">
        <v>1.0</v>
      </c>
      <c r="U167" s="19">
        <v>1.0</v>
      </c>
      <c r="V167" s="19">
        <v>1.0</v>
      </c>
      <c r="W167" s="19">
        <v>1.0</v>
      </c>
      <c r="X167" s="19">
        <v>1.0</v>
      </c>
      <c r="Y167" s="19">
        <v>1.0</v>
      </c>
      <c r="Z167" s="19">
        <v>1.0</v>
      </c>
      <c r="AA167" s="20">
        <f t="shared" ref="AA167:AA171" si="57">SUM(B167:Z167)</f>
        <v>25</v>
      </c>
      <c r="AB167" s="21">
        <f t="shared" ref="AB167:AB170" si="58">AA167/(COUNT(B167:Z167)*1)</f>
        <v>1</v>
      </c>
      <c r="AC167" s="2"/>
    </row>
    <row r="168">
      <c r="A168" s="17" t="s">
        <v>40</v>
      </c>
      <c r="B168" s="19">
        <v>1.0</v>
      </c>
      <c r="C168" s="19">
        <v>1.0</v>
      </c>
      <c r="D168" s="19">
        <v>0.0</v>
      </c>
      <c r="E168" s="19">
        <v>1.0</v>
      </c>
      <c r="F168" s="19">
        <v>1.0</v>
      </c>
      <c r="G168" s="19">
        <v>1.0</v>
      </c>
      <c r="H168" s="19">
        <v>0.0</v>
      </c>
      <c r="I168" s="19">
        <v>1.0</v>
      </c>
      <c r="J168" s="19">
        <v>1.0</v>
      </c>
      <c r="K168" s="19">
        <v>1.0</v>
      </c>
      <c r="L168" s="19">
        <v>1.0</v>
      </c>
      <c r="M168" s="19">
        <v>1.0</v>
      </c>
      <c r="N168" s="19">
        <v>1.0</v>
      </c>
      <c r="O168" s="19">
        <v>1.0</v>
      </c>
      <c r="P168" s="19">
        <v>1.0</v>
      </c>
      <c r="Q168" s="19">
        <v>1.0</v>
      </c>
      <c r="R168" s="19">
        <v>1.0</v>
      </c>
      <c r="S168" s="19">
        <v>1.0</v>
      </c>
      <c r="T168" s="19">
        <v>1.0</v>
      </c>
      <c r="U168" s="19">
        <v>1.0</v>
      </c>
      <c r="V168" s="19">
        <v>1.0</v>
      </c>
      <c r="W168" s="19">
        <v>1.0</v>
      </c>
      <c r="X168" s="19">
        <v>1.0</v>
      </c>
      <c r="Y168" s="19">
        <v>1.0</v>
      </c>
      <c r="Z168" s="19">
        <v>1.0</v>
      </c>
      <c r="AA168" s="20">
        <f t="shared" si="57"/>
        <v>23</v>
      </c>
      <c r="AB168" s="21">
        <f t="shared" si="58"/>
        <v>0.92</v>
      </c>
      <c r="AC168" s="2"/>
    </row>
    <row r="169">
      <c r="A169" s="17" t="s">
        <v>41</v>
      </c>
      <c r="B169" s="19">
        <v>1.0</v>
      </c>
      <c r="C169" s="19">
        <v>1.0</v>
      </c>
      <c r="D169" s="19">
        <v>0.0</v>
      </c>
      <c r="E169" s="19">
        <v>1.0</v>
      </c>
      <c r="F169" s="19">
        <v>1.0</v>
      </c>
      <c r="G169" s="19">
        <v>0.0</v>
      </c>
      <c r="H169" s="19">
        <v>0.0</v>
      </c>
      <c r="I169" s="19">
        <v>1.0</v>
      </c>
      <c r="J169" s="19">
        <v>1.0</v>
      </c>
      <c r="K169" s="19">
        <v>1.0</v>
      </c>
      <c r="L169" s="19">
        <v>1.0</v>
      </c>
      <c r="M169" s="19">
        <v>1.0</v>
      </c>
      <c r="N169" s="19">
        <v>1.0</v>
      </c>
      <c r="O169" s="19">
        <v>1.0</v>
      </c>
      <c r="P169" s="19">
        <v>1.0</v>
      </c>
      <c r="Q169" s="19">
        <v>1.0</v>
      </c>
      <c r="R169" s="19">
        <v>1.0</v>
      </c>
      <c r="S169" s="19">
        <v>1.0</v>
      </c>
      <c r="T169" s="19">
        <v>1.0</v>
      </c>
      <c r="U169" s="19">
        <v>1.0</v>
      </c>
      <c r="V169" s="19">
        <v>1.0</v>
      </c>
      <c r="W169" s="19">
        <v>1.0</v>
      </c>
      <c r="X169" s="19">
        <v>1.0</v>
      </c>
      <c r="Y169" s="19">
        <v>1.0</v>
      </c>
      <c r="Z169" s="19">
        <v>1.0</v>
      </c>
      <c r="AA169" s="20">
        <f t="shared" si="57"/>
        <v>22</v>
      </c>
      <c r="AB169" s="21">
        <f t="shared" si="58"/>
        <v>0.88</v>
      </c>
      <c r="AC169" s="2"/>
    </row>
    <row r="170">
      <c r="A170" s="17" t="s">
        <v>42</v>
      </c>
      <c r="B170" s="19">
        <v>1.0</v>
      </c>
      <c r="C170" s="19">
        <v>1.0</v>
      </c>
      <c r="D170" s="19">
        <v>0.0</v>
      </c>
      <c r="E170" s="19">
        <v>0.0</v>
      </c>
      <c r="F170" s="19">
        <v>1.0</v>
      </c>
      <c r="G170" s="19">
        <v>0.0</v>
      </c>
      <c r="H170" s="19">
        <v>0.0</v>
      </c>
      <c r="I170" s="19">
        <v>1.0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1.0</v>
      </c>
      <c r="P170" s="19">
        <v>1.0</v>
      </c>
      <c r="Q170" s="19">
        <v>1.0</v>
      </c>
      <c r="R170" s="19">
        <v>1.0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1.0</v>
      </c>
      <c r="Y170" s="19">
        <v>1.0</v>
      </c>
      <c r="Z170" s="19">
        <v>1.0</v>
      </c>
      <c r="AA170" s="20">
        <f t="shared" si="57"/>
        <v>11</v>
      </c>
      <c r="AB170" s="21">
        <f t="shared" si="58"/>
        <v>0.44</v>
      </c>
      <c r="AC170" s="2"/>
    </row>
    <row r="171">
      <c r="A171" s="17" t="s">
        <v>43</v>
      </c>
      <c r="B171" s="22">
        <f t="shared" ref="B171:Z171" si="59">SUM(B167:B170)</f>
        <v>4</v>
      </c>
      <c r="C171" s="22">
        <f t="shared" si="59"/>
        <v>4</v>
      </c>
      <c r="D171" s="22">
        <f t="shared" si="59"/>
        <v>1</v>
      </c>
      <c r="E171" s="22">
        <f t="shared" si="59"/>
        <v>3</v>
      </c>
      <c r="F171" s="22">
        <f t="shared" si="59"/>
        <v>4</v>
      </c>
      <c r="G171" s="22">
        <f t="shared" si="59"/>
        <v>2</v>
      </c>
      <c r="H171" s="22">
        <f t="shared" si="59"/>
        <v>1</v>
      </c>
      <c r="I171" s="22">
        <f t="shared" si="59"/>
        <v>4</v>
      </c>
      <c r="J171" s="22">
        <f t="shared" si="59"/>
        <v>3</v>
      </c>
      <c r="K171" s="22">
        <f t="shared" si="59"/>
        <v>3</v>
      </c>
      <c r="L171" s="22">
        <f t="shared" si="59"/>
        <v>3</v>
      </c>
      <c r="M171" s="22">
        <f t="shared" si="59"/>
        <v>3</v>
      </c>
      <c r="N171" s="22">
        <f t="shared" si="59"/>
        <v>3</v>
      </c>
      <c r="O171" s="22">
        <f t="shared" si="59"/>
        <v>4</v>
      </c>
      <c r="P171" s="22">
        <f t="shared" si="59"/>
        <v>4</v>
      </c>
      <c r="Q171" s="22">
        <f t="shared" si="59"/>
        <v>4</v>
      </c>
      <c r="R171" s="22">
        <f t="shared" si="59"/>
        <v>4</v>
      </c>
      <c r="S171" s="22">
        <f t="shared" si="59"/>
        <v>3</v>
      </c>
      <c r="T171" s="22">
        <f t="shared" si="59"/>
        <v>3</v>
      </c>
      <c r="U171" s="22">
        <f t="shared" si="59"/>
        <v>3</v>
      </c>
      <c r="V171" s="22">
        <f t="shared" si="59"/>
        <v>3</v>
      </c>
      <c r="W171" s="22">
        <f t="shared" si="59"/>
        <v>3</v>
      </c>
      <c r="X171" s="22">
        <f t="shared" si="59"/>
        <v>4</v>
      </c>
      <c r="Y171" s="22">
        <f t="shared" si="59"/>
        <v>4</v>
      </c>
      <c r="Z171" s="22">
        <f t="shared" si="59"/>
        <v>4</v>
      </c>
      <c r="AA171" s="20">
        <f t="shared" si="57"/>
        <v>81</v>
      </c>
      <c r="AB171" s="23"/>
      <c r="AC171" s="2"/>
    </row>
    <row r="172">
      <c r="A172" s="17" t="s">
        <v>38</v>
      </c>
      <c r="B172" s="24">
        <f t="shared" ref="B172:Z172" si="60">B171/(COUNT(B167:B170)*1)</f>
        <v>1</v>
      </c>
      <c r="C172" s="24">
        <f t="shared" si="60"/>
        <v>1</v>
      </c>
      <c r="D172" s="24">
        <f t="shared" si="60"/>
        <v>0.25</v>
      </c>
      <c r="E172" s="24">
        <f t="shared" si="60"/>
        <v>0.75</v>
      </c>
      <c r="F172" s="24">
        <f t="shared" si="60"/>
        <v>1</v>
      </c>
      <c r="G172" s="24">
        <f t="shared" si="60"/>
        <v>0.5</v>
      </c>
      <c r="H172" s="24">
        <f t="shared" si="60"/>
        <v>0.25</v>
      </c>
      <c r="I172" s="24">
        <f t="shared" si="60"/>
        <v>1</v>
      </c>
      <c r="J172" s="24">
        <f t="shared" si="60"/>
        <v>0.75</v>
      </c>
      <c r="K172" s="24">
        <f t="shared" si="60"/>
        <v>0.75</v>
      </c>
      <c r="L172" s="24">
        <f t="shared" si="60"/>
        <v>0.75</v>
      </c>
      <c r="M172" s="24">
        <f t="shared" si="60"/>
        <v>0.75</v>
      </c>
      <c r="N172" s="24">
        <f t="shared" si="60"/>
        <v>0.75</v>
      </c>
      <c r="O172" s="24">
        <f t="shared" si="60"/>
        <v>1</v>
      </c>
      <c r="P172" s="24">
        <f t="shared" si="60"/>
        <v>1</v>
      </c>
      <c r="Q172" s="24">
        <f t="shared" si="60"/>
        <v>1</v>
      </c>
      <c r="R172" s="24">
        <f t="shared" si="60"/>
        <v>1</v>
      </c>
      <c r="S172" s="24">
        <f t="shared" si="60"/>
        <v>0.75</v>
      </c>
      <c r="T172" s="24">
        <f t="shared" si="60"/>
        <v>0.75</v>
      </c>
      <c r="U172" s="24">
        <f t="shared" si="60"/>
        <v>0.75</v>
      </c>
      <c r="V172" s="24">
        <f t="shared" si="60"/>
        <v>0.75</v>
      </c>
      <c r="W172" s="24">
        <f t="shared" si="60"/>
        <v>0.75</v>
      </c>
      <c r="X172" s="24">
        <f t="shared" si="60"/>
        <v>1</v>
      </c>
      <c r="Y172" s="24">
        <f t="shared" si="60"/>
        <v>1</v>
      </c>
      <c r="Z172" s="24">
        <f t="shared" si="60"/>
        <v>1</v>
      </c>
      <c r="AA172" s="25"/>
      <c r="AB172" s="26">
        <f>SUM(AB167:AB170)/4</f>
        <v>0.81</v>
      </c>
      <c r="AC172" s="2"/>
    </row>
    <row r="173">
      <c r="A173" s="27" t="s">
        <v>44</v>
      </c>
      <c r="B173" s="28"/>
      <c r="C173" s="29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30">
        <f t="shared" ref="AA173:AA175" si="61">SUM(B173:Z173)</f>
        <v>0</v>
      </c>
      <c r="AB173" s="31"/>
      <c r="AC173" s="2"/>
    </row>
    <row r="174">
      <c r="A174" s="32" t="s">
        <v>45</v>
      </c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28"/>
      <c r="W174" s="28"/>
      <c r="X174" s="28"/>
      <c r="Y174" s="28"/>
      <c r="Z174" s="28"/>
      <c r="AA174" s="30">
        <f t="shared" si="61"/>
        <v>0</v>
      </c>
      <c r="AB174" s="31"/>
      <c r="AC174" s="9"/>
    </row>
    <row r="175">
      <c r="A175" s="34" t="s">
        <v>46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28"/>
      <c r="W175" s="28"/>
      <c r="X175" s="28"/>
      <c r="Y175" s="28"/>
      <c r="Z175" s="28"/>
      <c r="AA175" s="30">
        <f t="shared" si="61"/>
        <v>0</v>
      </c>
      <c r="AB175" s="31"/>
      <c r="AC175" s="9"/>
    </row>
    <row r="176">
      <c r="A176" s="35" t="s">
        <v>47</v>
      </c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7"/>
      <c r="AA176" s="38"/>
      <c r="AB176" s="39"/>
      <c r="AC176" s="2"/>
    </row>
    <row r="177">
      <c r="A177" s="40" t="s">
        <v>48</v>
      </c>
      <c r="B177" s="41"/>
      <c r="C177" s="42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63"/>
      <c r="V177" s="69">
        <v>1.0</v>
      </c>
      <c r="W177" s="69">
        <v>1.0</v>
      </c>
      <c r="X177" s="66"/>
      <c r="Y177" s="66"/>
      <c r="Z177" s="66"/>
      <c r="AA177" s="44">
        <f t="shared" ref="AA177:AA178" si="62">SUM(B177:Z177)</f>
        <v>2</v>
      </c>
      <c r="AB177" s="31"/>
      <c r="AC177" s="2"/>
    </row>
    <row r="178">
      <c r="A178" s="40" t="s">
        <v>49</v>
      </c>
      <c r="B178" s="41"/>
      <c r="C178" s="42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63"/>
      <c r="V178" s="69">
        <v>20.0</v>
      </c>
      <c r="W178" s="69">
        <v>20.0</v>
      </c>
      <c r="X178" s="66"/>
      <c r="Y178" s="66"/>
      <c r="Z178" s="66"/>
      <c r="AA178" s="44">
        <f t="shared" si="62"/>
        <v>40</v>
      </c>
      <c r="AB178" s="31"/>
      <c r="AC178" s="2"/>
    </row>
    <row r="179">
      <c r="A179" s="40" t="s">
        <v>50</v>
      </c>
      <c r="B179" s="42"/>
      <c r="C179" s="42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63"/>
      <c r="V179" s="69">
        <v>1.0</v>
      </c>
      <c r="W179" s="69">
        <v>2.0</v>
      </c>
      <c r="X179" s="66"/>
      <c r="Y179" s="66"/>
      <c r="Z179" s="66"/>
      <c r="AA179" s="44">
        <f>AVERAGE(B179:Z179)</f>
        <v>1.5</v>
      </c>
      <c r="AB179" s="31"/>
      <c r="AC179" s="2"/>
    </row>
    <row r="180">
      <c r="A180" s="45" t="s">
        <v>51</v>
      </c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7"/>
      <c r="AA180" s="46"/>
      <c r="AB180" s="39"/>
      <c r="AC180" s="2"/>
    </row>
    <row r="181">
      <c r="A181" s="47" t="s">
        <v>48</v>
      </c>
      <c r="B181" s="48"/>
      <c r="C181" s="49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50"/>
      <c r="W181" s="50"/>
      <c r="X181" s="50"/>
      <c r="Y181" s="50"/>
      <c r="Z181" s="50"/>
      <c r="AA181" s="51">
        <f t="shared" ref="AA181:AA182" si="63">SUM(B181:Z181)</f>
        <v>0</v>
      </c>
      <c r="AB181" s="31"/>
      <c r="AC181" s="2"/>
    </row>
    <row r="182">
      <c r="A182" s="47" t="s">
        <v>49</v>
      </c>
      <c r="B182" s="48"/>
      <c r="C182" s="49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50"/>
      <c r="W182" s="50"/>
      <c r="X182" s="50"/>
      <c r="Y182" s="50"/>
      <c r="Z182" s="50"/>
      <c r="AA182" s="51">
        <f t="shared" si="63"/>
        <v>0</v>
      </c>
      <c r="AB182" s="31"/>
      <c r="AC182" s="2"/>
    </row>
    <row r="183">
      <c r="A183" s="47" t="s">
        <v>50</v>
      </c>
      <c r="B183" s="49"/>
      <c r="C183" s="49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50"/>
      <c r="W183" s="50"/>
      <c r="X183" s="50"/>
      <c r="Y183" s="50"/>
      <c r="Z183" s="50"/>
      <c r="AA183" s="51" t="str">
        <f>AVERAGE(B183:Z183)</f>
        <v>#DIV/0!</v>
      </c>
      <c r="AB183" s="31"/>
      <c r="AC183" s="2"/>
    </row>
    <row r="184">
      <c r="A184" s="52" t="s">
        <v>53</v>
      </c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7"/>
      <c r="AA184" s="38"/>
      <c r="AB184" s="39"/>
      <c r="AC184" s="2"/>
    </row>
    <row r="185">
      <c r="A185" s="40" t="s">
        <v>48</v>
      </c>
      <c r="B185" s="41"/>
      <c r="C185" s="42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3"/>
      <c r="W185" s="43"/>
      <c r="X185" s="43"/>
      <c r="Y185" s="43"/>
      <c r="Z185" s="43"/>
      <c r="AA185" s="44">
        <f t="shared" ref="AA185:AA186" si="64">SUM(B185:Z185)</f>
        <v>0</v>
      </c>
      <c r="AB185" s="31"/>
      <c r="AC185" s="2"/>
    </row>
    <row r="186">
      <c r="A186" s="40" t="s">
        <v>49</v>
      </c>
      <c r="B186" s="41"/>
      <c r="C186" s="42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3"/>
      <c r="W186" s="43"/>
      <c r="X186" s="43"/>
      <c r="Y186" s="43"/>
      <c r="Z186" s="43"/>
      <c r="AA186" s="44">
        <f t="shared" si="64"/>
        <v>0</v>
      </c>
      <c r="AB186" s="31"/>
      <c r="AC186" s="2"/>
    </row>
    <row r="187">
      <c r="A187" s="53" t="s">
        <v>50</v>
      </c>
      <c r="B187" s="54"/>
      <c r="C187" s="54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6"/>
      <c r="W187" s="56"/>
      <c r="X187" s="56"/>
      <c r="Y187" s="56"/>
      <c r="Z187" s="56"/>
      <c r="AA187" s="57" t="str">
        <f>AVERAGE(B187:Z187)</f>
        <v>#DIV/0!</v>
      </c>
      <c r="AB187" s="58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59"/>
      <c r="AB188" s="59"/>
      <c r="AC188" s="2"/>
    </row>
    <row r="189">
      <c r="A189" s="13">
        <v>46099.0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5" t="s">
        <v>37</v>
      </c>
      <c r="AB189" s="16" t="s">
        <v>38</v>
      </c>
      <c r="AC189" s="2"/>
    </row>
    <row r="190">
      <c r="A190" s="17" t="s">
        <v>39</v>
      </c>
      <c r="B190" s="49"/>
      <c r="C190" s="19">
        <v>1.0</v>
      </c>
      <c r="D190" s="19">
        <v>1.0</v>
      </c>
      <c r="E190" s="19">
        <v>1.0</v>
      </c>
      <c r="F190" s="19">
        <v>1.0</v>
      </c>
      <c r="G190" s="19">
        <v>1.0</v>
      </c>
      <c r="H190" s="19">
        <v>1.0</v>
      </c>
      <c r="I190" s="19">
        <v>1.0</v>
      </c>
      <c r="J190" s="19">
        <v>1.0</v>
      </c>
      <c r="K190" s="19">
        <v>1.0</v>
      </c>
      <c r="L190" s="19">
        <v>1.0</v>
      </c>
      <c r="M190" s="19">
        <v>1.0</v>
      </c>
      <c r="N190" s="19">
        <v>1.0</v>
      </c>
      <c r="O190" s="19">
        <v>1.0</v>
      </c>
      <c r="P190" s="19">
        <v>1.0</v>
      </c>
      <c r="Q190" s="19">
        <v>1.0</v>
      </c>
      <c r="R190" s="19">
        <v>1.0</v>
      </c>
      <c r="S190" s="19">
        <v>1.0</v>
      </c>
      <c r="T190" s="19">
        <v>1.0</v>
      </c>
      <c r="U190" s="19">
        <v>1.0</v>
      </c>
      <c r="V190" s="19">
        <v>1.0</v>
      </c>
      <c r="W190" s="19">
        <v>1.0</v>
      </c>
      <c r="X190" s="19">
        <v>1.0</v>
      </c>
      <c r="Y190" s="18"/>
      <c r="Z190" s="18"/>
      <c r="AA190" s="20">
        <f t="shared" ref="AA190:AA194" si="65">SUM(B190:Z190)</f>
        <v>22</v>
      </c>
      <c r="AB190" s="21">
        <f t="shared" ref="AB190:AB193" si="66">AA190/(COUNT(B190:Z190)*1)</f>
        <v>1</v>
      </c>
      <c r="AC190" s="2"/>
    </row>
    <row r="191">
      <c r="A191" s="17" t="s">
        <v>40</v>
      </c>
      <c r="B191" s="49"/>
      <c r="C191" s="19">
        <v>1.0</v>
      </c>
      <c r="D191" s="19">
        <v>1.0</v>
      </c>
      <c r="E191" s="19">
        <v>1.0</v>
      </c>
      <c r="F191" s="19">
        <v>1.0</v>
      </c>
      <c r="G191" s="19">
        <v>1.0</v>
      </c>
      <c r="H191" s="19">
        <v>0.0</v>
      </c>
      <c r="I191" s="19">
        <v>1.0</v>
      </c>
      <c r="J191" s="19">
        <v>1.0</v>
      </c>
      <c r="K191" s="19">
        <v>1.0</v>
      </c>
      <c r="L191" s="19">
        <v>1.0</v>
      </c>
      <c r="M191" s="19">
        <v>1.0</v>
      </c>
      <c r="N191" s="19">
        <v>1.0</v>
      </c>
      <c r="O191" s="19">
        <v>1.0</v>
      </c>
      <c r="P191" s="19">
        <v>1.0</v>
      </c>
      <c r="Q191" s="19">
        <v>1.0</v>
      </c>
      <c r="R191" s="19">
        <v>1.0</v>
      </c>
      <c r="S191" s="19">
        <v>1.0</v>
      </c>
      <c r="T191" s="19">
        <v>1.0</v>
      </c>
      <c r="U191" s="19">
        <v>1.0</v>
      </c>
      <c r="V191" s="19">
        <v>1.0</v>
      </c>
      <c r="W191" s="19">
        <v>1.0</v>
      </c>
      <c r="X191" s="19">
        <v>1.0</v>
      </c>
      <c r="Y191" s="18"/>
      <c r="Z191" s="18"/>
      <c r="AA191" s="20">
        <f t="shared" si="65"/>
        <v>21</v>
      </c>
      <c r="AB191" s="21">
        <f t="shared" si="66"/>
        <v>0.9545454545</v>
      </c>
      <c r="AC191" s="2"/>
    </row>
    <row r="192">
      <c r="A192" s="17" t="s">
        <v>41</v>
      </c>
      <c r="B192" s="49"/>
      <c r="C192" s="19">
        <v>1.0</v>
      </c>
      <c r="D192" s="19">
        <v>1.0</v>
      </c>
      <c r="E192" s="19">
        <v>1.0</v>
      </c>
      <c r="F192" s="19">
        <v>1.0</v>
      </c>
      <c r="G192" s="19">
        <v>1.0</v>
      </c>
      <c r="H192" s="19">
        <v>1.0</v>
      </c>
      <c r="I192" s="19">
        <v>1.0</v>
      </c>
      <c r="J192" s="19">
        <v>1.0</v>
      </c>
      <c r="K192" s="19">
        <v>1.0</v>
      </c>
      <c r="L192" s="19">
        <v>1.0</v>
      </c>
      <c r="M192" s="19">
        <v>1.0</v>
      </c>
      <c r="N192" s="19">
        <v>1.0</v>
      </c>
      <c r="O192" s="19">
        <v>1.0</v>
      </c>
      <c r="P192" s="19">
        <v>1.0</v>
      </c>
      <c r="Q192" s="19">
        <v>1.0</v>
      </c>
      <c r="R192" s="19">
        <v>1.0</v>
      </c>
      <c r="S192" s="19">
        <v>1.0</v>
      </c>
      <c r="T192" s="19">
        <v>1.0</v>
      </c>
      <c r="U192" s="19">
        <v>1.0</v>
      </c>
      <c r="V192" s="19">
        <v>1.0</v>
      </c>
      <c r="W192" s="19">
        <v>1.0</v>
      </c>
      <c r="X192" s="19">
        <v>1.0</v>
      </c>
      <c r="Y192" s="18"/>
      <c r="Z192" s="18"/>
      <c r="AA192" s="20">
        <f t="shared" si="65"/>
        <v>22</v>
      </c>
      <c r="AB192" s="21">
        <f t="shared" si="66"/>
        <v>1</v>
      </c>
      <c r="AC192" s="2"/>
    </row>
    <row r="193">
      <c r="A193" s="17" t="s">
        <v>42</v>
      </c>
      <c r="B193" s="49"/>
      <c r="C193" s="19">
        <v>1.0</v>
      </c>
      <c r="D193" s="19">
        <v>1.0</v>
      </c>
      <c r="E193" s="19">
        <v>1.0</v>
      </c>
      <c r="F193" s="19">
        <v>1.0</v>
      </c>
      <c r="G193" s="19">
        <v>1.0</v>
      </c>
      <c r="H193" s="19">
        <v>0.0</v>
      </c>
      <c r="I193" s="19">
        <v>0.0</v>
      </c>
      <c r="J193" s="19">
        <v>1.0</v>
      </c>
      <c r="K193" s="19">
        <v>0.0</v>
      </c>
      <c r="L193" s="19">
        <v>0.0</v>
      </c>
      <c r="M193" s="19">
        <v>0.0</v>
      </c>
      <c r="N193" s="19">
        <v>1.0</v>
      </c>
      <c r="O193" s="19">
        <v>1.0</v>
      </c>
      <c r="P193" s="19">
        <v>0.0</v>
      </c>
      <c r="Q193" s="19">
        <v>0.0</v>
      </c>
      <c r="R193" s="19">
        <v>0.0</v>
      </c>
      <c r="S193" s="19">
        <v>1.0</v>
      </c>
      <c r="T193" s="19">
        <v>0.0</v>
      </c>
      <c r="U193" s="19">
        <v>1.0</v>
      </c>
      <c r="V193" s="19">
        <v>1.0</v>
      </c>
      <c r="W193" s="19">
        <v>1.0</v>
      </c>
      <c r="X193" s="19">
        <v>1.0</v>
      </c>
      <c r="Y193" s="19"/>
      <c r="Z193" s="18"/>
      <c r="AA193" s="20">
        <f t="shared" si="65"/>
        <v>13</v>
      </c>
      <c r="AB193" s="21">
        <f t="shared" si="66"/>
        <v>0.5909090909</v>
      </c>
      <c r="AC193" s="2"/>
    </row>
    <row r="194">
      <c r="A194" s="17" t="s">
        <v>43</v>
      </c>
      <c r="B194" s="22">
        <f t="shared" ref="B194:Z194" si="67">SUM(B190:B193)</f>
        <v>0</v>
      </c>
      <c r="C194" s="22">
        <f t="shared" si="67"/>
        <v>4</v>
      </c>
      <c r="D194" s="22">
        <f t="shared" si="67"/>
        <v>4</v>
      </c>
      <c r="E194" s="22">
        <f t="shared" si="67"/>
        <v>4</v>
      </c>
      <c r="F194" s="22">
        <f t="shared" si="67"/>
        <v>4</v>
      </c>
      <c r="G194" s="22">
        <f t="shared" si="67"/>
        <v>4</v>
      </c>
      <c r="H194" s="22">
        <f t="shared" si="67"/>
        <v>2</v>
      </c>
      <c r="I194" s="22">
        <f t="shared" si="67"/>
        <v>3</v>
      </c>
      <c r="J194" s="22">
        <f t="shared" si="67"/>
        <v>4</v>
      </c>
      <c r="K194" s="22">
        <f t="shared" si="67"/>
        <v>3</v>
      </c>
      <c r="L194" s="22">
        <f t="shared" si="67"/>
        <v>3</v>
      </c>
      <c r="M194" s="22">
        <f t="shared" si="67"/>
        <v>3</v>
      </c>
      <c r="N194" s="22">
        <f t="shared" si="67"/>
        <v>4</v>
      </c>
      <c r="O194" s="22">
        <f t="shared" si="67"/>
        <v>4</v>
      </c>
      <c r="P194" s="22">
        <f t="shared" si="67"/>
        <v>3</v>
      </c>
      <c r="Q194" s="22">
        <f t="shared" si="67"/>
        <v>3</v>
      </c>
      <c r="R194" s="22">
        <f t="shared" si="67"/>
        <v>3</v>
      </c>
      <c r="S194" s="22">
        <f t="shared" si="67"/>
        <v>4</v>
      </c>
      <c r="T194" s="22">
        <f t="shared" si="67"/>
        <v>3</v>
      </c>
      <c r="U194" s="22">
        <f t="shared" si="67"/>
        <v>4</v>
      </c>
      <c r="V194" s="22">
        <f t="shared" si="67"/>
        <v>4</v>
      </c>
      <c r="W194" s="22">
        <f t="shared" si="67"/>
        <v>4</v>
      </c>
      <c r="X194" s="22">
        <f t="shared" si="67"/>
        <v>4</v>
      </c>
      <c r="Y194" s="22">
        <f t="shared" si="67"/>
        <v>0</v>
      </c>
      <c r="Z194" s="22">
        <f t="shared" si="67"/>
        <v>0</v>
      </c>
      <c r="AA194" s="20">
        <f t="shared" si="65"/>
        <v>78</v>
      </c>
      <c r="AB194" s="23"/>
      <c r="AC194" s="2"/>
    </row>
    <row r="195">
      <c r="A195" s="17" t="s">
        <v>38</v>
      </c>
      <c r="B195" s="24" t="str">
        <f t="shared" ref="B195:Z195" si="68">B194/(COUNT(B190:B193)*1)</f>
        <v>#DIV/0!</v>
      </c>
      <c r="C195" s="24">
        <f t="shared" si="68"/>
        <v>1</v>
      </c>
      <c r="D195" s="24">
        <f t="shared" si="68"/>
        <v>1</v>
      </c>
      <c r="E195" s="24">
        <f t="shared" si="68"/>
        <v>1</v>
      </c>
      <c r="F195" s="24">
        <f t="shared" si="68"/>
        <v>1</v>
      </c>
      <c r="G195" s="24">
        <f t="shared" si="68"/>
        <v>1</v>
      </c>
      <c r="H195" s="24">
        <f t="shared" si="68"/>
        <v>0.5</v>
      </c>
      <c r="I195" s="24">
        <f t="shared" si="68"/>
        <v>0.75</v>
      </c>
      <c r="J195" s="24">
        <f t="shared" si="68"/>
        <v>1</v>
      </c>
      <c r="K195" s="24">
        <f t="shared" si="68"/>
        <v>0.75</v>
      </c>
      <c r="L195" s="24">
        <f t="shared" si="68"/>
        <v>0.75</v>
      </c>
      <c r="M195" s="24">
        <f t="shared" si="68"/>
        <v>0.75</v>
      </c>
      <c r="N195" s="24">
        <f t="shared" si="68"/>
        <v>1</v>
      </c>
      <c r="O195" s="24">
        <f t="shared" si="68"/>
        <v>1</v>
      </c>
      <c r="P195" s="24">
        <f t="shared" si="68"/>
        <v>0.75</v>
      </c>
      <c r="Q195" s="24">
        <f t="shared" si="68"/>
        <v>0.75</v>
      </c>
      <c r="R195" s="24">
        <f t="shared" si="68"/>
        <v>0.75</v>
      </c>
      <c r="S195" s="24">
        <f t="shared" si="68"/>
        <v>1</v>
      </c>
      <c r="T195" s="24">
        <f t="shared" si="68"/>
        <v>0.75</v>
      </c>
      <c r="U195" s="24">
        <f t="shared" si="68"/>
        <v>1</v>
      </c>
      <c r="V195" s="24">
        <f t="shared" si="68"/>
        <v>1</v>
      </c>
      <c r="W195" s="24">
        <f t="shared" si="68"/>
        <v>1</v>
      </c>
      <c r="X195" s="24">
        <f t="shared" si="68"/>
        <v>1</v>
      </c>
      <c r="Y195" s="24" t="str">
        <f t="shared" si="68"/>
        <v>#DIV/0!</v>
      </c>
      <c r="Z195" s="24" t="str">
        <f t="shared" si="68"/>
        <v>#DIV/0!</v>
      </c>
      <c r="AA195" s="25"/>
      <c r="AB195" s="26">
        <f>SUM(AB190:AB193)/4</f>
        <v>0.8863636364</v>
      </c>
      <c r="AC195" s="2"/>
    </row>
    <row r="196">
      <c r="A196" s="27" t="s">
        <v>44</v>
      </c>
      <c r="B196" s="28"/>
      <c r="C196" s="29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30">
        <f t="shared" ref="AA196:AA198" si="69">SUM(B196:Z196)</f>
        <v>0</v>
      </c>
      <c r="AB196" s="31"/>
      <c r="AC196" s="2"/>
    </row>
    <row r="197">
      <c r="A197" s="32" t="s">
        <v>45</v>
      </c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28"/>
      <c r="W197" s="28"/>
      <c r="X197" s="28"/>
      <c r="Y197" s="28"/>
      <c r="Z197" s="28"/>
      <c r="AA197" s="30">
        <f t="shared" si="69"/>
        <v>0</v>
      </c>
      <c r="AB197" s="31"/>
      <c r="AC197" s="9"/>
    </row>
    <row r="198">
      <c r="A198" s="34" t="s">
        <v>46</v>
      </c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28"/>
      <c r="W198" s="28"/>
      <c r="X198" s="28"/>
      <c r="Y198" s="28"/>
      <c r="Z198" s="28"/>
      <c r="AA198" s="30">
        <f t="shared" si="69"/>
        <v>0</v>
      </c>
      <c r="AB198" s="31"/>
      <c r="AC198" s="9"/>
    </row>
    <row r="199">
      <c r="A199" s="35" t="s">
        <v>47</v>
      </c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7"/>
      <c r="AA199" s="38"/>
      <c r="AB199" s="39"/>
      <c r="AC199" s="2"/>
    </row>
    <row r="200">
      <c r="A200" s="40" t="s">
        <v>48</v>
      </c>
      <c r="B200" s="63"/>
      <c r="C200" s="64"/>
      <c r="D200" s="63"/>
      <c r="E200" s="63"/>
      <c r="F200" s="63"/>
      <c r="G200" s="63"/>
      <c r="H200" s="65">
        <v>1.0</v>
      </c>
      <c r="I200" s="65">
        <v>4.0</v>
      </c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6"/>
      <c r="W200" s="66"/>
      <c r="X200" s="66"/>
      <c r="Y200" s="66"/>
      <c r="Z200" s="66"/>
      <c r="AA200" s="44">
        <f t="shared" ref="AA200:AA201" si="70">SUM(B200:Z200)</f>
        <v>5</v>
      </c>
      <c r="AB200" s="31"/>
      <c r="AC200" s="2"/>
    </row>
    <row r="201">
      <c r="A201" s="40" t="s">
        <v>49</v>
      </c>
      <c r="B201" s="63"/>
      <c r="C201" s="64"/>
      <c r="D201" s="63"/>
      <c r="E201" s="63"/>
      <c r="F201" s="63"/>
      <c r="G201" s="63"/>
      <c r="H201" s="65">
        <v>1.0</v>
      </c>
      <c r="I201" s="65">
        <v>1.0</v>
      </c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6"/>
      <c r="W201" s="66"/>
      <c r="X201" s="66"/>
      <c r="Y201" s="66"/>
      <c r="Z201" s="66"/>
      <c r="AA201" s="44">
        <f t="shared" si="70"/>
        <v>2</v>
      </c>
      <c r="AB201" s="31"/>
      <c r="AC201" s="2"/>
    </row>
    <row r="202">
      <c r="A202" s="40" t="s">
        <v>50</v>
      </c>
      <c r="B202" s="64"/>
      <c r="C202" s="64"/>
      <c r="D202" s="63"/>
      <c r="E202" s="63"/>
      <c r="F202" s="63"/>
      <c r="G202" s="63"/>
      <c r="H202" s="65">
        <v>2.0</v>
      </c>
      <c r="I202" s="65">
        <v>2.0</v>
      </c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6"/>
      <c r="W202" s="66"/>
      <c r="X202" s="66"/>
      <c r="Y202" s="66"/>
      <c r="Z202" s="66"/>
      <c r="AA202" s="44">
        <f>AVERAGE(B202:Z202)</f>
        <v>2</v>
      </c>
      <c r="AB202" s="31"/>
      <c r="AC202" s="2"/>
    </row>
    <row r="203">
      <c r="A203" s="45" t="s">
        <v>51</v>
      </c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7"/>
      <c r="AA203" s="46"/>
      <c r="AB203" s="39"/>
      <c r="AC203" s="2"/>
    </row>
    <row r="204">
      <c r="A204" s="47" t="s">
        <v>48</v>
      </c>
      <c r="B204" s="48"/>
      <c r="C204" s="49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50"/>
      <c r="W204" s="50"/>
      <c r="X204" s="50"/>
      <c r="Y204" s="50"/>
      <c r="Z204" s="50"/>
      <c r="AA204" s="51">
        <f t="shared" ref="AA204:AA205" si="71">SUM(B204:Z204)</f>
        <v>0</v>
      </c>
      <c r="AB204" s="31"/>
      <c r="AC204" s="2"/>
    </row>
    <row r="205">
      <c r="A205" s="47" t="s">
        <v>49</v>
      </c>
      <c r="B205" s="48"/>
      <c r="C205" s="49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50"/>
      <c r="W205" s="50"/>
      <c r="X205" s="50"/>
      <c r="Y205" s="50"/>
      <c r="Z205" s="50"/>
      <c r="AA205" s="51">
        <f t="shared" si="71"/>
        <v>0</v>
      </c>
      <c r="AB205" s="31"/>
      <c r="AC205" s="2"/>
    </row>
    <row r="206">
      <c r="A206" s="47" t="s">
        <v>50</v>
      </c>
      <c r="B206" s="49"/>
      <c r="C206" s="49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50"/>
      <c r="W206" s="50"/>
      <c r="X206" s="50"/>
      <c r="Y206" s="50"/>
      <c r="Z206" s="50"/>
      <c r="AA206" s="51" t="str">
        <f>AVERAGE(B206:Z206)</f>
        <v>#DIV/0!</v>
      </c>
      <c r="AB206" s="31"/>
      <c r="AC206" s="2"/>
    </row>
    <row r="207">
      <c r="A207" s="52" t="s">
        <v>53</v>
      </c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7"/>
      <c r="AA207" s="38"/>
      <c r="AB207" s="39"/>
      <c r="AC207" s="2"/>
    </row>
    <row r="208">
      <c r="A208" s="40" t="s">
        <v>48</v>
      </c>
      <c r="B208" s="41"/>
      <c r="C208" s="42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3"/>
      <c r="W208" s="43"/>
      <c r="X208" s="43"/>
      <c r="Y208" s="43"/>
      <c r="Z208" s="43"/>
      <c r="AA208" s="44">
        <f t="shared" ref="AA208:AA209" si="72">SUM(B208:Z208)</f>
        <v>0</v>
      </c>
      <c r="AB208" s="31"/>
      <c r="AC208" s="2"/>
    </row>
    <row r="209">
      <c r="A209" s="40" t="s">
        <v>49</v>
      </c>
      <c r="B209" s="41"/>
      <c r="C209" s="42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3"/>
      <c r="W209" s="43"/>
      <c r="X209" s="43"/>
      <c r="Y209" s="43"/>
      <c r="Z209" s="43"/>
      <c r="AA209" s="44">
        <f t="shared" si="72"/>
        <v>0</v>
      </c>
      <c r="AB209" s="31"/>
      <c r="AC209" s="2"/>
    </row>
    <row r="210">
      <c r="A210" s="53" t="s">
        <v>50</v>
      </c>
      <c r="B210" s="54"/>
      <c r="C210" s="54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6"/>
      <c r="W210" s="56"/>
      <c r="X210" s="56"/>
      <c r="Y210" s="56"/>
      <c r="Z210" s="56"/>
      <c r="AA210" s="57" t="str">
        <f>AVERAGE(B210:Z210)</f>
        <v>#DIV/0!</v>
      </c>
      <c r="AB210" s="58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59"/>
      <c r="AB211" s="59"/>
      <c r="AC211" s="2"/>
    </row>
    <row r="212">
      <c r="A212" s="13">
        <v>46100.0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70"/>
      <c r="W212" s="14"/>
      <c r="X212" s="14"/>
      <c r="Y212" s="14"/>
      <c r="Z212" s="14"/>
      <c r="AA212" s="15" t="s">
        <v>37</v>
      </c>
      <c r="AB212" s="16" t="s">
        <v>38</v>
      </c>
      <c r="AC212" s="2"/>
    </row>
    <row r="213">
      <c r="A213" s="17" t="s">
        <v>39</v>
      </c>
      <c r="B213" s="19">
        <v>1.0</v>
      </c>
      <c r="C213" s="19">
        <v>1.0</v>
      </c>
      <c r="D213" s="19">
        <v>1.0</v>
      </c>
      <c r="E213" s="19">
        <v>1.0</v>
      </c>
      <c r="F213" s="19">
        <v>1.0</v>
      </c>
      <c r="G213" s="19">
        <v>1.0</v>
      </c>
      <c r="H213" s="19">
        <v>1.0</v>
      </c>
      <c r="I213" s="19">
        <v>1.0</v>
      </c>
      <c r="J213" s="19">
        <v>1.0</v>
      </c>
      <c r="K213" s="19">
        <v>1.0</v>
      </c>
      <c r="L213" s="19">
        <v>1.0</v>
      </c>
      <c r="M213" s="19">
        <v>1.0</v>
      </c>
      <c r="N213" s="19">
        <v>1.0</v>
      </c>
      <c r="O213" s="19">
        <v>1.0</v>
      </c>
      <c r="P213" s="19">
        <v>1.0</v>
      </c>
      <c r="Q213" s="19">
        <v>1.0</v>
      </c>
      <c r="R213" s="19">
        <v>1.0</v>
      </c>
      <c r="S213" s="19">
        <v>1.0</v>
      </c>
      <c r="T213" s="19">
        <v>1.0</v>
      </c>
      <c r="U213" s="19">
        <v>1.0</v>
      </c>
      <c r="V213" s="19">
        <v>0.0</v>
      </c>
      <c r="W213" s="19">
        <v>1.0</v>
      </c>
      <c r="X213" s="19">
        <v>1.0</v>
      </c>
      <c r="Y213" s="19">
        <v>1.0</v>
      </c>
      <c r="Z213" s="19">
        <v>1.0</v>
      </c>
      <c r="AA213" s="20">
        <f t="shared" ref="AA213:AA217" si="73">SUM(B213:Z213)</f>
        <v>24</v>
      </c>
      <c r="AB213" s="21">
        <f t="shared" ref="AB213:AB216" si="74">AA213/(COUNT(B213:Z213)*1)</f>
        <v>0.96</v>
      </c>
      <c r="AC213" s="2"/>
    </row>
    <row r="214">
      <c r="A214" s="17" t="s">
        <v>40</v>
      </c>
      <c r="B214" s="19">
        <v>1.0</v>
      </c>
      <c r="C214" s="19">
        <v>1.0</v>
      </c>
      <c r="D214" s="19">
        <v>1.0</v>
      </c>
      <c r="E214" s="19">
        <v>0.0</v>
      </c>
      <c r="F214" s="19">
        <v>0.0</v>
      </c>
      <c r="G214" s="19">
        <v>0.0</v>
      </c>
      <c r="H214" s="19">
        <v>0.0</v>
      </c>
      <c r="I214" s="19">
        <v>1.0</v>
      </c>
      <c r="J214" s="19">
        <v>1.0</v>
      </c>
      <c r="K214" s="19">
        <v>1.0</v>
      </c>
      <c r="L214" s="19">
        <v>1.0</v>
      </c>
      <c r="M214" s="19">
        <v>1.0</v>
      </c>
      <c r="N214" s="19">
        <v>1.0</v>
      </c>
      <c r="O214" s="19">
        <v>1.0</v>
      </c>
      <c r="P214" s="19">
        <v>1.0</v>
      </c>
      <c r="Q214" s="19">
        <v>1.0</v>
      </c>
      <c r="R214" s="19">
        <v>1.0</v>
      </c>
      <c r="S214" s="19">
        <v>1.0</v>
      </c>
      <c r="T214" s="19">
        <v>1.0</v>
      </c>
      <c r="U214" s="19">
        <v>1.0</v>
      </c>
      <c r="V214" s="19">
        <v>1.0</v>
      </c>
      <c r="W214" s="19">
        <v>1.0</v>
      </c>
      <c r="X214" s="19">
        <v>1.0</v>
      </c>
      <c r="Y214" s="19">
        <v>1.0</v>
      </c>
      <c r="Z214" s="19">
        <v>1.0</v>
      </c>
      <c r="AA214" s="20">
        <f t="shared" si="73"/>
        <v>21</v>
      </c>
      <c r="AB214" s="21">
        <f t="shared" si="74"/>
        <v>0.84</v>
      </c>
      <c r="AC214" s="2"/>
    </row>
    <row r="215">
      <c r="A215" s="17" t="s">
        <v>41</v>
      </c>
      <c r="B215" s="19">
        <v>1.0</v>
      </c>
      <c r="C215" s="19">
        <v>1.0</v>
      </c>
      <c r="D215" s="19">
        <v>1.0</v>
      </c>
      <c r="E215" s="19">
        <v>0.0</v>
      </c>
      <c r="F215" s="19">
        <v>1.0</v>
      </c>
      <c r="G215" s="19">
        <v>0.0</v>
      </c>
      <c r="H215" s="19">
        <v>0.0</v>
      </c>
      <c r="I215" s="19">
        <v>1.0</v>
      </c>
      <c r="J215" s="19">
        <v>1.0</v>
      </c>
      <c r="K215" s="19">
        <v>1.0</v>
      </c>
      <c r="L215" s="19">
        <v>1.0</v>
      </c>
      <c r="M215" s="19">
        <v>1.0</v>
      </c>
      <c r="N215" s="19">
        <v>1.0</v>
      </c>
      <c r="O215" s="19">
        <v>1.0</v>
      </c>
      <c r="P215" s="19">
        <v>1.0</v>
      </c>
      <c r="Q215" s="19">
        <v>1.0</v>
      </c>
      <c r="R215" s="19">
        <v>1.0</v>
      </c>
      <c r="S215" s="19">
        <v>1.0</v>
      </c>
      <c r="T215" s="19">
        <v>1.0</v>
      </c>
      <c r="U215" s="19">
        <v>1.0</v>
      </c>
      <c r="V215" s="19">
        <v>1.0</v>
      </c>
      <c r="W215" s="19">
        <v>1.0</v>
      </c>
      <c r="X215" s="19">
        <v>1.0</v>
      </c>
      <c r="Y215" s="19">
        <v>1.0</v>
      </c>
      <c r="Z215" s="19">
        <v>1.0</v>
      </c>
      <c r="AA215" s="20">
        <f t="shared" si="73"/>
        <v>22</v>
      </c>
      <c r="AB215" s="21">
        <f t="shared" si="74"/>
        <v>0.88</v>
      </c>
      <c r="AC215" s="2"/>
    </row>
    <row r="216">
      <c r="A216" s="17" t="s">
        <v>42</v>
      </c>
      <c r="B216" s="19">
        <v>0.0</v>
      </c>
      <c r="C216" s="19">
        <v>0.0</v>
      </c>
      <c r="D216" s="19">
        <v>0.0</v>
      </c>
      <c r="E216" s="19">
        <v>0.0</v>
      </c>
      <c r="F216" s="19">
        <v>0.0</v>
      </c>
      <c r="G216" s="19">
        <v>0.0</v>
      </c>
      <c r="H216" s="19">
        <v>0.0</v>
      </c>
      <c r="I216" s="19">
        <v>1.0</v>
      </c>
      <c r="J216" s="19">
        <v>0.0</v>
      </c>
      <c r="K216" s="19">
        <v>0.0</v>
      </c>
      <c r="L216" s="19">
        <v>1.0</v>
      </c>
      <c r="M216" s="19">
        <v>1.0</v>
      </c>
      <c r="N216" s="19">
        <v>0.0</v>
      </c>
      <c r="O216" s="19">
        <v>0.0</v>
      </c>
      <c r="P216" s="19">
        <v>1.0</v>
      </c>
      <c r="Q216" s="19">
        <v>1.0</v>
      </c>
      <c r="R216" s="19">
        <v>1.0</v>
      </c>
      <c r="S216" s="19">
        <v>1.0</v>
      </c>
      <c r="T216" s="19">
        <v>0.0</v>
      </c>
      <c r="U216" s="19">
        <v>1.0</v>
      </c>
      <c r="V216" s="19">
        <v>1.0</v>
      </c>
      <c r="W216" s="19">
        <v>1.0</v>
      </c>
      <c r="X216" s="19">
        <v>1.0</v>
      </c>
      <c r="Y216" s="19">
        <v>0.0</v>
      </c>
      <c r="Z216" s="19">
        <v>0.0</v>
      </c>
      <c r="AA216" s="20">
        <f t="shared" si="73"/>
        <v>11</v>
      </c>
      <c r="AB216" s="21">
        <f t="shared" si="74"/>
        <v>0.44</v>
      </c>
      <c r="AC216" s="2"/>
    </row>
    <row r="217">
      <c r="A217" s="17" t="s">
        <v>43</v>
      </c>
      <c r="B217" s="22">
        <f t="shared" ref="B217:Z217" si="75">SUM(B213:B216)</f>
        <v>3</v>
      </c>
      <c r="C217" s="22">
        <f t="shared" si="75"/>
        <v>3</v>
      </c>
      <c r="D217" s="22">
        <f t="shared" si="75"/>
        <v>3</v>
      </c>
      <c r="E217" s="22">
        <f t="shared" si="75"/>
        <v>1</v>
      </c>
      <c r="F217" s="22">
        <f t="shared" si="75"/>
        <v>2</v>
      </c>
      <c r="G217" s="22">
        <f t="shared" si="75"/>
        <v>1</v>
      </c>
      <c r="H217" s="22">
        <f t="shared" si="75"/>
        <v>1</v>
      </c>
      <c r="I217" s="22">
        <f t="shared" si="75"/>
        <v>4</v>
      </c>
      <c r="J217" s="22">
        <f t="shared" si="75"/>
        <v>3</v>
      </c>
      <c r="K217" s="22">
        <f t="shared" si="75"/>
        <v>3</v>
      </c>
      <c r="L217" s="22">
        <f t="shared" si="75"/>
        <v>4</v>
      </c>
      <c r="M217" s="22">
        <f t="shared" si="75"/>
        <v>4</v>
      </c>
      <c r="N217" s="22">
        <f t="shared" si="75"/>
        <v>3</v>
      </c>
      <c r="O217" s="22">
        <f t="shared" si="75"/>
        <v>3</v>
      </c>
      <c r="P217" s="22">
        <f t="shared" si="75"/>
        <v>4</v>
      </c>
      <c r="Q217" s="22">
        <f t="shared" si="75"/>
        <v>4</v>
      </c>
      <c r="R217" s="22">
        <f t="shared" si="75"/>
        <v>4</v>
      </c>
      <c r="S217" s="22">
        <f t="shared" si="75"/>
        <v>4</v>
      </c>
      <c r="T217" s="22">
        <f t="shared" si="75"/>
        <v>3</v>
      </c>
      <c r="U217" s="22">
        <f t="shared" si="75"/>
        <v>4</v>
      </c>
      <c r="V217" s="22">
        <f t="shared" si="75"/>
        <v>3</v>
      </c>
      <c r="W217" s="22">
        <f t="shared" si="75"/>
        <v>4</v>
      </c>
      <c r="X217" s="22">
        <f t="shared" si="75"/>
        <v>4</v>
      </c>
      <c r="Y217" s="22">
        <f t="shared" si="75"/>
        <v>3</v>
      </c>
      <c r="Z217" s="22">
        <f t="shared" si="75"/>
        <v>3</v>
      </c>
      <c r="AA217" s="20">
        <f t="shared" si="73"/>
        <v>78</v>
      </c>
      <c r="AB217" s="23"/>
      <c r="AC217" s="2"/>
    </row>
    <row r="218">
      <c r="A218" s="17" t="s">
        <v>38</v>
      </c>
      <c r="B218" s="24">
        <f t="shared" ref="B218:Z218" si="76">B217/(COUNT(B213:B216)*1)</f>
        <v>0.75</v>
      </c>
      <c r="C218" s="24">
        <f t="shared" si="76"/>
        <v>0.75</v>
      </c>
      <c r="D218" s="24">
        <f t="shared" si="76"/>
        <v>0.75</v>
      </c>
      <c r="E218" s="24">
        <f t="shared" si="76"/>
        <v>0.25</v>
      </c>
      <c r="F218" s="24">
        <f t="shared" si="76"/>
        <v>0.5</v>
      </c>
      <c r="G218" s="24">
        <f t="shared" si="76"/>
        <v>0.25</v>
      </c>
      <c r="H218" s="24">
        <f t="shared" si="76"/>
        <v>0.25</v>
      </c>
      <c r="I218" s="24">
        <f t="shared" si="76"/>
        <v>1</v>
      </c>
      <c r="J218" s="24">
        <f t="shared" si="76"/>
        <v>0.75</v>
      </c>
      <c r="K218" s="24">
        <f t="shared" si="76"/>
        <v>0.75</v>
      </c>
      <c r="L218" s="24">
        <f t="shared" si="76"/>
        <v>1</v>
      </c>
      <c r="M218" s="24">
        <f t="shared" si="76"/>
        <v>1</v>
      </c>
      <c r="N218" s="24">
        <f t="shared" si="76"/>
        <v>0.75</v>
      </c>
      <c r="O218" s="24">
        <f t="shared" si="76"/>
        <v>0.75</v>
      </c>
      <c r="P218" s="24">
        <f t="shared" si="76"/>
        <v>1</v>
      </c>
      <c r="Q218" s="24">
        <f t="shared" si="76"/>
        <v>1</v>
      </c>
      <c r="R218" s="24">
        <f t="shared" si="76"/>
        <v>1</v>
      </c>
      <c r="S218" s="24">
        <f t="shared" si="76"/>
        <v>1</v>
      </c>
      <c r="T218" s="24">
        <f t="shared" si="76"/>
        <v>0.75</v>
      </c>
      <c r="U218" s="24">
        <f t="shared" si="76"/>
        <v>1</v>
      </c>
      <c r="V218" s="24">
        <f t="shared" si="76"/>
        <v>0.75</v>
      </c>
      <c r="W218" s="24">
        <f t="shared" si="76"/>
        <v>1</v>
      </c>
      <c r="X218" s="24">
        <f t="shared" si="76"/>
        <v>1</v>
      </c>
      <c r="Y218" s="24">
        <f t="shared" si="76"/>
        <v>0.75</v>
      </c>
      <c r="Z218" s="24">
        <f t="shared" si="76"/>
        <v>0.75</v>
      </c>
      <c r="AA218" s="25"/>
      <c r="AB218" s="26">
        <f>SUM(AB213:AB216)/4</f>
        <v>0.78</v>
      </c>
      <c r="AC218" s="2"/>
    </row>
    <row r="219">
      <c r="A219" s="27" t="s">
        <v>44</v>
      </c>
      <c r="B219" s="28"/>
      <c r="C219" s="29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30">
        <f t="shared" ref="AA219:AA221" si="77">SUM(B219:Z219)</f>
        <v>0</v>
      </c>
      <c r="AB219" s="31"/>
      <c r="AC219" s="2"/>
    </row>
    <row r="220">
      <c r="A220" s="32" t="s">
        <v>45</v>
      </c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28"/>
      <c r="W220" s="28"/>
      <c r="X220" s="28"/>
      <c r="Y220" s="28"/>
      <c r="Z220" s="28"/>
      <c r="AA220" s="30">
        <f t="shared" si="77"/>
        <v>0</v>
      </c>
      <c r="AB220" s="31"/>
      <c r="AC220" s="9"/>
    </row>
    <row r="221">
      <c r="A221" s="34" t="s">
        <v>46</v>
      </c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28"/>
      <c r="W221" s="28"/>
      <c r="X221" s="28"/>
      <c r="Y221" s="28"/>
      <c r="Z221" s="28"/>
      <c r="AA221" s="30">
        <f t="shared" si="77"/>
        <v>0</v>
      </c>
      <c r="AB221" s="31"/>
      <c r="AC221" s="9"/>
    </row>
    <row r="222">
      <c r="A222" s="35" t="s">
        <v>47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7"/>
      <c r="AA222" s="38"/>
      <c r="AB222" s="39"/>
      <c r="AC222" s="2"/>
    </row>
    <row r="223">
      <c r="A223" s="40" t="s">
        <v>48</v>
      </c>
      <c r="B223" s="41"/>
      <c r="C223" s="42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3"/>
      <c r="W223" s="43"/>
      <c r="X223" s="43"/>
      <c r="Y223" s="43"/>
      <c r="Z223" s="43"/>
      <c r="AA223" s="44">
        <f t="shared" ref="AA223:AA224" si="78">SUM(B223:Z223)</f>
        <v>0</v>
      </c>
      <c r="AB223" s="31"/>
      <c r="AC223" s="2"/>
    </row>
    <row r="224">
      <c r="A224" s="40" t="s">
        <v>49</v>
      </c>
      <c r="B224" s="41"/>
      <c r="C224" s="42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3"/>
      <c r="W224" s="43"/>
      <c r="X224" s="43"/>
      <c r="Y224" s="43"/>
      <c r="Z224" s="43"/>
      <c r="AA224" s="44">
        <f t="shared" si="78"/>
        <v>0</v>
      </c>
      <c r="AB224" s="31"/>
      <c r="AC224" s="2"/>
    </row>
    <row r="225">
      <c r="A225" s="40" t="s">
        <v>50</v>
      </c>
      <c r="B225" s="42"/>
      <c r="C225" s="42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3"/>
      <c r="W225" s="43"/>
      <c r="X225" s="43"/>
      <c r="Y225" s="43"/>
      <c r="Z225" s="43"/>
      <c r="AA225" s="44" t="str">
        <f>AVERAGE(B225:Z225)</f>
        <v>#DIV/0!</v>
      </c>
      <c r="AB225" s="31"/>
      <c r="AC225" s="2"/>
    </row>
    <row r="226">
      <c r="A226" s="45" t="s">
        <v>51</v>
      </c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7"/>
      <c r="AA226" s="46"/>
      <c r="AB226" s="39"/>
      <c r="AC226" s="2"/>
    </row>
    <row r="227">
      <c r="A227" s="47" t="s">
        <v>48</v>
      </c>
      <c r="B227" s="48"/>
      <c r="C227" s="49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50"/>
      <c r="W227" s="50"/>
      <c r="X227" s="50"/>
      <c r="Y227" s="50"/>
      <c r="Z227" s="50"/>
      <c r="AA227" s="51">
        <f t="shared" ref="AA227:AA228" si="79">SUM(B227:Z227)</f>
        <v>0</v>
      </c>
      <c r="AB227" s="31"/>
      <c r="AC227" s="2"/>
    </row>
    <row r="228">
      <c r="A228" s="47" t="s">
        <v>49</v>
      </c>
      <c r="B228" s="48"/>
      <c r="C228" s="49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50"/>
      <c r="W228" s="50"/>
      <c r="X228" s="50"/>
      <c r="Y228" s="50"/>
      <c r="Z228" s="50"/>
      <c r="AA228" s="51">
        <f t="shared" si="79"/>
        <v>0</v>
      </c>
      <c r="AB228" s="31"/>
      <c r="AC228" s="2"/>
    </row>
    <row r="229">
      <c r="A229" s="47" t="s">
        <v>50</v>
      </c>
      <c r="B229" s="49"/>
      <c r="C229" s="49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50"/>
      <c r="W229" s="50"/>
      <c r="X229" s="50"/>
      <c r="Y229" s="50"/>
      <c r="Z229" s="50"/>
      <c r="AA229" s="51" t="str">
        <f>AVERAGE(B29:Z229)</f>
        <v>#DIV/0!</v>
      </c>
      <c r="AB229" s="31"/>
      <c r="AC229" s="2"/>
    </row>
    <row r="230">
      <c r="A230" s="52" t="s">
        <v>53</v>
      </c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7"/>
      <c r="AA230" s="38"/>
      <c r="AB230" s="39"/>
      <c r="AC230" s="2"/>
    </row>
    <row r="231">
      <c r="A231" s="40" t="s">
        <v>48</v>
      </c>
      <c r="B231" s="41"/>
      <c r="C231" s="42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3"/>
      <c r="W231" s="43"/>
      <c r="X231" s="43"/>
      <c r="Y231" s="43"/>
      <c r="Z231" s="43"/>
      <c r="AA231" s="44">
        <f t="shared" ref="AA231:AA232" si="80">SUM(B231:Z231)</f>
        <v>0</v>
      </c>
      <c r="AB231" s="31"/>
      <c r="AC231" s="2"/>
    </row>
    <row r="232">
      <c r="A232" s="40" t="s">
        <v>49</v>
      </c>
      <c r="B232" s="41"/>
      <c r="C232" s="42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3"/>
      <c r="W232" s="43"/>
      <c r="X232" s="43"/>
      <c r="Y232" s="43"/>
      <c r="Z232" s="43"/>
      <c r="AA232" s="44">
        <f t="shared" si="80"/>
        <v>0</v>
      </c>
      <c r="AB232" s="31"/>
      <c r="AC232" s="2"/>
    </row>
    <row r="233">
      <c r="A233" s="53" t="s">
        <v>50</v>
      </c>
      <c r="B233" s="54"/>
      <c r="C233" s="54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6"/>
      <c r="W233" s="56"/>
      <c r="X233" s="56"/>
      <c r="Y233" s="56"/>
      <c r="Z233" s="56"/>
      <c r="AA233" s="57" t="str">
        <f>AVERAGE(B233:Z233)</f>
        <v>#DIV/0!</v>
      </c>
      <c r="AB233" s="58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59"/>
      <c r="AB234" s="59"/>
      <c r="AC234" s="2"/>
    </row>
    <row r="235">
      <c r="A235" s="13">
        <v>46101.0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 t="s">
        <v>37</v>
      </c>
      <c r="AB235" s="16" t="s">
        <v>38</v>
      </c>
      <c r="AC235" s="2"/>
    </row>
    <row r="236">
      <c r="A236" s="17" t="s">
        <v>39</v>
      </c>
      <c r="B236" s="19">
        <v>1.0</v>
      </c>
      <c r="C236" s="19">
        <v>1.0</v>
      </c>
      <c r="D236" s="19">
        <v>1.0</v>
      </c>
      <c r="E236" s="19">
        <v>1.0</v>
      </c>
      <c r="F236" s="19">
        <v>1.0</v>
      </c>
      <c r="G236" s="19">
        <v>1.0</v>
      </c>
      <c r="H236" s="19">
        <v>0.0</v>
      </c>
      <c r="I236" s="19">
        <v>1.0</v>
      </c>
      <c r="J236" s="19">
        <v>1.0</v>
      </c>
      <c r="K236" s="19">
        <v>1.0</v>
      </c>
      <c r="L236" s="19">
        <v>1.0</v>
      </c>
      <c r="M236" s="19">
        <v>1.0</v>
      </c>
      <c r="N236" s="19">
        <v>1.0</v>
      </c>
      <c r="O236" s="19">
        <v>1.0</v>
      </c>
      <c r="P236" s="19">
        <v>1.0</v>
      </c>
      <c r="Q236" s="19">
        <v>1.0</v>
      </c>
      <c r="R236" s="19">
        <v>1.0</v>
      </c>
      <c r="S236" s="19">
        <v>1.0</v>
      </c>
      <c r="T236" s="19">
        <v>1.0</v>
      </c>
      <c r="U236" s="19">
        <v>1.0</v>
      </c>
      <c r="V236" s="19">
        <v>1.0</v>
      </c>
      <c r="W236" s="19">
        <v>1.0</v>
      </c>
      <c r="X236" s="19">
        <v>1.0</v>
      </c>
      <c r="Y236" s="18"/>
      <c r="Z236" s="18"/>
      <c r="AA236" s="20">
        <f t="shared" ref="AA236:AA240" si="81">SUM(B236:Z236)</f>
        <v>22</v>
      </c>
      <c r="AB236" s="21">
        <f t="shared" ref="AB236:AB239" si="82">AA236/(COUNT(B236:Z236)*1)</f>
        <v>0.9565217391</v>
      </c>
      <c r="AC236" s="2"/>
    </row>
    <row r="237">
      <c r="A237" s="17" t="s">
        <v>40</v>
      </c>
      <c r="B237" s="19">
        <v>1.0</v>
      </c>
      <c r="C237" s="19">
        <v>1.0</v>
      </c>
      <c r="D237" s="19">
        <v>1.0</v>
      </c>
      <c r="E237" s="19">
        <v>1.0</v>
      </c>
      <c r="F237" s="19">
        <v>1.0</v>
      </c>
      <c r="G237" s="19">
        <v>1.0</v>
      </c>
      <c r="H237" s="19">
        <v>1.0</v>
      </c>
      <c r="I237" s="19">
        <v>0.0</v>
      </c>
      <c r="J237" s="19">
        <v>0.0</v>
      </c>
      <c r="K237" s="19">
        <v>0.0</v>
      </c>
      <c r="L237" s="19">
        <v>1.0</v>
      </c>
      <c r="M237" s="19">
        <v>1.0</v>
      </c>
      <c r="N237" s="19">
        <v>1.0</v>
      </c>
      <c r="O237" s="19">
        <v>1.0</v>
      </c>
      <c r="P237" s="19">
        <v>0.0</v>
      </c>
      <c r="Q237" s="19">
        <v>1.0</v>
      </c>
      <c r="R237" s="19">
        <v>1.0</v>
      </c>
      <c r="S237" s="19">
        <v>1.0</v>
      </c>
      <c r="T237" s="19">
        <v>1.0</v>
      </c>
      <c r="U237" s="19">
        <v>1.0</v>
      </c>
      <c r="V237" s="19">
        <v>1.0</v>
      </c>
      <c r="W237" s="19">
        <v>1.0</v>
      </c>
      <c r="X237" s="19">
        <v>1.0</v>
      </c>
      <c r="Y237" s="18"/>
      <c r="Z237" s="18"/>
      <c r="AA237" s="20">
        <f t="shared" si="81"/>
        <v>19</v>
      </c>
      <c r="AB237" s="21">
        <f t="shared" si="82"/>
        <v>0.8260869565</v>
      </c>
      <c r="AC237" s="2"/>
    </row>
    <row r="238">
      <c r="A238" s="17" t="s">
        <v>41</v>
      </c>
      <c r="B238" s="19">
        <v>1.0</v>
      </c>
      <c r="C238" s="19">
        <v>1.0</v>
      </c>
      <c r="D238" s="19">
        <v>1.0</v>
      </c>
      <c r="E238" s="19">
        <v>1.0</v>
      </c>
      <c r="F238" s="19">
        <v>1.0</v>
      </c>
      <c r="G238" s="19">
        <v>1.0</v>
      </c>
      <c r="H238" s="19">
        <v>1.0</v>
      </c>
      <c r="I238" s="19">
        <v>1.0</v>
      </c>
      <c r="J238" s="19">
        <v>1.0</v>
      </c>
      <c r="K238" s="19">
        <v>1.0</v>
      </c>
      <c r="L238" s="19">
        <v>1.0</v>
      </c>
      <c r="M238" s="19">
        <v>1.0</v>
      </c>
      <c r="N238" s="19">
        <v>1.0</v>
      </c>
      <c r="O238" s="19">
        <v>1.0</v>
      </c>
      <c r="P238" s="19">
        <v>1.0</v>
      </c>
      <c r="Q238" s="19">
        <v>1.0</v>
      </c>
      <c r="R238" s="19">
        <v>1.0</v>
      </c>
      <c r="S238" s="19">
        <v>1.0</v>
      </c>
      <c r="T238" s="19">
        <v>1.0</v>
      </c>
      <c r="U238" s="19">
        <v>1.0</v>
      </c>
      <c r="V238" s="19">
        <v>1.0</v>
      </c>
      <c r="W238" s="19">
        <v>1.0</v>
      </c>
      <c r="X238" s="19">
        <v>1.0</v>
      </c>
      <c r="Y238" s="18"/>
      <c r="Z238" s="18"/>
      <c r="AA238" s="20">
        <f t="shared" si="81"/>
        <v>23</v>
      </c>
      <c r="AB238" s="21">
        <f t="shared" si="82"/>
        <v>1</v>
      </c>
      <c r="AC238" s="2"/>
    </row>
    <row r="239">
      <c r="A239" s="17" t="s">
        <v>42</v>
      </c>
      <c r="B239" s="19">
        <v>1.0</v>
      </c>
      <c r="C239" s="19">
        <v>1.0</v>
      </c>
      <c r="D239" s="19">
        <v>0.0</v>
      </c>
      <c r="E239" s="19">
        <v>0.0</v>
      </c>
      <c r="F239" s="19">
        <v>0.0</v>
      </c>
      <c r="G239" s="19">
        <v>1.0</v>
      </c>
      <c r="H239" s="19">
        <v>1.0</v>
      </c>
      <c r="I239" s="19">
        <v>1.0</v>
      </c>
      <c r="J239" s="19">
        <v>1.0</v>
      </c>
      <c r="K239" s="19">
        <v>1.0</v>
      </c>
      <c r="L239" s="19">
        <v>1.0</v>
      </c>
      <c r="M239" s="19">
        <v>1.0</v>
      </c>
      <c r="N239" s="19">
        <v>1.0</v>
      </c>
      <c r="O239" s="19">
        <v>1.0</v>
      </c>
      <c r="P239" s="19">
        <v>1.0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1.0</v>
      </c>
      <c r="W239" s="19">
        <v>0.0</v>
      </c>
      <c r="X239" s="19">
        <v>0.0</v>
      </c>
      <c r="Y239" s="18"/>
      <c r="Z239" s="18"/>
      <c r="AA239" s="20">
        <f t="shared" si="81"/>
        <v>13</v>
      </c>
      <c r="AB239" s="21">
        <f t="shared" si="82"/>
        <v>0.5652173913</v>
      </c>
      <c r="AC239" s="2"/>
    </row>
    <row r="240">
      <c r="A240" s="17" t="s">
        <v>43</v>
      </c>
      <c r="B240" s="22">
        <f t="shared" ref="B240:Z240" si="83">SUM(B236:B239)</f>
        <v>4</v>
      </c>
      <c r="C240" s="22">
        <f t="shared" si="83"/>
        <v>4</v>
      </c>
      <c r="D240" s="22">
        <f t="shared" si="83"/>
        <v>3</v>
      </c>
      <c r="E240" s="22">
        <f t="shared" si="83"/>
        <v>3</v>
      </c>
      <c r="F240" s="22">
        <f t="shared" si="83"/>
        <v>3</v>
      </c>
      <c r="G240" s="22">
        <f t="shared" si="83"/>
        <v>4</v>
      </c>
      <c r="H240" s="22">
        <f t="shared" si="83"/>
        <v>3</v>
      </c>
      <c r="I240" s="22">
        <f t="shared" si="83"/>
        <v>3</v>
      </c>
      <c r="J240" s="22">
        <f t="shared" si="83"/>
        <v>3</v>
      </c>
      <c r="K240" s="22">
        <f t="shared" si="83"/>
        <v>3</v>
      </c>
      <c r="L240" s="22">
        <f t="shared" si="83"/>
        <v>4</v>
      </c>
      <c r="M240" s="22">
        <f t="shared" si="83"/>
        <v>4</v>
      </c>
      <c r="N240" s="22">
        <f t="shared" si="83"/>
        <v>4</v>
      </c>
      <c r="O240" s="22">
        <f t="shared" si="83"/>
        <v>4</v>
      </c>
      <c r="P240" s="22">
        <f t="shared" si="83"/>
        <v>3</v>
      </c>
      <c r="Q240" s="22">
        <f t="shared" si="83"/>
        <v>3</v>
      </c>
      <c r="R240" s="22">
        <f t="shared" si="83"/>
        <v>3</v>
      </c>
      <c r="S240" s="22">
        <f t="shared" si="83"/>
        <v>3</v>
      </c>
      <c r="T240" s="22">
        <f t="shared" si="83"/>
        <v>3</v>
      </c>
      <c r="U240" s="22">
        <f t="shared" si="83"/>
        <v>3</v>
      </c>
      <c r="V240" s="22">
        <f t="shared" si="83"/>
        <v>4</v>
      </c>
      <c r="W240" s="22">
        <f t="shared" si="83"/>
        <v>3</v>
      </c>
      <c r="X240" s="22">
        <f t="shared" si="83"/>
        <v>3</v>
      </c>
      <c r="Y240" s="22">
        <f t="shared" si="83"/>
        <v>0</v>
      </c>
      <c r="Z240" s="22">
        <f t="shared" si="83"/>
        <v>0</v>
      </c>
      <c r="AA240" s="20">
        <f t="shared" si="81"/>
        <v>77</v>
      </c>
      <c r="AB240" s="23"/>
      <c r="AC240" s="2"/>
    </row>
    <row r="241">
      <c r="A241" s="17" t="s">
        <v>38</v>
      </c>
      <c r="B241" s="24">
        <f t="shared" ref="B241:Z241" si="84">B240/(COUNT(B236:B239)*1)</f>
        <v>1</v>
      </c>
      <c r="C241" s="24">
        <f t="shared" si="84"/>
        <v>1</v>
      </c>
      <c r="D241" s="24">
        <f t="shared" si="84"/>
        <v>0.75</v>
      </c>
      <c r="E241" s="24">
        <f t="shared" si="84"/>
        <v>0.75</v>
      </c>
      <c r="F241" s="24">
        <f t="shared" si="84"/>
        <v>0.75</v>
      </c>
      <c r="G241" s="24">
        <f t="shared" si="84"/>
        <v>1</v>
      </c>
      <c r="H241" s="24">
        <f t="shared" si="84"/>
        <v>0.75</v>
      </c>
      <c r="I241" s="24">
        <f t="shared" si="84"/>
        <v>0.75</v>
      </c>
      <c r="J241" s="24">
        <f t="shared" si="84"/>
        <v>0.75</v>
      </c>
      <c r="K241" s="24">
        <f t="shared" si="84"/>
        <v>0.75</v>
      </c>
      <c r="L241" s="24">
        <f t="shared" si="84"/>
        <v>1</v>
      </c>
      <c r="M241" s="24">
        <f t="shared" si="84"/>
        <v>1</v>
      </c>
      <c r="N241" s="24">
        <f t="shared" si="84"/>
        <v>1</v>
      </c>
      <c r="O241" s="24">
        <f t="shared" si="84"/>
        <v>1</v>
      </c>
      <c r="P241" s="24">
        <f t="shared" si="84"/>
        <v>0.75</v>
      </c>
      <c r="Q241" s="24">
        <f t="shared" si="84"/>
        <v>0.75</v>
      </c>
      <c r="R241" s="24">
        <f t="shared" si="84"/>
        <v>0.75</v>
      </c>
      <c r="S241" s="24">
        <f t="shared" si="84"/>
        <v>0.75</v>
      </c>
      <c r="T241" s="24">
        <f t="shared" si="84"/>
        <v>0.75</v>
      </c>
      <c r="U241" s="24">
        <f t="shared" si="84"/>
        <v>0.75</v>
      </c>
      <c r="V241" s="24">
        <f t="shared" si="84"/>
        <v>1</v>
      </c>
      <c r="W241" s="24">
        <f t="shared" si="84"/>
        <v>0.75</v>
      </c>
      <c r="X241" s="24">
        <f t="shared" si="84"/>
        <v>0.75</v>
      </c>
      <c r="Y241" s="24" t="str">
        <f t="shared" si="84"/>
        <v>#DIV/0!</v>
      </c>
      <c r="Z241" s="24" t="str">
        <f t="shared" si="84"/>
        <v>#DIV/0!</v>
      </c>
      <c r="AA241" s="25"/>
      <c r="AB241" s="26">
        <f>SUM(AB236:AB239)/4</f>
        <v>0.8369565217</v>
      </c>
      <c r="AC241" s="2"/>
    </row>
    <row r="242">
      <c r="A242" s="27" t="s">
        <v>44</v>
      </c>
      <c r="B242" s="28"/>
      <c r="C242" s="29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30">
        <f t="shared" ref="AA242:AA244" si="85">SUM(B242:Z242)</f>
        <v>0</v>
      </c>
      <c r="AB242" s="31"/>
      <c r="AC242" s="2"/>
    </row>
    <row r="243">
      <c r="A243" s="32" t="s">
        <v>45</v>
      </c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28"/>
      <c r="W243" s="28"/>
      <c r="X243" s="28"/>
      <c r="Y243" s="28"/>
      <c r="Z243" s="28"/>
      <c r="AA243" s="30">
        <f t="shared" si="85"/>
        <v>0</v>
      </c>
      <c r="AB243" s="31"/>
      <c r="AC243" s="9"/>
    </row>
    <row r="244">
      <c r="A244" s="34" t="s">
        <v>46</v>
      </c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28"/>
      <c r="W244" s="28"/>
      <c r="X244" s="28"/>
      <c r="Y244" s="28"/>
      <c r="Z244" s="28"/>
      <c r="AA244" s="30">
        <f t="shared" si="85"/>
        <v>0</v>
      </c>
      <c r="AB244" s="31"/>
      <c r="AC244" s="9"/>
    </row>
    <row r="245">
      <c r="A245" s="35" t="s">
        <v>47</v>
      </c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7"/>
      <c r="AA245" s="38"/>
      <c r="AB245" s="39"/>
      <c r="AC245" s="2"/>
    </row>
    <row r="246">
      <c r="A246" s="40" t="s">
        <v>48</v>
      </c>
      <c r="B246" s="41"/>
      <c r="C246" s="42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3"/>
      <c r="W246" s="43"/>
      <c r="X246" s="43"/>
      <c r="Y246" s="43"/>
      <c r="Z246" s="43"/>
      <c r="AA246" s="44">
        <f t="shared" ref="AA246:AA247" si="86">SUM(B246:Z246)</f>
        <v>0</v>
      </c>
      <c r="AB246" s="31"/>
      <c r="AC246" s="2"/>
    </row>
    <row r="247">
      <c r="A247" s="40" t="s">
        <v>49</v>
      </c>
      <c r="B247" s="41"/>
      <c r="C247" s="42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3"/>
      <c r="W247" s="43"/>
      <c r="X247" s="43"/>
      <c r="Y247" s="43"/>
      <c r="Z247" s="43"/>
      <c r="AA247" s="44">
        <f t="shared" si="86"/>
        <v>0</v>
      </c>
      <c r="AB247" s="31"/>
      <c r="AC247" s="2"/>
    </row>
    <row r="248">
      <c r="A248" s="40" t="s">
        <v>50</v>
      </c>
      <c r="B248" s="42"/>
      <c r="C248" s="42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3"/>
      <c r="W248" s="43"/>
      <c r="X248" s="43"/>
      <c r="Y248" s="43"/>
      <c r="Z248" s="43"/>
      <c r="AA248" s="44" t="str">
        <f>AVERAGE(B248:Z248)</f>
        <v>#DIV/0!</v>
      </c>
      <c r="AB248" s="31"/>
      <c r="AC248" s="2"/>
    </row>
    <row r="249">
      <c r="A249" s="45" t="s">
        <v>51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7"/>
      <c r="AA249" s="46"/>
      <c r="AB249" s="39"/>
      <c r="AC249" s="2"/>
    </row>
    <row r="250">
      <c r="A250" s="47" t="s">
        <v>48</v>
      </c>
      <c r="B250" s="48"/>
      <c r="C250" s="49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50"/>
      <c r="W250" s="50"/>
      <c r="X250" s="50"/>
      <c r="Y250" s="50"/>
      <c r="Z250" s="50"/>
      <c r="AA250" s="51">
        <f t="shared" ref="AA250:AA251" si="87">SUM(B250:Z250)</f>
        <v>0</v>
      </c>
      <c r="AB250" s="31"/>
      <c r="AC250" s="2"/>
    </row>
    <row r="251">
      <c r="A251" s="47" t="s">
        <v>49</v>
      </c>
      <c r="B251" s="48"/>
      <c r="C251" s="49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50"/>
      <c r="W251" s="50"/>
      <c r="X251" s="50"/>
      <c r="Y251" s="50"/>
      <c r="Z251" s="50"/>
      <c r="AA251" s="51">
        <f t="shared" si="87"/>
        <v>0</v>
      </c>
      <c r="AB251" s="31"/>
      <c r="AC251" s="2"/>
    </row>
    <row r="252">
      <c r="A252" s="47" t="s">
        <v>50</v>
      </c>
      <c r="B252" s="49"/>
      <c r="C252" s="49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50"/>
      <c r="W252" s="50"/>
      <c r="X252" s="50"/>
      <c r="Y252" s="50"/>
      <c r="Z252" s="50"/>
      <c r="AA252" s="51" t="str">
        <f>AVERAGE(B252:Z252)</f>
        <v>#DIV/0!</v>
      </c>
      <c r="AB252" s="31"/>
      <c r="AC252" s="2"/>
    </row>
    <row r="253">
      <c r="A253" s="52" t="s">
        <v>53</v>
      </c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7"/>
      <c r="AA253" s="38"/>
      <c r="AB253" s="39"/>
      <c r="AC253" s="2"/>
    </row>
    <row r="254">
      <c r="A254" s="40" t="s">
        <v>48</v>
      </c>
      <c r="B254" s="41"/>
      <c r="C254" s="42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3"/>
      <c r="W254" s="43"/>
      <c r="X254" s="43"/>
      <c r="Y254" s="43"/>
      <c r="Z254" s="43"/>
      <c r="AA254" s="44">
        <f t="shared" ref="AA254:AA255" si="88">SUM(B254:Z254)</f>
        <v>0</v>
      </c>
      <c r="AB254" s="31"/>
      <c r="AC254" s="2"/>
    </row>
    <row r="255">
      <c r="A255" s="40" t="s">
        <v>49</v>
      </c>
      <c r="B255" s="41"/>
      <c r="C255" s="42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3"/>
      <c r="W255" s="43"/>
      <c r="X255" s="43"/>
      <c r="Y255" s="43"/>
      <c r="Z255" s="43"/>
      <c r="AA255" s="44">
        <f t="shared" si="88"/>
        <v>0</v>
      </c>
      <c r="AB255" s="31"/>
      <c r="AC255" s="2"/>
    </row>
    <row r="256">
      <c r="A256" s="53" t="s">
        <v>50</v>
      </c>
      <c r="B256" s="54"/>
      <c r="C256" s="54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6"/>
      <c r="W256" s="56"/>
      <c r="X256" s="56"/>
      <c r="Y256" s="56"/>
      <c r="Z256" s="56"/>
      <c r="AA256" s="57" t="str">
        <f>AVERAGE(B256:Z256)</f>
        <v>#DIV/0!</v>
      </c>
      <c r="AB256" s="58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59"/>
      <c r="AB257" s="59"/>
      <c r="AC257" s="2"/>
    </row>
    <row r="258">
      <c r="A258" s="13">
        <v>46104.0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5" t="s">
        <v>37</v>
      </c>
      <c r="AB258" s="16" t="s">
        <v>38</v>
      </c>
      <c r="AC258" s="2"/>
    </row>
    <row r="259">
      <c r="A259" s="17" t="s">
        <v>39</v>
      </c>
      <c r="B259" s="19">
        <v>1.0</v>
      </c>
      <c r="C259" s="19">
        <v>1.0</v>
      </c>
      <c r="D259" s="19">
        <v>1.0</v>
      </c>
      <c r="E259" s="19">
        <v>0.0</v>
      </c>
      <c r="F259" s="19">
        <v>0.0</v>
      </c>
      <c r="G259" s="19">
        <v>0.0</v>
      </c>
      <c r="H259" s="19">
        <v>0.0</v>
      </c>
      <c r="I259" s="19">
        <v>0.0</v>
      </c>
      <c r="J259" s="19">
        <v>0.0</v>
      </c>
      <c r="K259" s="19">
        <v>0.0</v>
      </c>
      <c r="L259" s="19">
        <v>0.0</v>
      </c>
      <c r="M259" s="19">
        <v>0.0</v>
      </c>
      <c r="N259" s="19">
        <v>0.0</v>
      </c>
      <c r="O259" s="19">
        <v>0.0</v>
      </c>
      <c r="P259" s="19">
        <v>0.0</v>
      </c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20">
        <f t="shared" ref="AA259:AA263" si="89">SUM(B259:Z259)</f>
        <v>3</v>
      </c>
      <c r="AB259" s="21">
        <f t="shared" ref="AB259:AB262" si="90">AA259/(COUNT(B259:Z259)*1)</f>
        <v>0.2</v>
      </c>
      <c r="AC259" s="2"/>
    </row>
    <row r="260">
      <c r="A260" s="17" t="s">
        <v>40</v>
      </c>
      <c r="B260" s="19">
        <v>1.0</v>
      </c>
      <c r="C260" s="19">
        <v>1.0</v>
      </c>
      <c r="D260" s="19">
        <v>1.0</v>
      </c>
      <c r="E260" s="19">
        <v>1.0</v>
      </c>
      <c r="F260" s="19">
        <v>1.0</v>
      </c>
      <c r="G260" s="19">
        <v>1.0</v>
      </c>
      <c r="H260" s="19">
        <v>1.0</v>
      </c>
      <c r="I260" s="19">
        <v>1.0</v>
      </c>
      <c r="J260" s="19">
        <v>1.0</v>
      </c>
      <c r="K260" s="19">
        <v>1.0</v>
      </c>
      <c r="L260" s="19">
        <v>1.0</v>
      </c>
      <c r="M260" s="19">
        <v>1.0</v>
      </c>
      <c r="N260" s="19">
        <v>1.0</v>
      </c>
      <c r="O260" s="19">
        <v>0.0</v>
      </c>
      <c r="P260" s="19">
        <v>0.0</v>
      </c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20">
        <f t="shared" si="89"/>
        <v>13</v>
      </c>
      <c r="AB260" s="21">
        <f t="shared" si="90"/>
        <v>0.8666666667</v>
      </c>
      <c r="AC260" s="2"/>
    </row>
    <row r="261">
      <c r="A261" s="17" t="s">
        <v>41</v>
      </c>
      <c r="B261" s="19">
        <v>1.0</v>
      </c>
      <c r="C261" s="19">
        <v>0.0</v>
      </c>
      <c r="D261" s="19">
        <v>0.0</v>
      </c>
      <c r="E261" s="19">
        <v>1.0</v>
      </c>
      <c r="F261" s="19">
        <v>1.0</v>
      </c>
      <c r="G261" s="19">
        <v>0.0</v>
      </c>
      <c r="H261" s="19">
        <v>0.0</v>
      </c>
      <c r="I261" s="19">
        <v>0.0</v>
      </c>
      <c r="J261" s="19">
        <v>0.0</v>
      </c>
      <c r="K261" s="19">
        <v>0.0</v>
      </c>
      <c r="L261" s="19">
        <v>0.0</v>
      </c>
      <c r="M261" s="19">
        <v>1.0</v>
      </c>
      <c r="N261" s="19">
        <v>1.0</v>
      </c>
      <c r="O261" s="19">
        <v>0.0</v>
      </c>
      <c r="P261" s="19">
        <v>0.0</v>
      </c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20">
        <f t="shared" si="89"/>
        <v>5</v>
      </c>
      <c r="AB261" s="21">
        <f t="shared" si="90"/>
        <v>0.3333333333</v>
      </c>
      <c r="AC261" s="2"/>
    </row>
    <row r="262">
      <c r="A262" s="17" t="s">
        <v>42</v>
      </c>
      <c r="B262" s="19">
        <v>1.0</v>
      </c>
      <c r="C262" s="19">
        <v>0.0</v>
      </c>
      <c r="D262" s="19">
        <v>1.0</v>
      </c>
      <c r="E262" s="19">
        <v>1.0</v>
      </c>
      <c r="F262" s="19">
        <v>1.0</v>
      </c>
      <c r="G262" s="19">
        <v>1.0</v>
      </c>
      <c r="H262" s="19">
        <v>1.0</v>
      </c>
      <c r="I262" s="19">
        <v>1.0</v>
      </c>
      <c r="J262" s="19">
        <v>1.0</v>
      </c>
      <c r="K262" s="19">
        <v>1.0</v>
      </c>
      <c r="L262" s="19">
        <v>1.0</v>
      </c>
      <c r="M262" s="19">
        <v>1.0</v>
      </c>
      <c r="N262" s="19">
        <v>1.0</v>
      </c>
      <c r="O262" s="19">
        <v>0.0</v>
      </c>
      <c r="P262" s="19">
        <v>0.0</v>
      </c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20">
        <f t="shared" si="89"/>
        <v>12</v>
      </c>
      <c r="AB262" s="21">
        <f t="shared" si="90"/>
        <v>0.8</v>
      </c>
      <c r="AC262" s="2"/>
    </row>
    <row r="263">
      <c r="A263" s="17" t="s">
        <v>43</v>
      </c>
      <c r="B263" s="22">
        <f t="shared" ref="B263:Z263" si="91">SUM(B259:B262)</f>
        <v>4</v>
      </c>
      <c r="C263" s="22">
        <f t="shared" si="91"/>
        <v>2</v>
      </c>
      <c r="D263" s="22">
        <f t="shared" si="91"/>
        <v>3</v>
      </c>
      <c r="E263" s="22">
        <f t="shared" si="91"/>
        <v>3</v>
      </c>
      <c r="F263" s="22">
        <f t="shared" si="91"/>
        <v>3</v>
      </c>
      <c r="G263" s="22">
        <f t="shared" si="91"/>
        <v>2</v>
      </c>
      <c r="H263" s="22">
        <f t="shared" si="91"/>
        <v>2</v>
      </c>
      <c r="I263" s="22">
        <f t="shared" si="91"/>
        <v>2</v>
      </c>
      <c r="J263" s="22">
        <f t="shared" si="91"/>
        <v>2</v>
      </c>
      <c r="K263" s="22">
        <f t="shared" si="91"/>
        <v>2</v>
      </c>
      <c r="L263" s="22">
        <f t="shared" si="91"/>
        <v>2</v>
      </c>
      <c r="M263" s="22">
        <f t="shared" si="91"/>
        <v>3</v>
      </c>
      <c r="N263" s="22">
        <f t="shared" si="91"/>
        <v>3</v>
      </c>
      <c r="O263" s="22">
        <f t="shared" si="91"/>
        <v>0</v>
      </c>
      <c r="P263" s="22">
        <f t="shared" si="91"/>
        <v>0</v>
      </c>
      <c r="Q263" s="22">
        <f t="shared" si="91"/>
        <v>0</v>
      </c>
      <c r="R263" s="22">
        <f t="shared" si="91"/>
        <v>0</v>
      </c>
      <c r="S263" s="22">
        <f t="shared" si="91"/>
        <v>0</v>
      </c>
      <c r="T263" s="22">
        <f t="shared" si="91"/>
        <v>0</v>
      </c>
      <c r="U263" s="22">
        <f t="shared" si="91"/>
        <v>0</v>
      </c>
      <c r="V263" s="22">
        <f t="shared" si="91"/>
        <v>0</v>
      </c>
      <c r="W263" s="22">
        <f t="shared" si="91"/>
        <v>0</v>
      </c>
      <c r="X263" s="22">
        <f t="shared" si="91"/>
        <v>0</v>
      </c>
      <c r="Y263" s="22">
        <f t="shared" si="91"/>
        <v>0</v>
      </c>
      <c r="Z263" s="22">
        <f t="shared" si="91"/>
        <v>0</v>
      </c>
      <c r="AA263" s="20">
        <f t="shared" si="89"/>
        <v>33</v>
      </c>
      <c r="AB263" s="23"/>
      <c r="AC263" s="2"/>
    </row>
    <row r="264">
      <c r="A264" s="17" t="s">
        <v>38</v>
      </c>
      <c r="B264" s="24">
        <f t="shared" ref="B264:Z264" si="92">B263/(COUNT(B259:B262)*1)</f>
        <v>1</v>
      </c>
      <c r="C264" s="24">
        <f t="shared" si="92"/>
        <v>0.5</v>
      </c>
      <c r="D264" s="24">
        <f t="shared" si="92"/>
        <v>0.75</v>
      </c>
      <c r="E264" s="24">
        <f t="shared" si="92"/>
        <v>0.75</v>
      </c>
      <c r="F264" s="24">
        <f t="shared" si="92"/>
        <v>0.75</v>
      </c>
      <c r="G264" s="24">
        <f t="shared" si="92"/>
        <v>0.5</v>
      </c>
      <c r="H264" s="24">
        <f t="shared" si="92"/>
        <v>0.5</v>
      </c>
      <c r="I264" s="24">
        <f t="shared" si="92"/>
        <v>0.5</v>
      </c>
      <c r="J264" s="24">
        <f t="shared" si="92"/>
        <v>0.5</v>
      </c>
      <c r="K264" s="24">
        <f t="shared" si="92"/>
        <v>0.5</v>
      </c>
      <c r="L264" s="24">
        <f t="shared" si="92"/>
        <v>0.5</v>
      </c>
      <c r="M264" s="24">
        <f t="shared" si="92"/>
        <v>0.75</v>
      </c>
      <c r="N264" s="24">
        <f t="shared" si="92"/>
        <v>0.75</v>
      </c>
      <c r="O264" s="24">
        <f t="shared" si="92"/>
        <v>0</v>
      </c>
      <c r="P264" s="24">
        <f t="shared" si="92"/>
        <v>0</v>
      </c>
      <c r="Q264" s="24" t="str">
        <f t="shared" si="92"/>
        <v>#DIV/0!</v>
      </c>
      <c r="R264" s="24" t="str">
        <f t="shared" si="92"/>
        <v>#DIV/0!</v>
      </c>
      <c r="S264" s="24" t="str">
        <f t="shared" si="92"/>
        <v>#DIV/0!</v>
      </c>
      <c r="T264" s="24" t="str">
        <f t="shared" si="92"/>
        <v>#DIV/0!</v>
      </c>
      <c r="U264" s="24" t="str">
        <f t="shared" si="92"/>
        <v>#DIV/0!</v>
      </c>
      <c r="V264" s="24" t="str">
        <f t="shared" si="92"/>
        <v>#DIV/0!</v>
      </c>
      <c r="W264" s="24" t="str">
        <f t="shared" si="92"/>
        <v>#DIV/0!</v>
      </c>
      <c r="X264" s="24" t="str">
        <f t="shared" si="92"/>
        <v>#DIV/0!</v>
      </c>
      <c r="Y264" s="24" t="str">
        <f t="shared" si="92"/>
        <v>#DIV/0!</v>
      </c>
      <c r="Z264" s="24" t="str">
        <f t="shared" si="92"/>
        <v>#DIV/0!</v>
      </c>
      <c r="AA264" s="25"/>
      <c r="AB264" s="26">
        <f>SUM(AB259:AB262)/4</f>
        <v>0.55</v>
      </c>
      <c r="AC264" s="2"/>
    </row>
    <row r="265">
      <c r="A265" s="27" t="s">
        <v>44</v>
      </c>
      <c r="B265" s="28"/>
      <c r="C265" s="29"/>
      <c r="D265" s="28"/>
      <c r="E265" s="132">
        <v>20.0</v>
      </c>
      <c r="F265" s="132">
        <v>20.0</v>
      </c>
      <c r="G265" s="132">
        <v>20.0</v>
      </c>
      <c r="H265" s="132">
        <v>20.0</v>
      </c>
      <c r="I265" s="132">
        <v>20.0</v>
      </c>
      <c r="J265" s="132">
        <v>20.0</v>
      </c>
      <c r="K265" s="132">
        <v>20.0</v>
      </c>
      <c r="L265" s="132">
        <v>20.0</v>
      </c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30">
        <f t="shared" ref="AA265:AA267" si="93">SUM(B265:Z265)</f>
        <v>160</v>
      </c>
      <c r="AB265" s="31"/>
      <c r="AC265" s="2"/>
    </row>
    <row r="266">
      <c r="A266" s="32" t="s">
        <v>45</v>
      </c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129">
        <v>4.0</v>
      </c>
      <c r="N266" s="129">
        <v>7.0</v>
      </c>
      <c r="O266" s="129">
        <v>4.0</v>
      </c>
      <c r="P266" s="33"/>
      <c r="Q266" s="33"/>
      <c r="R266" s="33"/>
      <c r="S266" s="33"/>
      <c r="T266" s="33"/>
      <c r="U266" s="33"/>
      <c r="V266" s="28"/>
      <c r="W266" s="28"/>
      <c r="X266" s="28"/>
      <c r="Y266" s="28"/>
      <c r="Z266" s="28"/>
      <c r="AA266" s="30">
        <f t="shared" si="93"/>
        <v>15</v>
      </c>
      <c r="AB266" s="31"/>
      <c r="AC266" s="9"/>
    </row>
    <row r="267">
      <c r="A267" s="34" t="s">
        <v>46</v>
      </c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28"/>
      <c r="W267" s="28"/>
      <c r="X267" s="28"/>
      <c r="Y267" s="28"/>
      <c r="Z267" s="28"/>
      <c r="AA267" s="30">
        <f t="shared" si="93"/>
        <v>0</v>
      </c>
      <c r="AB267" s="31"/>
      <c r="AC267" s="9"/>
    </row>
    <row r="268">
      <c r="A268" s="35" t="s">
        <v>47</v>
      </c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7"/>
      <c r="AA268" s="38"/>
      <c r="AB268" s="39"/>
      <c r="AC268" s="2"/>
    </row>
    <row r="269">
      <c r="A269" s="40" t="s">
        <v>48</v>
      </c>
      <c r="B269" s="63"/>
      <c r="C269" s="64"/>
      <c r="D269" s="63"/>
      <c r="E269" s="65">
        <v>1.0</v>
      </c>
      <c r="F269" s="65">
        <v>1.0</v>
      </c>
      <c r="G269" s="65">
        <v>1.0</v>
      </c>
      <c r="H269" s="65">
        <v>1.0</v>
      </c>
      <c r="I269" s="65">
        <v>1.0</v>
      </c>
      <c r="J269" s="65">
        <v>1.0</v>
      </c>
      <c r="K269" s="65">
        <v>1.0</v>
      </c>
      <c r="L269" s="65">
        <v>1.0</v>
      </c>
      <c r="M269" s="65">
        <v>1.0</v>
      </c>
      <c r="N269" s="65">
        <v>1.0</v>
      </c>
      <c r="O269" s="65">
        <v>1.0</v>
      </c>
      <c r="P269" s="65">
        <v>1.0</v>
      </c>
      <c r="Q269" s="63"/>
      <c r="R269" s="63"/>
      <c r="S269" s="63"/>
      <c r="T269" s="63"/>
      <c r="U269" s="63"/>
      <c r="V269" s="66"/>
      <c r="W269" s="66"/>
      <c r="X269" s="66"/>
      <c r="Y269" s="66"/>
      <c r="Z269" s="66"/>
      <c r="AA269" s="44">
        <f t="shared" ref="AA269:AA270" si="94">SUM(B269:Z269)</f>
        <v>12</v>
      </c>
      <c r="AB269" s="31"/>
      <c r="AC269" s="2"/>
    </row>
    <row r="270">
      <c r="A270" s="40" t="s">
        <v>49</v>
      </c>
      <c r="B270" s="63"/>
      <c r="C270" s="64"/>
      <c r="D270" s="63"/>
      <c r="E270" s="65">
        <v>20.0</v>
      </c>
      <c r="F270" s="65">
        <v>20.0</v>
      </c>
      <c r="G270" s="65">
        <v>20.0</v>
      </c>
      <c r="H270" s="65">
        <v>20.0</v>
      </c>
      <c r="I270" s="65">
        <v>20.0</v>
      </c>
      <c r="J270" s="65">
        <v>20.0</v>
      </c>
      <c r="K270" s="65">
        <v>20.0</v>
      </c>
      <c r="L270" s="65">
        <v>20.0</v>
      </c>
      <c r="M270" s="65">
        <v>15.0</v>
      </c>
      <c r="N270" s="65">
        <v>15.0</v>
      </c>
      <c r="O270" s="65">
        <v>15.0</v>
      </c>
      <c r="P270" s="65">
        <v>15.0</v>
      </c>
      <c r="Q270" s="63"/>
      <c r="R270" s="63"/>
      <c r="S270" s="63"/>
      <c r="T270" s="63"/>
      <c r="U270" s="63"/>
      <c r="V270" s="66"/>
      <c r="W270" s="66"/>
      <c r="X270" s="66"/>
      <c r="Y270" s="66"/>
      <c r="Z270" s="66"/>
      <c r="AA270" s="44">
        <f t="shared" si="94"/>
        <v>220</v>
      </c>
      <c r="AB270" s="31"/>
      <c r="AC270" s="2"/>
    </row>
    <row r="271">
      <c r="A271" s="40" t="s">
        <v>50</v>
      </c>
      <c r="B271" s="64"/>
      <c r="C271" s="64"/>
      <c r="D271" s="63"/>
      <c r="E271" s="65">
        <v>1.0</v>
      </c>
      <c r="F271" s="65">
        <v>1.0</v>
      </c>
      <c r="G271" s="65">
        <v>1.0</v>
      </c>
      <c r="H271" s="65">
        <v>1.0</v>
      </c>
      <c r="I271" s="65">
        <v>1.0</v>
      </c>
      <c r="J271" s="65">
        <v>1.0</v>
      </c>
      <c r="K271" s="65">
        <v>1.0</v>
      </c>
      <c r="L271" s="65">
        <v>1.0</v>
      </c>
      <c r="M271" s="65">
        <v>2.0</v>
      </c>
      <c r="N271" s="65">
        <v>3.0</v>
      </c>
      <c r="O271" s="65">
        <v>1.0</v>
      </c>
      <c r="P271" s="65">
        <v>1.0</v>
      </c>
      <c r="Q271" s="63"/>
      <c r="R271" s="63"/>
      <c r="S271" s="63"/>
      <c r="T271" s="63"/>
      <c r="U271" s="63"/>
      <c r="V271" s="66"/>
      <c r="W271" s="66"/>
      <c r="X271" s="66"/>
      <c r="Y271" s="66"/>
      <c r="Z271" s="66"/>
      <c r="AA271" s="44">
        <f>AVERAGE(B271:Z271)</f>
        <v>1.25</v>
      </c>
      <c r="AB271" s="31"/>
      <c r="AC271" s="2"/>
    </row>
    <row r="272">
      <c r="A272" s="45" t="s">
        <v>51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7"/>
      <c r="AA272" s="46"/>
      <c r="AB272" s="39"/>
      <c r="AC272" s="2"/>
    </row>
    <row r="273">
      <c r="A273" s="47" t="s">
        <v>48</v>
      </c>
      <c r="B273" s="48"/>
      <c r="C273" s="49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50"/>
      <c r="W273" s="50"/>
      <c r="X273" s="50"/>
      <c r="Y273" s="50"/>
      <c r="Z273" s="50"/>
      <c r="AA273" s="51">
        <f t="shared" ref="AA273:AA274" si="95">SUM(B273:Z273)</f>
        <v>0</v>
      </c>
      <c r="AB273" s="31"/>
      <c r="AC273" s="2"/>
    </row>
    <row r="274">
      <c r="A274" s="47" t="s">
        <v>49</v>
      </c>
      <c r="B274" s="48"/>
      <c r="C274" s="49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50"/>
      <c r="W274" s="50"/>
      <c r="X274" s="50"/>
      <c r="Y274" s="50"/>
      <c r="Z274" s="50"/>
      <c r="AA274" s="51">
        <f t="shared" si="95"/>
        <v>0</v>
      </c>
      <c r="AB274" s="31"/>
      <c r="AC274" s="2"/>
    </row>
    <row r="275">
      <c r="A275" s="47" t="s">
        <v>50</v>
      </c>
      <c r="B275" s="49"/>
      <c r="C275" s="49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50"/>
      <c r="W275" s="50"/>
      <c r="X275" s="50"/>
      <c r="Y275" s="50"/>
      <c r="Z275" s="50"/>
      <c r="AA275" s="51" t="str">
        <f>AVERAGE(B275:Z275)</f>
        <v>#DIV/0!</v>
      </c>
      <c r="AB275" s="31"/>
      <c r="AC275" s="2"/>
    </row>
    <row r="276">
      <c r="A276" s="52" t="s">
        <v>53</v>
      </c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7"/>
      <c r="AA276" s="38"/>
      <c r="AB276" s="39"/>
      <c r="AC276" s="2"/>
    </row>
    <row r="277">
      <c r="A277" s="40" t="s">
        <v>48</v>
      </c>
      <c r="B277" s="41"/>
      <c r="C277" s="42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3"/>
      <c r="W277" s="43"/>
      <c r="X277" s="43"/>
      <c r="Y277" s="43"/>
      <c r="Z277" s="43"/>
      <c r="AA277" s="44">
        <f t="shared" ref="AA277:AA278" si="96">SUM(B277:Z277)</f>
        <v>0</v>
      </c>
      <c r="AB277" s="31"/>
      <c r="AC277" s="2"/>
    </row>
    <row r="278">
      <c r="A278" s="40" t="s">
        <v>49</v>
      </c>
      <c r="B278" s="41"/>
      <c r="C278" s="42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3"/>
      <c r="W278" s="43"/>
      <c r="X278" s="43"/>
      <c r="Y278" s="43"/>
      <c r="Z278" s="43"/>
      <c r="AA278" s="44">
        <f t="shared" si="96"/>
        <v>0</v>
      </c>
      <c r="AB278" s="31"/>
      <c r="AC278" s="2"/>
    </row>
    <row r="279">
      <c r="A279" s="53" t="s">
        <v>50</v>
      </c>
      <c r="B279" s="54"/>
      <c r="C279" s="54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6"/>
      <c r="W279" s="56"/>
      <c r="X279" s="56"/>
      <c r="Y279" s="56"/>
      <c r="Z279" s="56"/>
      <c r="AA279" s="57" t="str">
        <f>AVERAGE(B279:Z279)</f>
        <v>#DIV/0!</v>
      </c>
      <c r="AB279" s="58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59"/>
      <c r="AB280" s="59"/>
      <c r="AC280" s="2"/>
    </row>
    <row r="281">
      <c r="A281" s="71" t="s">
        <v>54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5" t="s">
        <v>37</v>
      </c>
      <c r="AB281" s="16" t="s">
        <v>38</v>
      </c>
      <c r="AC281" s="2"/>
    </row>
    <row r="282">
      <c r="A282" s="17" t="s">
        <v>39</v>
      </c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20">
        <f t="shared" ref="AA282:AA286" si="97">SUM(B282:Z282)</f>
        <v>0</v>
      </c>
      <c r="AB282" s="21" t="str">
        <f t="shared" ref="AB282:AB285" si="98">AA282/(COUNT(B282:Z282)*1)</f>
        <v>#DIV/0!</v>
      </c>
      <c r="AC282" s="2"/>
    </row>
    <row r="283">
      <c r="A283" s="17" t="s">
        <v>40</v>
      </c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20">
        <f t="shared" si="97"/>
        <v>0</v>
      </c>
      <c r="AB283" s="21" t="str">
        <f t="shared" si="98"/>
        <v>#DIV/0!</v>
      </c>
      <c r="AC283" s="2"/>
    </row>
    <row r="284">
      <c r="A284" s="17" t="s">
        <v>41</v>
      </c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20">
        <f t="shared" si="97"/>
        <v>0</v>
      </c>
      <c r="AB284" s="21" t="str">
        <f t="shared" si="98"/>
        <v>#DIV/0!</v>
      </c>
      <c r="AC284" s="2"/>
    </row>
    <row r="285">
      <c r="A285" s="17" t="s">
        <v>42</v>
      </c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20">
        <f t="shared" si="97"/>
        <v>0</v>
      </c>
      <c r="AB285" s="21" t="str">
        <f t="shared" si="98"/>
        <v>#DIV/0!</v>
      </c>
      <c r="AC285" s="2"/>
    </row>
    <row r="286">
      <c r="A286" s="17" t="s">
        <v>43</v>
      </c>
      <c r="B286" s="22">
        <f t="shared" ref="B286:Z286" si="99">SUM(B282:B285)</f>
        <v>0</v>
      </c>
      <c r="C286" s="22">
        <f t="shared" si="99"/>
        <v>0</v>
      </c>
      <c r="D286" s="22">
        <f t="shared" si="99"/>
        <v>0</v>
      </c>
      <c r="E286" s="22">
        <f t="shared" si="99"/>
        <v>0</v>
      </c>
      <c r="F286" s="22">
        <f t="shared" si="99"/>
        <v>0</v>
      </c>
      <c r="G286" s="22">
        <f t="shared" si="99"/>
        <v>0</v>
      </c>
      <c r="H286" s="22">
        <f t="shared" si="99"/>
        <v>0</v>
      </c>
      <c r="I286" s="22">
        <f t="shared" si="99"/>
        <v>0</v>
      </c>
      <c r="J286" s="22">
        <f t="shared" si="99"/>
        <v>0</v>
      </c>
      <c r="K286" s="22">
        <f t="shared" si="99"/>
        <v>0</v>
      </c>
      <c r="L286" s="22">
        <f t="shared" si="99"/>
        <v>0</v>
      </c>
      <c r="M286" s="22">
        <f t="shared" si="99"/>
        <v>0</v>
      </c>
      <c r="N286" s="22">
        <f t="shared" si="99"/>
        <v>0</v>
      </c>
      <c r="O286" s="22">
        <f t="shared" si="99"/>
        <v>0</v>
      </c>
      <c r="P286" s="22">
        <f t="shared" si="99"/>
        <v>0</v>
      </c>
      <c r="Q286" s="22">
        <f t="shared" si="99"/>
        <v>0</v>
      </c>
      <c r="R286" s="22">
        <f t="shared" si="99"/>
        <v>0</v>
      </c>
      <c r="S286" s="22">
        <f t="shared" si="99"/>
        <v>0</v>
      </c>
      <c r="T286" s="22">
        <f t="shared" si="99"/>
        <v>0</v>
      </c>
      <c r="U286" s="22">
        <f t="shared" si="99"/>
        <v>0</v>
      </c>
      <c r="V286" s="22">
        <f t="shared" si="99"/>
        <v>0</v>
      </c>
      <c r="W286" s="22">
        <f t="shared" si="99"/>
        <v>0</v>
      </c>
      <c r="X286" s="22">
        <f t="shared" si="99"/>
        <v>0</v>
      </c>
      <c r="Y286" s="22">
        <f t="shared" si="99"/>
        <v>0</v>
      </c>
      <c r="Z286" s="22">
        <f t="shared" si="99"/>
        <v>0</v>
      </c>
      <c r="AA286" s="20">
        <f t="shared" si="97"/>
        <v>0</v>
      </c>
      <c r="AB286" s="23"/>
      <c r="AC286" s="2"/>
    </row>
    <row r="287">
      <c r="A287" s="17" t="s">
        <v>38</v>
      </c>
      <c r="B287" s="24" t="str">
        <f t="shared" ref="B287:Z287" si="100">B286/(COUNT(B282:B285)*1)</f>
        <v>#DIV/0!</v>
      </c>
      <c r="C287" s="24" t="str">
        <f t="shared" si="100"/>
        <v>#DIV/0!</v>
      </c>
      <c r="D287" s="24" t="str">
        <f t="shared" si="100"/>
        <v>#DIV/0!</v>
      </c>
      <c r="E287" s="24" t="str">
        <f t="shared" si="100"/>
        <v>#DIV/0!</v>
      </c>
      <c r="F287" s="24" t="str">
        <f t="shared" si="100"/>
        <v>#DIV/0!</v>
      </c>
      <c r="G287" s="24" t="str">
        <f t="shared" si="100"/>
        <v>#DIV/0!</v>
      </c>
      <c r="H287" s="24" t="str">
        <f t="shared" si="100"/>
        <v>#DIV/0!</v>
      </c>
      <c r="I287" s="24" t="str">
        <f t="shared" si="100"/>
        <v>#DIV/0!</v>
      </c>
      <c r="J287" s="24" t="str">
        <f t="shared" si="100"/>
        <v>#DIV/0!</v>
      </c>
      <c r="K287" s="24" t="str">
        <f t="shared" si="100"/>
        <v>#DIV/0!</v>
      </c>
      <c r="L287" s="24" t="str">
        <f t="shared" si="100"/>
        <v>#DIV/0!</v>
      </c>
      <c r="M287" s="24" t="str">
        <f t="shared" si="100"/>
        <v>#DIV/0!</v>
      </c>
      <c r="N287" s="24" t="str">
        <f t="shared" si="100"/>
        <v>#DIV/0!</v>
      </c>
      <c r="O287" s="24" t="str">
        <f t="shared" si="100"/>
        <v>#DIV/0!</v>
      </c>
      <c r="P287" s="24" t="str">
        <f t="shared" si="100"/>
        <v>#DIV/0!</v>
      </c>
      <c r="Q287" s="24" t="str">
        <f t="shared" si="100"/>
        <v>#DIV/0!</v>
      </c>
      <c r="R287" s="24" t="str">
        <f t="shared" si="100"/>
        <v>#DIV/0!</v>
      </c>
      <c r="S287" s="24" t="str">
        <f t="shared" si="100"/>
        <v>#DIV/0!</v>
      </c>
      <c r="T287" s="24" t="str">
        <f t="shared" si="100"/>
        <v>#DIV/0!</v>
      </c>
      <c r="U287" s="24" t="str">
        <f t="shared" si="100"/>
        <v>#DIV/0!</v>
      </c>
      <c r="V287" s="24" t="str">
        <f t="shared" si="100"/>
        <v>#DIV/0!</v>
      </c>
      <c r="W287" s="24" t="str">
        <f t="shared" si="100"/>
        <v>#DIV/0!</v>
      </c>
      <c r="X287" s="24" t="str">
        <f t="shared" si="100"/>
        <v>#DIV/0!</v>
      </c>
      <c r="Y287" s="24" t="str">
        <f t="shared" si="100"/>
        <v>#DIV/0!</v>
      </c>
      <c r="Z287" s="24" t="str">
        <f t="shared" si="100"/>
        <v>#DIV/0!</v>
      </c>
      <c r="AA287" s="25"/>
      <c r="AB287" s="26" t="str">
        <f>SUM(AB282:AB285)/4</f>
        <v>#DIV/0!</v>
      </c>
      <c r="AC287" s="2"/>
    </row>
    <row r="288">
      <c r="A288" s="27" t="s">
        <v>44</v>
      </c>
      <c r="B288" s="28"/>
      <c r="C288" s="29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30">
        <f t="shared" ref="AA288:AA290" si="101">SUM(B288:Z288)</f>
        <v>0</v>
      </c>
      <c r="AB288" s="31"/>
      <c r="AC288" s="2"/>
    </row>
    <row r="289">
      <c r="A289" s="32" t="s">
        <v>45</v>
      </c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28"/>
      <c r="W289" s="28"/>
      <c r="X289" s="28"/>
      <c r="Y289" s="28"/>
      <c r="Z289" s="28"/>
      <c r="AA289" s="30">
        <f t="shared" si="101"/>
        <v>0</v>
      </c>
      <c r="AB289" s="31"/>
      <c r="AC289" s="9"/>
    </row>
    <row r="290">
      <c r="A290" s="34" t="s">
        <v>46</v>
      </c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28"/>
      <c r="W290" s="28"/>
      <c r="X290" s="28"/>
      <c r="Y290" s="28"/>
      <c r="Z290" s="28"/>
      <c r="AA290" s="30">
        <f t="shared" si="101"/>
        <v>0</v>
      </c>
      <c r="AB290" s="31"/>
      <c r="AC290" s="9"/>
    </row>
    <row r="291">
      <c r="A291" s="35" t="s">
        <v>47</v>
      </c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7"/>
      <c r="AA291" s="38"/>
      <c r="AB291" s="39"/>
      <c r="AC291" s="2"/>
    </row>
    <row r="292">
      <c r="A292" s="40" t="s">
        <v>48</v>
      </c>
      <c r="B292" s="41"/>
      <c r="C292" s="42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3"/>
      <c r="W292" s="43"/>
      <c r="X292" s="43"/>
      <c r="Y292" s="43"/>
      <c r="Z292" s="43"/>
      <c r="AA292" s="44">
        <f t="shared" ref="AA292:AA293" si="102">SUM(B292:Z292)</f>
        <v>0</v>
      </c>
      <c r="AB292" s="31"/>
      <c r="AC292" s="2"/>
    </row>
    <row r="293">
      <c r="A293" s="40" t="s">
        <v>49</v>
      </c>
      <c r="B293" s="41"/>
      <c r="C293" s="42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3"/>
      <c r="W293" s="43"/>
      <c r="X293" s="43"/>
      <c r="Y293" s="43"/>
      <c r="Z293" s="43"/>
      <c r="AA293" s="44">
        <f t="shared" si="102"/>
        <v>0</v>
      </c>
      <c r="AB293" s="31"/>
      <c r="AC293" s="2"/>
    </row>
    <row r="294">
      <c r="A294" s="40" t="s">
        <v>50</v>
      </c>
      <c r="B294" s="42"/>
      <c r="C294" s="42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3"/>
      <c r="W294" s="43"/>
      <c r="X294" s="43"/>
      <c r="Y294" s="43"/>
      <c r="Z294" s="43"/>
      <c r="AA294" s="44" t="str">
        <f>AVERAGE(B294:Z294)</f>
        <v>#DIV/0!</v>
      </c>
      <c r="AB294" s="31"/>
      <c r="AC294" s="2"/>
    </row>
    <row r="295">
      <c r="A295" s="45" t="s">
        <v>51</v>
      </c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7"/>
      <c r="AA295" s="46"/>
      <c r="AB295" s="39"/>
      <c r="AC295" s="2"/>
    </row>
    <row r="296">
      <c r="A296" s="47" t="s">
        <v>48</v>
      </c>
      <c r="B296" s="48"/>
      <c r="C296" s="49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50"/>
      <c r="W296" s="50"/>
      <c r="X296" s="50"/>
      <c r="Y296" s="50"/>
      <c r="Z296" s="50"/>
      <c r="AA296" s="51">
        <f t="shared" ref="AA296:AA297" si="103">SUM(B296:Z296)</f>
        <v>0</v>
      </c>
      <c r="AB296" s="31"/>
      <c r="AC296" s="2"/>
    </row>
    <row r="297">
      <c r="A297" s="47" t="s">
        <v>49</v>
      </c>
      <c r="B297" s="48"/>
      <c r="C297" s="49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50"/>
      <c r="W297" s="50"/>
      <c r="X297" s="50"/>
      <c r="Y297" s="50"/>
      <c r="Z297" s="50"/>
      <c r="AA297" s="51">
        <f t="shared" si="103"/>
        <v>0</v>
      </c>
      <c r="AB297" s="31"/>
      <c r="AC297" s="2"/>
    </row>
    <row r="298">
      <c r="A298" s="47" t="s">
        <v>50</v>
      </c>
      <c r="B298" s="49"/>
      <c r="C298" s="49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50"/>
      <c r="W298" s="50"/>
      <c r="X298" s="50"/>
      <c r="Y298" s="50"/>
      <c r="Z298" s="50"/>
      <c r="AA298" s="51" t="str">
        <f>AVERAGE(B298:Z298)</f>
        <v>#DIV/0!</v>
      </c>
      <c r="AB298" s="31"/>
      <c r="AC298" s="2"/>
    </row>
    <row r="299">
      <c r="A299" s="52" t="s">
        <v>53</v>
      </c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7"/>
      <c r="AA299" s="38"/>
      <c r="AB299" s="39"/>
      <c r="AC299" s="2"/>
    </row>
    <row r="300">
      <c r="A300" s="40" t="s">
        <v>48</v>
      </c>
      <c r="B300" s="41"/>
      <c r="C300" s="42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3"/>
      <c r="W300" s="43"/>
      <c r="X300" s="43"/>
      <c r="Y300" s="43"/>
      <c r="Z300" s="43"/>
      <c r="AA300" s="44">
        <f t="shared" ref="AA300:AA301" si="104">SUM(B300:Z300)</f>
        <v>0</v>
      </c>
      <c r="AB300" s="31"/>
      <c r="AC300" s="2"/>
    </row>
    <row r="301">
      <c r="A301" s="40" t="s">
        <v>49</v>
      </c>
      <c r="B301" s="41"/>
      <c r="C301" s="42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3"/>
      <c r="W301" s="43"/>
      <c r="X301" s="43"/>
      <c r="Y301" s="43"/>
      <c r="Z301" s="43"/>
      <c r="AA301" s="44">
        <f t="shared" si="104"/>
        <v>0</v>
      </c>
      <c r="AB301" s="31"/>
      <c r="AC301" s="2"/>
    </row>
    <row r="302">
      <c r="A302" s="53" t="s">
        <v>50</v>
      </c>
      <c r="B302" s="54"/>
      <c r="C302" s="54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6"/>
      <c r="W302" s="56"/>
      <c r="X302" s="56"/>
      <c r="Y302" s="56"/>
      <c r="Z302" s="56"/>
      <c r="AA302" s="57" t="str">
        <f>AVERAGE(B302:Z302)</f>
        <v>#DIV/0!</v>
      </c>
      <c r="AB302" s="58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59"/>
      <c r="AB303" s="59"/>
      <c r="AC303" s="2"/>
    </row>
    <row r="304">
      <c r="A304" s="71" t="s">
        <v>54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5" t="s">
        <v>37</v>
      </c>
      <c r="AB304" s="16" t="s">
        <v>38</v>
      </c>
      <c r="AC304" s="2"/>
    </row>
    <row r="305">
      <c r="A305" s="17" t="s">
        <v>39</v>
      </c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20">
        <f t="shared" ref="AA305:AA309" si="105">SUM(B305:Z305)</f>
        <v>0</v>
      </c>
      <c r="AB305" s="21" t="str">
        <f t="shared" ref="AB305:AB308" si="106">AA305/(COUNT(B305:Z305)*1)</f>
        <v>#DIV/0!</v>
      </c>
      <c r="AC305" s="2"/>
    </row>
    <row r="306">
      <c r="A306" s="17" t="s">
        <v>40</v>
      </c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20">
        <f t="shared" si="105"/>
        <v>0</v>
      </c>
      <c r="AB306" s="21" t="str">
        <f t="shared" si="106"/>
        <v>#DIV/0!</v>
      </c>
      <c r="AC306" s="2"/>
    </row>
    <row r="307">
      <c r="A307" s="17" t="s">
        <v>41</v>
      </c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20">
        <f t="shared" si="105"/>
        <v>0</v>
      </c>
      <c r="AB307" s="21" t="str">
        <f t="shared" si="106"/>
        <v>#DIV/0!</v>
      </c>
      <c r="AC307" s="2"/>
    </row>
    <row r="308">
      <c r="A308" s="17" t="s">
        <v>42</v>
      </c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20">
        <f t="shared" si="105"/>
        <v>0</v>
      </c>
      <c r="AB308" s="21" t="str">
        <f t="shared" si="106"/>
        <v>#DIV/0!</v>
      </c>
      <c r="AC308" s="2"/>
    </row>
    <row r="309">
      <c r="A309" s="17" t="s">
        <v>43</v>
      </c>
      <c r="B309" s="22">
        <f t="shared" ref="B309:Z309" si="107">SUM(B305:B308)</f>
        <v>0</v>
      </c>
      <c r="C309" s="22">
        <f t="shared" si="107"/>
        <v>0</v>
      </c>
      <c r="D309" s="22">
        <f t="shared" si="107"/>
        <v>0</v>
      </c>
      <c r="E309" s="22">
        <f t="shared" si="107"/>
        <v>0</v>
      </c>
      <c r="F309" s="22">
        <f t="shared" si="107"/>
        <v>0</v>
      </c>
      <c r="G309" s="22">
        <f t="shared" si="107"/>
        <v>0</v>
      </c>
      <c r="H309" s="22">
        <f t="shared" si="107"/>
        <v>0</v>
      </c>
      <c r="I309" s="22">
        <f t="shared" si="107"/>
        <v>0</v>
      </c>
      <c r="J309" s="22">
        <f t="shared" si="107"/>
        <v>0</v>
      </c>
      <c r="K309" s="22">
        <f t="shared" si="107"/>
        <v>0</v>
      </c>
      <c r="L309" s="22">
        <f t="shared" si="107"/>
        <v>0</v>
      </c>
      <c r="M309" s="22">
        <f t="shared" si="107"/>
        <v>0</v>
      </c>
      <c r="N309" s="22">
        <f t="shared" si="107"/>
        <v>0</v>
      </c>
      <c r="O309" s="22">
        <f t="shared" si="107"/>
        <v>0</v>
      </c>
      <c r="P309" s="22">
        <f t="shared" si="107"/>
        <v>0</v>
      </c>
      <c r="Q309" s="22">
        <f t="shared" si="107"/>
        <v>0</v>
      </c>
      <c r="R309" s="22">
        <f t="shared" si="107"/>
        <v>0</v>
      </c>
      <c r="S309" s="22">
        <f t="shared" si="107"/>
        <v>0</v>
      </c>
      <c r="T309" s="22">
        <f t="shared" si="107"/>
        <v>0</v>
      </c>
      <c r="U309" s="22">
        <f t="shared" si="107"/>
        <v>0</v>
      </c>
      <c r="V309" s="22">
        <f t="shared" si="107"/>
        <v>0</v>
      </c>
      <c r="W309" s="22">
        <f t="shared" si="107"/>
        <v>0</v>
      </c>
      <c r="X309" s="22">
        <f t="shared" si="107"/>
        <v>0</v>
      </c>
      <c r="Y309" s="22">
        <f t="shared" si="107"/>
        <v>0</v>
      </c>
      <c r="Z309" s="22">
        <f t="shared" si="107"/>
        <v>0</v>
      </c>
      <c r="AA309" s="20">
        <f t="shared" si="105"/>
        <v>0</v>
      </c>
      <c r="AB309" s="23"/>
      <c r="AC309" s="2"/>
    </row>
    <row r="310">
      <c r="A310" s="17" t="s">
        <v>38</v>
      </c>
      <c r="B310" s="24" t="str">
        <f t="shared" ref="B310:Z310" si="108">B309/(COUNT(B305:B308)*1)</f>
        <v>#DIV/0!</v>
      </c>
      <c r="C310" s="24" t="str">
        <f t="shared" si="108"/>
        <v>#DIV/0!</v>
      </c>
      <c r="D310" s="24" t="str">
        <f t="shared" si="108"/>
        <v>#DIV/0!</v>
      </c>
      <c r="E310" s="24" t="str">
        <f t="shared" si="108"/>
        <v>#DIV/0!</v>
      </c>
      <c r="F310" s="24" t="str">
        <f t="shared" si="108"/>
        <v>#DIV/0!</v>
      </c>
      <c r="G310" s="24" t="str">
        <f t="shared" si="108"/>
        <v>#DIV/0!</v>
      </c>
      <c r="H310" s="24" t="str">
        <f t="shared" si="108"/>
        <v>#DIV/0!</v>
      </c>
      <c r="I310" s="24" t="str">
        <f t="shared" si="108"/>
        <v>#DIV/0!</v>
      </c>
      <c r="J310" s="24" t="str">
        <f t="shared" si="108"/>
        <v>#DIV/0!</v>
      </c>
      <c r="K310" s="24" t="str">
        <f t="shared" si="108"/>
        <v>#DIV/0!</v>
      </c>
      <c r="L310" s="24" t="str">
        <f t="shared" si="108"/>
        <v>#DIV/0!</v>
      </c>
      <c r="M310" s="24" t="str">
        <f t="shared" si="108"/>
        <v>#DIV/0!</v>
      </c>
      <c r="N310" s="24" t="str">
        <f t="shared" si="108"/>
        <v>#DIV/0!</v>
      </c>
      <c r="O310" s="24" t="str">
        <f t="shared" si="108"/>
        <v>#DIV/0!</v>
      </c>
      <c r="P310" s="24" t="str">
        <f t="shared" si="108"/>
        <v>#DIV/0!</v>
      </c>
      <c r="Q310" s="24" t="str">
        <f t="shared" si="108"/>
        <v>#DIV/0!</v>
      </c>
      <c r="R310" s="24" t="str">
        <f t="shared" si="108"/>
        <v>#DIV/0!</v>
      </c>
      <c r="S310" s="24" t="str">
        <f t="shared" si="108"/>
        <v>#DIV/0!</v>
      </c>
      <c r="T310" s="24" t="str">
        <f t="shared" si="108"/>
        <v>#DIV/0!</v>
      </c>
      <c r="U310" s="24" t="str">
        <f t="shared" si="108"/>
        <v>#DIV/0!</v>
      </c>
      <c r="V310" s="24" t="str">
        <f t="shared" si="108"/>
        <v>#DIV/0!</v>
      </c>
      <c r="W310" s="24" t="str">
        <f t="shared" si="108"/>
        <v>#DIV/0!</v>
      </c>
      <c r="X310" s="24" t="str">
        <f t="shared" si="108"/>
        <v>#DIV/0!</v>
      </c>
      <c r="Y310" s="24" t="str">
        <f t="shared" si="108"/>
        <v>#DIV/0!</v>
      </c>
      <c r="Z310" s="24" t="str">
        <f t="shared" si="108"/>
        <v>#DIV/0!</v>
      </c>
      <c r="AA310" s="25"/>
      <c r="AB310" s="26" t="str">
        <f>SUM(AB305:AB308)/4</f>
        <v>#DIV/0!</v>
      </c>
      <c r="AC310" s="2"/>
    </row>
    <row r="311">
      <c r="A311" s="27" t="s">
        <v>44</v>
      </c>
      <c r="B311" s="28"/>
      <c r="C311" s="29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30">
        <f t="shared" ref="AA311:AA313" si="109">SUM(B311:Z311)</f>
        <v>0</v>
      </c>
      <c r="AB311" s="31"/>
      <c r="AC311" s="2"/>
    </row>
    <row r="312">
      <c r="A312" s="32" t="s">
        <v>45</v>
      </c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28"/>
      <c r="W312" s="28"/>
      <c r="X312" s="28"/>
      <c r="Y312" s="28"/>
      <c r="Z312" s="28"/>
      <c r="AA312" s="30">
        <f t="shared" si="109"/>
        <v>0</v>
      </c>
      <c r="AB312" s="31"/>
      <c r="AC312" s="9"/>
    </row>
    <row r="313">
      <c r="A313" s="34" t="s">
        <v>46</v>
      </c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28"/>
      <c r="W313" s="28"/>
      <c r="X313" s="28"/>
      <c r="Y313" s="28"/>
      <c r="Z313" s="28"/>
      <c r="AA313" s="30">
        <f t="shared" si="109"/>
        <v>0</v>
      </c>
      <c r="AB313" s="31"/>
      <c r="AC313" s="9"/>
    </row>
    <row r="314">
      <c r="A314" s="35" t="s">
        <v>47</v>
      </c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7"/>
      <c r="AA314" s="38"/>
      <c r="AB314" s="39"/>
      <c r="AC314" s="2"/>
    </row>
    <row r="315">
      <c r="A315" s="40" t="s">
        <v>48</v>
      </c>
      <c r="B315" s="41"/>
      <c r="C315" s="42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3"/>
      <c r="W315" s="43"/>
      <c r="X315" s="43"/>
      <c r="Y315" s="43"/>
      <c r="Z315" s="43"/>
      <c r="AA315" s="44">
        <f t="shared" ref="AA315:AA316" si="110">SUM(B315:Z315)</f>
        <v>0</v>
      </c>
      <c r="AB315" s="31"/>
      <c r="AC315" s="2"/>
    </row>
    <row r="316">
      <c r="A316" s="40" t="s">
        <v>49</v>
      </c>
      <c r="B316" s="41"/>
      <c r="C316" s="42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3"/>
      <c r="W316" s="43"/>
      <c r="X316" s="43"/>
      <c r="Y316" s="43"/>
      <c r="Z316" s="43"/>
      <c r="AA316" s="44">
        <f t="shared" si="110"/>
        <v>0</v>
      </c>
      <c r="AB316" s="31"/>
      <c r="AC316" s="2"/>
    </row>
    <row r="317">
      <c r="A317" s="40" t="s">
        <v>50</v>
      </c>
      <c r="B317" s="42"/>
      <c r="C317" s="42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3"/>
      <c r="W317" s="43"/>
      <c r="X317" s="43"/>
      <c r="Y317" s="43"/>
      <c r="Z317" s="43"/>
      <c r="AA317" s="44" t="str">
        <f>AVERAGE(B317:Z317)</f>
        <v>#DIV/0!</v>
      </c>
      <c r="AB317" s="31"/>
      <c r="AC317" s="2"/>
    </row>
    <row r="318">
      <c r="A318" s="45" t="s">
        <v>51</v>
      </c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7"/>
      <c r="AA318" s="46"/>
      <c r="AB318" s="39"/>
      <c r="AC318" s="2"/>
    </row>
    <row r="319">
      <c r="A319" s="47" t="s">
        <v>48</v>
      </c>
      <c r="B319" s="48"/>
      <c r="C319" s="49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50"/>
      <c r="W319" s="50"/>
      <c r="X319" s="50"/>
      <c r="Y319" s="50"/>
      <c r="Z319" s="50"/>
      <c r="AA319" s="51">
        <f t="shared" ref="AA319:AA320" si="111">SUM(B319:Z319)</f>
        <v>0</v>
      </c>
      <c r="AB319" s="31"/>
      <c r="AC319" s="2"/>
    </row>
    <row r="320">
      <c r="A320" s="47" t="s">
        <v>49</v>
      </c>
      <c r="B320" s="48"/>
      <c r="C320" s="49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50"/>
      <c r="W320" s="50"/>
      <c r="X320" s="50"/>
      <c r="Y320" s="50"/>
      <c r="Z320" s="50"/>
      <c r="AA320" s="51">
        <f t="shared" si="111"/>
        <v>0</v>
      </c>
      <c r="AB320" s="31"/>
      <c r="AC320" s="2"/>
    </row>
    <row r="321">
      <c r="A321" s="47" t="s">
        <v>50</v>
      </c>
      <c r="B321" s="49"/>
      <c r="C321" s="49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50"/>
      <c r="W321" s="50"/>
      <c r="X321" s="50"/>
      <c r="Y321" s="50"/>
      <c r="Z321" s="50"/>
      <c r="AA321" s="51" t="str">
        <f>AVERAGE(B321:Z321)</f>
        <v>#DIV/0!</v>
      </c>
      <c r="AB321" s="31"/>
      <c r="AC321" s="2"/>
    </row>
    <row r="322">
      <c r="A322" s="52" t="s">
        <v>53</v>
      </c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7"/>
      <c r="AA322" s="38"/>
      <c r="AB322" s="39"/>
      <c r="AC322" s="2"/>
    </row>
    <row r="323">
      <c r="A323" s="40" t="s">
        <v>48</v>
      </c>
      <c r="B323" s="41"/>
      <c r="C323" s="42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3"/>
      <c r="W323" s="43"/>
      <c r="X323" s="43"/>
      <c r="Y323" s="43"/>
      <c r="Z323" s="43"/>
      <c r="AA323" s="44">
        <f t="shared" ref="AA323:AA324" si="112">SUM(B323:Z323)</f>
        <v>0</v>
      </c>
      <c r="AB323" s="31"/>
      <c r="AC323" s="2"/>
    </row>
    <row r="324">
      <c r="A324" s="40" t="s">
        <v>49</v>
      </c>
      <c r="B324" s="41"/>
      <c r="C324" s="42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3"/>
      <c r="W324" s="43"/>
      <c r="X324" s="43"/>
      <c r="Y324" s="43"/>
      <c r="Z324" s="43"/>
      <c r="AA324" s="44">
        <f t="shared" si="112"/>
        <v>0</v>
      </c>
      <c r="AB324" s="31"/>
      <c r="AC324" s="2"/>
    </row>
    <row r="325">
      <c r="A325" s="53" t="s">
        <v>50</v>
      </c>
      <c r="B325" s="54"/>
      <c r="C325" s="54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6"/>
      <c r="W325" s="56"/>
      <c r="X325" s="56"/>
      <c r="Y325" s="56"/>
      <c r="Z325" s="56"/>
      <c r="AA325" s="57" t="str">
        <f>AVERAGE(B325:Z325)</f>
        <v>#DIV/0!</v>
      </c>
      <c r="AB325" s="58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59"/>
      <c r="AB326" s="59"/>
      <c r="AC326" s="2"/>
    </row>
    <row r="327">
      <c r="A327" s="71" t="s">
        <v>54</v>
      </c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 t="s">
        <v>37</v>
      </c>
      <c r="AB327" s="16" t="s">
        <v>38</v>
      </c>
      <c r="AC327" s="2"/>
    </row>
    <row r="328">
      <c r="A328" s="17" t="s">
        <v>39</v>
      </c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20">
        <f t="shared" ref="AA328:AA332" si="113">SUM(B328:Z328)</f>
        <v>0</v>
      </c>
      <c r="AB328" s="21" t="str">
        <f t="shared" ref="AB328:AB331" si="114">AA328/(COUNT(B328:Z328)*1)</f>
        <v>#DIV/0!</v>
      </c>
      <c r="AC328" s="2"/>
    </row>
    <row r="329">
      <c r="A329" s="17" t="s">
        <v>40</v>
      </c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20">
        <f t="shared" si="113"/>
        <v>0</v>
      </c>
      <c r="AB329" s="21" t="str">
        <f t="shared" si="114"/>
        <v>#DIV/0!</v>
      </c>
      <c r="AC329" s="2"/>
    </row>
    <row r="330">
      <c r="A330" s="17" t="s">
        <v>41</v>
      </c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20">
        <f t="shared" si="113"/>
        <v>0</v>
      </c>
      <c r="AB330" s="21" t="str">
        <f t="shared" si="114"/>
        <v>#DIV/0!</v>
      </c>
      <c r="AC330" s="2"/>
    </row>
    <row r="331">
      <c r="A331" s="17" t="s">
        <v>42</v>
      </c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20">
        <f t="shared" si="113"/>
        <v>0</v>
      </c>
      <c r="AB331" s="21" t="str">
        <f t="shared" si="114"/>
        <v>#DIV/0!</v>
      </c>
      <c r="AC331" s="2"/>
    </row>
    <row r="332">
      <c r="A332" s="17" t="s">
        <v>43</v>
      </c>
      <c r="B332" s="22">
        <f t="shared" ref="B332:Z332" si="115">SUM(B328:B331)</f>
        <v>0</v>
      </c>
      <c r="C332" s="22">
        <f t="shared" si="115"/>
        <v>0</v>
      </c>
      <c r="D332" s="22">
        <f t="shared" si="115"/>
        <v>0</v>
      </c>
      <c r="E332" s="22">
        <f t="shared" si="115"/>
        <v>0</v>
      </c>
      <c r="F332" s="22">
        <f t="shared" si="115"/>
        <v>0</v>
      </c>
      <c r="G332" s="22">
        <f t="shared" si="115"/>
        <v>0</v>
      </c>
      <c r="H332" s="22">
        <f t="shared" si="115"/>
        <v>0</v>
      </c>
      <c r="I332" s="22">
        <f t="shared" si="115"/>
        <v>0</v>
      </c>
      <c r="J332" s="22">
        <f t="shared" si="115"/>
        <v>0</v>
      </c>
      <c r="K332" s="22">
        <f t="shared" si="115"/>
        <v>0</v>
      </c>
      <c r="L332" s="22">
        <f t="shared" si="115"/>
        <v>0</v>
      </c>
      <c r="M332" s="22">
        <f t="shared" si="115"/>
        <v>0</v>
      </c>
      <c r="N332" s="22">
        <f t="shared" si="115"/>
        <v>0</v>
      </c>
      <c r="O332" s="22">
        <f t="shared" si="115"/>
        <v>0</v>
      </c>
      <c r="P332" s="22">
        <f t="shared" si="115"/>
        <v>0</v>
      </c>
      <c r="Q332" s="22">
        <f t="shared" si="115"/>
        <v>0</v>
      </c>
      <c r="R332" s="22">
        <f t="shared" si="115"/>
        <v>0</v>
      </c>
      <c r="S332" s="22">
        <f t="shared" si="115"/>
        <v>0</v>
      </c>
      <c r="T332" s="22">
        <f t="shared" si="115"/>
        <v>0</v>
      </c>
      <c r="U332" s="22">
        <f t="shared" si="115"/>
        <v>0</v>
      </c>
      <c r="V332" s="22">
        <f t="shared" si="115"/>
        <v>0</v>
      </c>
      <c r="W332" s="22">
        <f t="shared" si="115"/>
        <v>0</v>
      </c>
      <c r="X332" s="22">
        <f t="shared" si="115"/>
        <v>0</v>
      </c>
      <c r="Y332" s="22">
        <f t="shared" si="115"/>
        <v>0</v>
      </c>
      <c r="Z332" s="22">
        <f t="shared" si="115"/>
        <v>0</v>
      </c>
      <c r="AA332" s="20">
        <f t="shared" si="113"/>
        <v>0</v>
      </c>
      <c r="AB332" s="23"/>
      <c r="AC332" s="2"/>
    </row>
    <row r="333">
      <c r="A333" s="17" t="s">
        <v>38</v>
      </c>
      <c r="B333" s="24" t="str">
        <f t="shared" ref="B333:Z333" si="116">B332/(COUNT(B328:B331)*1)</f>
        <v>#DIV/0!</v>
      </c>
      <c r="C333" s="24" t="str">
        <f t="shared" si="116"/>
        <v>#DIV/0!</v>
      </c>
      <c r="D333" s="24" t="str">
        <f t="shared" si="116"/>
        <v>#DIV/0!</v>
      </c>
      <c r="E333" s="24" t="str">
        <f t="shared" si="116"/>
        <v>#DIV/0!</v>
      </c>
      <c r="F333" s="24" t="str">
        <f t="shared" si="116"/>
        <v>#DIV/0!</v>
      </c>
      <c r="G333" s="24" t="str">
        <f t="shared" si="116"/>
        <v>#DIV/0!</v>
      </c>
      <c r="H333" s="24" t="str">
        <f t="shared" si="116"/>
        <v>#DIV/0!</v>
      </c>
      <c r="I333" s="24" t="str">
        <f t="shared" si="116"/>
        <v>#DIV/0!</v>
      </c>
      <c r="J333" s="24" t="str">
        <f t="shared" si="116"/>
        <v>#DIV/0!</v>
      </c>
      <c r="K333" s="24" t="str">
        <f t="shared" si="116"/>
        <v>#DIV/0!</v>
      </c>
      <c r="L333" s="24" t="str">
        <f t="shared" si="116"/>
        <v>#DIV/0!</v>
      </c>
      <c r="M333" s="24" t="str">
        <f t="shared" si="116"/>
        <v>#DIV/0!</v>
      </c>
      <c r="N333" s="24" t="str">
        <f t="shared" si="116"/>
        <v>#DIV/0!</v>
      </c>
      <c r="O333" s="24" t="str">
        <f t="shared" si="116"/>
        <v>#DIV/0!</v>
      </c>
      <c r="P333" s="24" t="str">
        <f t="shared" si="116"/>
        <v>#DIV/0!</v>
      </c>
      <c r="Q333" s="24" t="str">
        <f t="shared" si="116"/>
        <v>#DIV/0!</v>
      </c>
      <c r="R333" s="24" t="str">
        <f t="shared" si="116"/>
        <v>#DIV/0!</v>
      </c>
      <c r="S333" s="24" t="str">
        <f t="shared" si="116"/>
        <v>#DIV/0!</v>
      </c>
      <c r="T333" s="24" t="str">
        <f t="shared" si="116"/>
        <v>#DIV/0!</v>
      </c>
      <c r="U333" s="24" t="str">
        <f t="shared" si="116"/>
        <v>#DIV/0!</v>
      </c>
      <c r="V333" s="24" t="str">
        <f t="shared" si="116"/>
        <v>#DIV/0!</v>
      </c>
      <c r="W333" s="24" t="str">
        <f t="shared" si="116"/>
        <v>#DIV/0!</v>
      </c>
      <c r="X333" s="24" t="str">
        <f t="shared" si="116"/>
        <v>#DIV/0!</v>
      </c>
      <c r="Y333" s="24" t="str">
        <f t="shared" si="116"/>
        <v>#DIV/0!</v>
      </c>
      <c r="Z333" s="24" t="str">
        <f t="shared" si="116"/>
        <v>#DIV/0!</v>
      </c>
      <c r="AA333" s="25"/>
      <c r="AB333" s="26" t="str">
        <f>SUM(AB328:AB331)/4</f>
        <v>#DIV/0!</v>
      </c>
      <c r="AC333" s="2"/>
    </row>
    <row r="334">
      <c r="A334" s="27" t="s">
        <v>44</v>
      </c>
      <c r="B334" s="28"/>
      <c r="C334" s="29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30">
        <f t="shared" ref="AA334:AA336" si="117">SUM(B334:Z334)</f>
        <v>0</v>
      </c>
      <c r="AB334" s="31"/>
      <c r="AC334" s="2"/>
    </row>
    <row r="335">
      <c r="A335" s="32" t="s">
        <v>45</v>
      </c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28"/>
      <c r="W335" s="28"/>
      <c r="X335" s="28"/>
      <c r="Y335" s="28"/>
      <c r="Z335" s="28"/>
      <c r="AA335" s="30">
        <f t="shared" si="117"/>
        <v>0</v>
      </c>
      <c r="AB335" s="31"/>
      <c r="AC335" s="9"/>
    </row>
    <row r="336">
      <c r="A336" s="34" t="s">
        <v>46</v>
      </c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28"/>
      <c r="W336" s="28"/>
      <c r="X336" s="28"/>
      <c r="Y336" s="28"/>
      <c r="Z336" s="28"/>
      <c r="AA336" s="30">
        <f t="shared" si="117"/>
        <v>0</v>
      </c>
      <c r="AB336" s="31"/>
      <c r="AC336" s="9"/>
    </row>
    <row r="337">
      <c r="A337" s="35" t="s">
        <v>47</v>
      </c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7"/>
      <c r="AA337" s="38"/>
      <c r="AB337" s="39"/>
      <c r="AC337" s="2"/>
    </row>
    <row r="338">
      <c r="A338" s="40" t="s">
        <v>48</v>
      </c>
      <c r="B338" s="41"/>
      <c r="C338" s="42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3"/>
      <c r="W338" s="43"/>
      <c r="X338" s="43"/>
      <c r="Y338" s="43"/>
      <c r="Z338" s="43"/>
      <c r="AA338" s="44">
        <f t="shared" ref="AA338:AA339" si="118">SUM(B338:Z338)</f>
        <v>0</v>
      </c>
      <c r="AB338" s="31"/>
      <c r="AC338" s="2"/>
    </row>
    <row r="339">
      <c r="A339" s="40" t="s">
        <v>49</v>
      </c>
      <c r="B339" s="41"/>
      <c r="C339" s="42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3"/>
      <c r="W339" s="43"/>
      <c r="X339" s="43"/>
      <c r="Y339" s="43"/>
      <c r="Z339" s="43"/>
      <c r="AA339" s="44">
        <f t="shared" si="118"/>
        <v>0</v>
      </c>
      <c r="AB339" s="31"/>
      <c r="AC339" s="2"/>
    </row>
    <row r="340">
      <c r="A340" s="40" t="s">
        <v>50</v>
      </c>
      <c r="B340" s="42"/>
      <c r="C340" s="42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3"/>
      <c r="W340" s="43"/>
      <c r="X340" s="43"/>
      <c r="Y340" s="43"/>
      <c r="Z340" s="43"/>
      <c r="AA340" s="44" t="str">
        <f>AVERAGE(B340:Z340)</f>
        <v>#DIV/0!</v>
      </c>
      <c r="AB340" s="31"/>
      <c r="AC340" s="2"/>
    </row>
    <row r="341">
      <c r="A341" s="45" t="s">
        <v>51</v>
      </c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7"/>
      <c r="AA341" s="46"/>
      <c r="AB341" s="39"/>
      <c r="AC341" s="2"/>
    </row>
    <row r="342">
      <c r="A342" s="47" t="s">
        <v>48</v>
      </c>
      <c r="B342" s="48"/>
      <c r="C342" s="49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50"/>
      <c r="W342" s="50"/>
      <c r="X342" s="50"/>
      <c r="Y342" s="50"/>
      <c r="Z342" s="50"/>
      <c r="AA342" s="51">
        <f t="shared" ref="AA342:AA343" si="119">SUM(B342:Z342)</f>
        <v>0</v>
      </c>
      <c r="AB342" s="31"/>
      <c r="AC342" s="2"/>
    </row>
    <row r="343">
      <c r="A343" s="47" t="s">
        <v>49</v>
      </c>
      <c r="B343" s="48"/>
      <c r="C343" s="49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50"/>
      <c r="W343" s="50"/>
      <c r="X343" s="50"/>
      <c r="Y343" s="50"/>
      <c r="Z343" s="50"/>
      <c r="AA343" s="51">
        <f t="shared" si="119"/>
        <v>0</v>
      </c>
      <c r="AB343" s="31"/>
      <c r="AC343" s="2"/>
    </row>
    <row r="344">
      <c r="A344" s="47" t="s">
        <v>50</v>
      </c>
      <c r="B344" s="49"/>
      <c r="C344" s="49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50"/>
      <c r="W344" s="50"/>
      <c r="X344" s="50"/>
      <c r="Y344" s="50"/>
      <c r="Z344" s="50"/>
      <c r="AA344" s="51" t="str">
        <f>AVERAGE(B344:Z344)</f>
        <v>#DIV/0!</v>
      </c>
      <c r="AB344" s="31"/>
      <c r="AC344" s="2"/>
    </row>
    <row r="345">
      <c r="A345" s="52" t="s">
        <v>53</v>
      </c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7"/>
      <c r="AA345" s="38"/>
      <c r="AB345" s="39"/>
      <c r="AC345" s="2"/>
    </row>
    <row r="346">
      <c r="A346" s="40" t="s">
        <v>48</v>
      </c>
      <c r="B346" s="41"/>
      <c r="C346" s="42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3"/>
      <c r="W346" s="43"/>
      <c r="X346" s="43"/>
      <c r="Y346" s="43"/>
      <c r="Z346" s="43"/>
      <c r="AA346" s="44">
        <f t="shared" ref="AA346:AA347" si="120">SUM(B346:Z346)</f>
        <v>0</v>
      </c>
      <c r="AB346" s="31"/>
      <c r="AC346" s="2"/>
    </row>
    <row r="347">
      <c r="A347" s="40" t="s">
        <v>49</v>
      </c>
      <c r="B347" s="41"/>
      <c r="C347" s="42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3"/>
      <c r="W347" s="43"/>
      <c r="X347" s="43"/>
      <c r="Y347" s="43"/>
      <c r="Z347" s="43"/>
      <c r="AA347" s="44">
        <f t="shared" si="120"/>
        <v>0</v>
      </c>
      <c r="AB347" s="31"/>
      <c r="AC347" s="2"/>
    </row>
    <row r="348">
      <c r="A348" s="53" t="s">
        <v>50</v>
      </c>
      <c r="B348" s="54"/>
      <c r="C348" s="54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6"/>
      <c r="W348" s="56"/>
      <c r="X348" s="56"/>
      <c r="Y348" s="56"/>
      <c r="Z348" s="56"/>
      <c r="AA348" s="57" t="str">
        <f>AVERAGE(B348:Z348)</f>
        <v>#DIV/0!</v>
      </c>
      <c r="AB348" s="58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59"/>
      <c r="AB349" s="59"/>
      <c r="AC349" s="2"/>
    </row>
    <row r="350">
      <c r="A350" s="71" t="s">
        <v>54</v>
      </c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5" t="s">
        <v>37</v>
      </c>
      <c r="AB350" s="16" t="s">
        <v>38</v>
      </c>
      <c r="AC350" s="2"/>
    </row>
    <row r="351">
      <c r="A351" s="17" t="s">
        <v>39</v>
      </c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20">
        <f t="shared" ref="AA351:AA355" si="121">SUM(B351:Z351)</f>
        <v>0</v>
      </c>
      <c r="AB351" s="21" t="str">
        <f t="shared" ref="AB351:AB354" si="122">AA351/(COUNT(B351:Z351)*1)</f>
        <v>#DIV/0!</v>
      </c>
      <c r="AC351" s="2"/>
    </row>
    <row r="352">
      <c r="A352" s="17" t="s">
        <v>40</v>
      </c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20">
        <f t="shared" si="121"/>
        <v>0</v>
      </c>
      <c r="AB352" s="21" t="str">
        <f t="shared" si="122"/>
        <v>#DIV/0!</v>
      </c>
      <c r="AC352" s="2"/>
    </row>
    <row r="353">
      <c r="A353" s="17" t="s">
        <v>41</v>
      </c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20">
        <f t="shared" si="121"/>
        <v>0</v>
      </c>
      <c r="AB353" s="21" t="str">
        <f t="shared" si="122"/>
        <v>#DIV/0!</v>
      </c>
      <c r="AC353" s="2"/>
    </row>
    <row r="354">
      <c r="A354" s="17" t="s">
        <v>42</v>
      </c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20">
        <f t="shared" si="121"/>
        <v>0</v>
      </c>
      <c r="AB354" s="21" t="str">
        <f t="shared" si="122"/>
        <v>#DIV/0!</v>
      </c>
      <c r="AC354" s="2"/>
    </row>
    <row r="355">
      <c r="A355" s="17" t="s">
        <v>43</v>
      </c>
      <c r="B355" s="22">
        <f t="shared" ref="B355:Z355" si="123">SUM(B351:B354)</f>
        <v>0</v>
      </c>
      <c r="C355" s="22">
        <f t="shared" si="123"/>
        <v>0</v>
      </c>
      <c r="D355" s="22">
        <f t="shared" si="123"/>
        <v>0</v>
      </c>
      <c r="E355" s="22">
        <f t="shared" si="123"/>
        <v>0</v>
      </c>
      <c r="F355" s="22">
        <f t="shared" si="123"/>
        <v>0</v>
      </c>
      <c r="G355" s="22">
        <f t="shared" si="123"/>
        <v>0</v>
      </c>
      <c r="H355" s="22">
        <f t="shared" si="123"/>
        <v>0</v>
      </c>
      <c r="I355" s="22">
        <f t="shared" si="123"/>
        <v>0</v>
      </c>
      <c r="J355" s="22">
        <f t="shared" si="123"/>
        <v>0</v>
      </c>
      <c r="K355" s="22">
        <f t="shared" si="123"/>
        <v>0</v>
      </c>
      <c r="L355" s="22">
        <f t="shared" si="123"/>
        <v>0</v>
      </c>
      <c r="M355" s="22">
        <f t="shared" si="123"/>
        <v>0</v>
      </c>
      <c r="N355" s="22">
        <f t="shared" si="123"/>
        <v>0</v>
      </c>
      <c r="O355" s="22">
        <f t="shared" si="123"/>
        <v>0</v>
      </c>
      <c r="P355" s="22">
        <f t="shared" si="123"/>
        <v>0</v>
      </c>
      <c r="Q355" s="22">
        <f t="shared" si="123"/>
        <v>0</v>
      </c>
      <c r="R355" s="22">
        <f t="shared" si="123"/>
        <v>0</v>
      </c>
      <c r="S355" s="22">
        <f t="shared" si="123"/>
        <v>0</v>
      </c>
      <c r="T355" s="22">
        <f t="shared" si="123"/>
        <v>0</v>
      </c>
      <c r="U355" s="22">
        <f t="shared" si="123"/>
        <v>0</v>
      </c>
      <c r="V355" s="22">
        <f t="shared" si="123"/>
        <v>0</v>
      </c>
      <c r="W355" s="22">
        <f t="shared" si="123"/>
        <v>0</v>
      </c>
      <c r="X355" s="22">
        <f t="shared" si="123"/>
        <v>0</v>
      </c>
      <c r="Y355" s="22">
        <f t="shared" si="123"/>
        <v>0</v>
      </c>
      <c r="Z355" s="22">
        <f t="shared" si="123"/>
        <v>0</v>
      </c>
      <c r="AA355" s="20">
        <f t="shared" si="121"/>
        <v>0</v>
      </c>
      <c r="AB355" s="23"/>
      <c r="AC355" s="2"/>
    </row>
    <row r="356">
      <c r="A356" s="17" t="s">
        <v>38</v>
      </c>
      <c r="B356" s="24" t="str">
        <f t="shared" ref="B356:Z356" si="124">B355/(COUNT(B351:B354)*1)</f>
        <v>#DIV/0!</v>
      </c>
      <c r="C356" s="24" t="str">
        <f t="shared" si="124"/>
        <v>#DIV/0!</v>
      </c>
      <c r="D356" s="24" t="str">
        <f t="shared" si="124"/>
        <v>#DIV/0!</v>
      </c>
      <c r="E356" s="24" t="str">
        <f t="shared" si="124"/>
        <v>#DIV/0!</v>
      </c>
      <c r="F356" s="24" t="str">
        <f t="shared" si="124"/>
        <v>#DIV/0!</v>
      </c>
      <c r="G356" s="24" t="str">
        <f t="shared" si="124"/>
        <v>#DIV/0!</v>
      </c>
      <c r="H356" s="24" t="str">
        <f t="shared" si="124"/>
        <v>#DIV/0!</v>
      </c>
      <c r="I356" s="24" t="str">
        <f t="shared" si="124"/>
        <v>#DIV/0!</v>
      </c>
      <c r="J356" s="24" t="str">
        <f t="shared" si="124"/>
        <v>#DIV/0!</v>
      </c>
      <c r="K356" s="24" t="str">
        <f t="shared" si="124"/>
        <v>#DIV/0!</v>
      </c>
      <c r="L356" s="24" t="str">
        <f t="shared" si="124"/>
        <v>#DIV/0!</v>
      </c>
      <c r="M356" s="24" t="str">
        <f t="shared" si="124"/>
        <v>#DIV/0!</v>
      </c>
      <c r="N356" s="24" t="str">
        <f t="shared" si="124"/>
        <v>#DIV/0!</v>
      </c>
      <c r="O356" s="24" t="str">
        <f t="shared" si="124"/>
        <v>#DIV/0!</v>
      </c>
      <c r="P356" s="24" t="str">
        <f t="shared" si="124"/>
        <v>#DIV/0!</v>
      </c>
      <c r="Q356" s="24" t="str">
        <f t="shared" si="124"/>
        <v>#DIV/0!</v>
      </c>
      <c r="R356" s="24" t="str">
        <f t="shared" si="124"/>
        <v>#DIV/0!</v>
      </c>
      <c r="S356" s="24" t="str">
        <f t="shared" si="124"/>
        <v>#DIV/0!</v>
      </c>
      <c r="T356" s="24" t="str">
        <f t="shared" si="124"/>
        <v>#DIV/0!</v>
      </c>
      <c r="U356" s="24" t="str">
        <f t="shared" si="124"/>
        <v>#DIV/0!</v>
      </c>
      <c r="V356" s="24" t="str">
        <f t="shared" si="124"/>
        <v>#DIV/0!</v>
      </c>
      <c r="W356" s="24" t="str">
        <f t="shared" si="124"/>
        <v>#DIV/0!</v>
      </c>
      <c r="X356" s="24" t="str">
        <f t="shared" si="124"/>
        <v>#DIV/0!</v>
      </c>
      <c r="Y356" s="24" t="str">
        <f t="shared" si="124"/>
        <v>#DIV/0!</v>
      </c>
      <c r="Z356" s="24" t="str">
        <f t="shared" si="124"/>
        <v>#DIV/0!</v>
      </c>
      <c r="AA356" s="25"/>
      <c r="AB356" s="26" t="str">
        <f>SUM(AB351:AB354)/4</f>
        <v>#DIV/0!</v>
      </c>
      <c r="AC356" s="2"/>
    </row>
    <row r="357">
      <c r="A357" s="27" t="s">
        <v>44</v>
      </c>
      <c r="B357" s="28"/>
      <c r="C357" s="29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30">
        <f t="shared" ref="AA357:AA359" si="125">SUM(B357:Z357)</f>
        <v>0</v>
      </c>
      <c r="AB357" s="31"/>
      <c r="AC357" s="2"/>
    </row>
    <row r="358">
      <c r="A358" s="32" t="s">
        <v>45</v>
      </c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28"/>
      <c r="W358" s="28"/>
      <c r="X358" s="28"/>
      <c r="Y358" s="28"/>
      <c r="Z358" s="28"/>
      <c r="AA358" s="30">
        <f t="shared" si="125"/>
        <v>0</v>
      </c>
      <c r="AB358" s="31"/>
      <c r="AC358" s="9"/>
    </row>
    <row r="359">
      <c r="A359" s="34" t="s">
        <v>46</v>
      </c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28"/>
      <c r="W359" s="28"/>
      <c r="X359" s="28"/>
      <c r="Y359" s="28"/>
      <c r="Z359" s="28"/>
      <c r="AA359" s="30">
        <f t="shared" si="125"/>
        <v>0</v>
      </c>
      <c r="AB359" s="31"/>
      <c r="AC359" s="9"/>
    </row>
    <row r="360">
      <c r="A360" s="35" t="s">
        <v>47</v>
      </c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7"/>
      <c r="AA360" s="38"/>
      <c r="AB360" s="39"/>
      <c r="AC360" s="2"/>
    </row>
    <row r="361">
      <c r="A361" s="40" t="s">
        <v>48</v>
      </c>
      <c r="B361" s="41"/>
      <c r="C361" s="42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3"/>
      <c r="W361" s="43"/>
      <c r="X361" s="43"/>
      <c r="Y361" s="43"/>
      <c r="Z361" s="43"/>
      <c r="AA361" s="44">
        <f t="shared" ref="AA361:AA362" si="126">SUM(B361:Z361)</f>
        <v>0</v>
      </c>
      <c r="AB361" s="31"/>
      <c r="AC361" s="2"/>
    </row>
    <row r="362">
      <c r="A362" s="40" t="s">
        <v>49</v>
      </c>
      <c r="B362" s="41"/>
      <c r="C362" s="42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3"/>
      <c r="W362" s="43"/>
      <c r="X362" s="43"/>
      <c r="Y362" s="43"/>
      <c r="Z362" s="43"/>
      <c r="AA362" s="44">
        <f t="shared" si="126"/>
        <v>0</v>
      </c>
      <c r="AB362" s="31"/>
      <c r="AC362" s="2"/>
    </row>
    <row r="363">
      <c r="A363" s="40" t="s">
        <v>50</v>
      </c>
      <c r="B363" s="42"/>
      <c r="C363" s="42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3"/>
      <c r="W363" s="43"/>
      <c r="X363" s="43"/>
      <c r="Y363" s="43"/>
      <c r="Z363" s="43"/>
      <c r="AA363" s="44" t="str">
        <f>AVERAGE(B363:Z363)</f>
        <v>#DIV/0!</v>
      </c>
      <c r="AB363" s="31"/>
      <c r="AC363" s="2"/>
    </row>
    <row r="364">
      <c r="A364" s="45" t="s">
        <v>51</v>
      </c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7"/>
      <c r="AA364" s="46"/>
      <c r="AB364" s="39"/>
      <c r="AC364" s="2"/>
    </row>
    <row r="365">
      <c r="A365" s="47" t="s">
        <v>48</v>
      </c>
      <c r="B365" s="48"/>
      <c r="C365" s="49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50"/>
      <c r="W365" s="50"/>
      <c r="X365" s="50"/>
      <c r="Y365" s="50"/>
      <c r="Z365" s="50"/>
      <c r="AA365" s="51">
        <f t="shared" ref="AA365:AA366" si="127">SUM(B365:Z365)</f>
        <v>0</v>
      </c>
      <c r="AB365" s="31"/>
      <c r="AC365" s="2"/>
    </row>
    <row r="366">
      <c r="A366" s="47" t="s">
        <v>49</v>
      </c>
      <c r="B366" s="48"/>
      <c r="C366" s="49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50"/>
      <c r="W366" s="50"/>
      <c r="X366" s="50"/>
      <c r="Y366" s="50"/>
      <c r="Z366" s="50"/>
      <c r="AA366" s="51">
        <f t="shared" si="127"/>
        <v>0</v>
      </c>
      <c r="AB366" s="31"/>
      <c r="AC366" s="2"/>
    </row>
    <row r="367">
      <c r="A367" s="47" t="s">
        <v>50</v>
      </c>
      <c r="B367" s="49"/>
      <c r="C367" s="49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50"/>
      <c r="W367" s="50"/>
      <c r="X367" s="50"/>
      <c r="Y367" s="50"/>
      <c r="Z367" s="50"/>
      <c r="AA367" s="51" t="str">
        <f>AVERAGE(B367:Z367)</f>
        <v>#DIV/0!</v>
      </c>
      <c r="AB367" s="31"/>
      <c r="AC367" s="2"/>
    </row>
    <row r="368">
      <c r="A368" s="52" t="s">
        <v>53</v>
      </c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8"/>
      <c r="AB368" s="39"/>
      <c r="AC368" s="2"/>
    </row>
    <row r="369">
      <c r="A369" s="40" t="s">
        <v>48</v>
      </c>
      <c r="B369" s="41"/>
      <c r="C369" s="42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3"/>
      <c r="W369" s="43"/>
      <c r="X369" s="43"/>
      <c r="Y369" s="43"/>
      <c r="Z369" s="43"/>
      <c r="AA369" s="44">
        <f t="shared" ref="AA369:AA370" si="128">SUM(B369:Z369)</f>
        <v>0</v>
      </c>
      <c r="AB369" s="31"/>
      <c r="AC369" s="2"/>
    </row>
    <row r="370">
      <c r="A370" s="40" t="s">
        <v>49</v>
      </c>
      <c r="B370" s="41"/>
      <c r="C370" s="42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3"/>
      <c r="W370" s="43"/>
      <c r="X370" s="43"/>
      <c r="Y370" s="43"/>
      <c r="Z370" s="43"/>
      <c r="AA370" s="44">
        <f t="shared" si="128"/>
        <v>0</v>
      </c>
      <c r="AB370" s="31"/>
      <c r="AC370" s="2"/>
    </row>
    <row r="371">
      <c r="A371" s="53" t="s">
        <v>50</v>
      </c>
      <c r="B371" s="54"/>
      <c r="C371" s="54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6"/>
      <c r="W371" s="56"/>
      <c r="X371" s="56"/>
      <c r="Y371" s="56"/>
      <c r="Z371" s="56"/>
      <c r="AA371" s="57" t="str">
        <f>AVERAGE(B371:Z371)</f>
        <v>#DIV/0!</v>
      </c>
      <c r="AB371" s="58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59"/>
      <c r="AB372" s="59"/>
      <c r="AC372" s="2"/>
    </row>
    <row r="373">
      <c r="A373" s="71" t="s">
        <v>54</v>
      </c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5" t="s">
        <v>37</v>
      </c>
      <c r="AB373" s="16" t="s">
        <v>38</v>
      </c>
      <c r="AC373" s="2"/>
    </row>
    <row r="374">
      <c r="A374" s="17" t="s">
        <v>39</v>
      </c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20">
        <f t="shared" ref="AA374:AA378" si="129">SUM(B374:Z374)</f>
        <v>0</v>
      </c>
      <c r="AB374" s="21" t="str">
        <f t="shared" ref="AB374:AB377" si="130">AA374/(COUNT(B374:Z374)*1)</f>
        <v>#DIV/0!</v>
      </c>
      <c r="AC374" s="2"/>
    </row>
    <row r="375">
      <c r="A375" s="17" t="s">
        <v>40</v>
      </c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20">
        <f t="shared" si="129"/>
        <v>0</v>
      </c>
      <c r="AB375" s="21" t="str">
        <f t="shared" si="130"/>
        <v>#DIV/0!</v>
      </c>
      <c r="AC375" s="2"/>
    </row>
    <row r="376">
      <c r="A376" s="17" t="s">
        <v>41</v>
      </c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20">
        <f t="shared" si="129"/>
        <v>0</v>
      </c>
      <c r="AB376" s="21" t="str">
        <f t="shared" si="130"/>
        <v>#DIV/0!</v>
      </c>
      <c r="AC376" s="2"/>
    </row>
    <row r="377">
      <c r="A377" s="17" t="s">
        <v>42</v>
      </c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20">
        <f t="shared" si="129"/>
        <v>0</v>
      </c>
      <c r="AB377" s="21" t="str">
        <f t="shared" si="130"/>
        <v>#DIV/0!</v>
      </c>
      <c r="AC377" s="2"/>
    </row>
    <row r="378">
      <c r="A378" s="17" t="s">
        <v>43</v>
      </c>
      <c r="B378" s="22">
        <f t="shared" ref="B378:Z378" si="131">SUM(B374:B377)</f>
        <v>0</v>
      </c>
      <c r="C378" s="22">
        <f t="shared" si="131"/>
        <v>0</v>
      </c>
      <c r="D378" s="22">
        <f t="shared" si="131"/>
        <v>0</v>
      </c>
      <c r="E378" s="22">
        <f t="shared" si="131"/>
        <v>0</v>
      </c>
      <c r="F378" s="22">
        <f t="shared" si="131"/>
        <v>0</v>
      </c>
      <c r="G378" s="22">
        <f t="shared" si="131"/>
        <v>0</v>
      </c>
      <c r="H378" s="22">
        <f t="shared" si="131"/>
        <v>0</v>
      </c>
      <c r="I378" s="22">
        <f t="shared" si="131"/>
        <v>0</v>
      </c>
      <c r="J378" s="22">
        <f t="shared" si="131"/>
        <v>0</v>
      </c>
      <c r="K378" s="22">
        <f t="shared" si="131"/>
        <v>0</v>
      </c>
      <c r="L378" s="22">
        <f t="shared" si="131"/>
        <v>0</v>
      </c>
      <c r="M378" s="22">
        <f t="shared" si="131"/>
        <v>0</v>
      </c>
      <c r="N378" s="22">
        <f t="shared" si="131"/>
        <v>0</v>
      </c>
      <c r="O378" s="22">
        <f t="shared" si="131"/>
        <v>0</v>
      </c>
      <c r="P378" s="22">
        <f t="shared" si="131"/>
        <v>0</v>
      </c>
      <c r="Q378" s="22">
        <f t="shared" si="131"/>
        <v>0</v>
      </c>
      <c r="R378" s="22">
        <f t="shared" si="131"/>
        <v>0</v>
      </c>
      <c r="S378" s="22">
        <f t="shared" si="131"/>
        <v>0</v>
      </c>
      <c r="T378" s="22">
        <f t="shared" si="131"/>
        <v>0</v>
      </c>
      <c r="U378" s="22">
        <f t="shared" si="131"/>
        <v>0</v>
      </c>
      <c r="V378" s="22">
        <f t="shared" si="131"/>
        <v>0</v>
      </c>
      <c r="W378" s="22">
        <f t="shared" si="131"/>
        <v>0</v>
      </c>
      <c r="X378" s="22">
        <f t="shared" si="131"/>
        <v>0</v>
      </c>
      <c r="Y378" s="22">
        <f t="shared" si="131"/>
        <v>0</v>
      </c>
      <c r="Z378" s="22">
        <f t="shared" si="131"/>
        <v>0</v>
      </c>
      <c r="AA378" s="20">
        <f t="shared" si="129"/>
        <v>0</v>
      </c>
      <c r="AB378" s="23"/>
      <c r="AC378" s="2"/>
    </row>
    <row r="379">
      <c r="A379" s="17" t="s">
        <v>38</v>
      </c>
      <c r="B379" s="24" t="str">
        <f t="shared" ref="B379:Z379" si="132">B378/(COUNT(B374:B377)*1)</f>
        <v>#DIV/0!</v>
      </c>
      <c r="C379" s="24" t="str">
        <f t="shared" si="132"/>
        <v>#DIV/0!</v>
      </c>
      <c r="D379" s="24" t="str">
        <f t="shared" si="132"/>
        <v>#DIV/0!</v>
      </c>
      <c r="E379" s="24" t="str">
        <f t="shared" si="132"/>
        <v>#DIV/0!</v>
      </c>
      <c r="F379" s="24" t="str">
        <f t="shared" si="132"/>
        <v>#DIV/0!</v>
      </c>
      <c r="G379" s="24" t="str">
        <f t="shared" si="132"/>
        <v>#DIV/0!</v>
      </c>
      <c r="H379" s="24" t="str">
        <f t="shared" si="132"/>
        <v>#DIV/0!</v>
      </c>
      <c r="I379" s="24" t="str">
        <f t="shared" si="132"/>
        <v>#DIV/0!</v>
      </c>
      <c r="J379" s="24" t="str">
        <f t="shared" si="132"/>
        <v>#DIV/0!</v>
      </c>
      <c r="K379" s="24" t="str">
        <f t="shared" si="132"/>
        <v>#DIV/0!</v>
      </c>
      <c r="L379" s="24" t="str">
        <f t="shared" si="132"/>
        <v>#DIV/0!</v>
      </c>
      <c r="M379" s="24" t="str">
        <f t="shared" si="132"/>
        <v>#DIV/0!</v>
      </c>
      <c r="N379" s="24" t="str">
        <f t="shared" si="132"/>
        <v>#DIV/0!</v>
      </c>
      <c r="O379" s="24" t="str">
        <f t="shared" si="132"/>
        <v>#DIV/0!</v>
      </c>
      <c r="P379" s="24" t="str">
        <f t="shared" si="132"/>
        <v>#DIV/0!</v>
      </c>
      <c r="Q379" s="24" t="str">
        <f t="shared" si="132"/>
        <v>#DIV/0!</v>
      </c>
      <c r="R379" s="24" t="str">
        <f t="shared" si="132"/>
        <v>#DIV/0!</v>
      </c>
      <c r="S379" s="24" t="str">
        <f t="shared" si="132"/>
        <v>#DIV/0!</v>
      </c>
      <c r="T379" s="24" t="str">
        <f t="shared" si="132"/>
        <v>#DIV/0!</v>
      </c>
      <c r="U379" s="24" t="str">
        <f t="shared" si="132"/>
        <v>#DIV/0!</v>
      </c>
      <c r="V379" s="24" t="str">
        <f t="shared" si="132"/>
        <v>#DIV/0!</v>
      </c>
      <c r="W379" s="24" t="str">
        <f t="shared" si="132"/>
        <v>#DIV/0!</v>
      </c>
      <c r="X379" s="24" t="str">
        <f t="shared" si="132"/>
        <v>#DIV/0!</v>
      </c>
      <c r="Y379" s="24" t="str">
        <f t="shared" si="132"/>
        <v>#DIV/0!</v>
      </c>
      <c r="Z379" s="24" t="str">
        <f t="shared" si="132"/>
        <v>#DIV/0!</v>
      </c>
      <c r="AA379" s="25"/>
      <c r="AB379" s="26" t="str">
        <f>SUM(AB374:AB377)/4</f>
        <v>#DIV/0!</v>
      </c>
      <c r="AC379" s="2"/>
    </row>
    <row r="380">
      <c r="A380" s="27" t="s">
        <v>44</v>
      </c>
      <c r="B380" s="28"/>
      <c r="C380" s="29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30">
        <f t="shared" ref="AA380:AA382" si="133">SUM(B380:Z380)</f>
        <v>0</v>
      </c>
      <c r="AB380" s="31"/>
      <c r="AC380" s="2"/>
    </row>
    <row r="381">
      <c r="A381" s="32" t="s">
        <v>45</v>
      </c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28"/>
      <c r="W381" s="28"/>
      <c r="X381" s="28"/>
      <c r="Y381" s="28"/>
      <c r="Z381" s="28"/>
      <c r="AA381" s="30">
        <f t="shared" si="133"/>
        <v>0</v>
      </c>
      <c r="AB381" s="31"/>
      <c r="AC381" s="9"/>
    </row>
    <row r="382">
      <c r="A382" s="34" t="s">
        <v>46</v>
      </c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28"/>
      <c r="W382" s="28"/>
      <c r="X382" s="28"/>
      <c r="Y382" s="28"/>
      <c r="Z382" s="28"/>
      <c r="AA382" s="30">
        <f t="shared" si="133"/>
        <v>0</v>
      </c>
      <c r="AB382" s="31"/>
      <c r="AC382" s="9"/>
    </row>
    <row r="383">
      <c r="A383" s="35" t="s">
        <v>47</v>
      </c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7"/>
      <c r="AA383" s="38"/>
      <c r="AB383" s="39"/>
      <c r="AC383" s="2"/>
    </row>
    <row r="384">
      <c r="A384" s="40" t="s">
        <v>48</v>
      </c>
      <c r="B384" s="41"/>
      <c r="C384" s="42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3"/>
      <c r="W384" s="43"/>
      <c r="X384" s="43"/>
      <c r="Y384" s="43"/>
      <c r="Z384" s="43"/>
      <c r="AA384" s="44">
        <f t="shared" ref="AA384:AA385" si="134">SUM(B384:Z384)</f>
        <v>0</v>
      </c>
      <c r="AB384" s="31"/>
      <c r="AC384" s="2"/>
    </row>
    <row r="385">
      <c r="A385" s="40" t="s">
        <v>49</v>
      </c>
      <c r="B385" s="41"/>
      <c r="C385" s="42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3"/>
      <c r="W385" s="43"/>
      <c r="X385" s="43"/>
      <c r="Y385" s="43"/>
      <c r="Z385" s="43"/>
      <c r="AA385" s="44">
        <f t="shared" si="134"/>
        <v>0</v>
      </c>
      <c r="AB385" s="31"/>
      <c r="AC385" s="2"/>
    </row>
    <row r="386">
      <c r="A386" s="40" t="s">
        <v>50</v>
      </c>
      <c r="B386" s="42"/>
      <c r="C386" s="42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3"/>
      <c r="W386" s="43"/>
      <c r="X386" s="43"/>
      <c r="Y386" s="43"/>
      <c r="Z386" s="43"/>
      <c r="AA386" s="44" t="str">
        <f>AVERAGE(B386:Z386)</f>
        <v>#DIV/0!</v>
      </c>
      <c r="AB386" s="31"/>
      <c r="AC386" s="2"/>
    </row>
    <row r="387">
      <c r="A387" s="45" t="s">
        <v>51</v>
      </c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7"/>
      <c r="AA387" s="46"/>
      <c r="AB387" s="39"/>
      <c r="AC387" s="2"/>
    </row>
    <row r="388">
      <c r="A388" s="47" t="s">
        <v>48</v>
      </c>
      <c r="B388" s="48"/>
      <c r="C388" s="49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50"/>
      <c r="W388" s="50"/>
      <c r="X388" s="50"/>
      <c r="Y388" s="50"/>
      <c r="Z388" s="50"/>
      <c r="AA388" s="51">
        <f t="shared" ref="AA388:AA389" si="135">SUM(B388:Z388)</f>
        <v>0</v>
      </c>
      <c r="AB388" s="31"/>
      <c r="AC388" s="2"/>
    </row>
    <row r="389">
      <c r="A389" s="47" t="s">
        <v>49</v>
      </c>
      <c r="B389" s="48"/>
      <c r="C389" s="49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50"/>
      <c r="W389" s="50"/>
      <c r="X389" s="50"/>
      <c r="Y389" s="50"/>
      <c r="Z389" s="50"/>
      <c r="AA389" s="51">
        <f t="shared" si="135"/>
        <v>0</v>
      </c>
      <c r="AB389" s="31"/>
      <c r="AC389" s="2"/>
    </row>
    <row r="390">
      <c r="A390" s="47" t="s">
        <v>50</v>
      </c>
      <c r="B390" s="49"/>
      <c r="C390" s="49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50"/>
      <c r="W390" s="50"/>
      <c r="X390" s="50"/>
      <c r="Y390" s="50"/>
      <c r="Z390" s="50"/>
      <c r="AA390" s="51" t="str">
        <f>AVERAGE(B390:Z390)</f>
        <v>#DIV/0!</v>
      </c>
      <c r="AB390" s="31"/>
      <c r="AC390" s="2"/>
    </row>
    <row r="391">
      <c r="A391" s="52" t="s">
        <v>53</v>
      </c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7"/>
      <c r="AA391" s="38"/>
      <c r="AB391" s="39"/>
      <c r="AC391" s="2"/>
    </row>
    <row r="392">
      <c r="A392" s="40" t="s">
        <v>48</v>
      </c>
      <c r="B392" s="41"/>
      <c r="C392" s="42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3"/>
      <c r="W392" s="43"/>
      <c r="X392" s="43"/>
      <c r="Y392" s="43"/>
      <c r="Z392" s="43"/>
      <c r="AA392" s="44">
        <f t="shared" ref="AA392:AA393" si="136">SUM(B392:Z392)</f>
        <v>0</v>
      </c>
      <c r="AB392" s="31"/>
      <c r="AC392" s="2"/>
    </row>
    <row r="393">
      <c r="A393" s="40" t="s">
        <v>49</v>
      </c>
      <c r="B393" s="41"/>
      <c r="C393" s="42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3"/>
      <c r="W393" s="43"/>
      <c r="X393" s="43"/>
      <c r="Y393" s="43"/>
      <c r="Z393" s="43"/>
      <c r="AA393" s="44">
        <f t="shared" si="136"/>
        <v>0</v>
      </c>
      <c r="AB393" s="31"/>
      <c r="AC393" s="2"/>
    </row>
    <row r="394">
      <c r="A394" s="53" t="s">
        <v>50</v>
      </c>
      <c r="B394" s="54"/>
      <c r="C394" s="54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6"/>
      <c r="W394" s="56"/>
      <c r="X394" s="56"/>
      <c r="Y394" s="56"/>
      <c r="Z394" s="56"/>
      <c r="AA394" s="57" t="str">
        <f>AVERAGE(B394:Z394)</f>
        <v>#DIV/0!</v>
      </c>
      <c r="AB394" s="58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59"/>
      <c r="AB395" s="59"/>
      <c r="AC395" s="2"/>
    </row>
    <row r="396">
      <c r="A396" s="71" t="s">
        <v>54</v>
      </c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5" t="s">
        <v>37</v>
      </c>
      <c r="AB396" s="16" t="s">
        <v>38</v>
      </c>
      <c r="AC396" s="2"/>
    </row>
    <row r="397">
      <c r="A397" s="17" t="s">
        <v>39</v>
      </c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20">
        <f t="shared" ref="AA397:AA401" si="137">SUM(B397:Z397)</f>
        <v>0</v>
      </c>
      <c r="AB397" s="21" t="str">
        <f t="shared" ref="AB397:AB400" si="138">AA397/(COUNT(B397:Z397)*1)</f>
        <v>#DIV/0!</v>
      </c>
      <c r="AC397" s="2"/>
    </row>
    <row r="398">
      <c r="A398" s="17" t="s">
        <v>40</v>
      </c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20">
        <f t="shared" si="137"/>
        <v>0</v>
      </c>
      <c r="AB398" s="21" t="str">
        <f t="shared" si="138"/>
        <v>#DIV/0!</v>
      </c>
      <c r="AC398" s="2"/>
    </row>
    <row r="399">
      <c r="A399" s="17" t="s">
        <v>41</v>
      </c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20">
        <f t="shared" si="137"/>
        <v>0</v>
      </c>
      <c r="AB399" s="21" t="str">
        <f t="shared" si="138"/>
        <v>#DIV/0!</v>
      </c>
      <c r="AC399" s="2"/>
    </row>
    <row r="400">
      <c r="A400" s="17" t="s">
        <v>42</v>
      </c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20">
        <f t="shared" si="137"/>
        <v>0</v>
      </c>
      <c r="AB400" s="21" t="str">
        <f t="shared" si="138"/>
        <v>#DIV/0!</v>
      </c>
      <c r="AC400" s="2"/>
    </row>
    <row r="401">
      <c r="A401" s="17" t="s">
        <v>43</v>
      </c>
      <c r="B401" s="22">
        <f t="shared" ref="B401:Z401" si="139">SUM(B397:B400)</f>
        <v>0</v>
      </c>
      <c r="C401" s="22">
        <f t="shared" si="139"/>
        <v>0</v>
      </c>
      <c r="D401" s="22">
        <f t="shared" si="139"/>
        <v>0</v>
      </c>
      <c r="E401" s="22">
        <f t="shared" si="139"/>
        <v>0</v>
      </c>
      <c r="F401" s="22">
        <f t="shared" si="139"/>
        <v>0</v>
      </c>
      <c r="G401" s="22">
        <f t="shared" si="139"/>
        <v>0</v>
      </c>
      <c r="H401" s="22">
        <f t="shared" si="139"/>
        <v>0</v>
      </c>
      <c r="I401" s="22">
        <f t="shared" si="139"/>
        <v>0</v>
      </c>
      <c r="J401" s="22">
        <f t="shared" si="139"/>
        <v>0</v>
      </c>
      <c r="K401" s="22">
        <f t="shared" si="139"/>
        <v>0</v>
      </c>
      <c r="L401" s="22">
        <f t="shared" si="139"/>
        <v>0</v>
      </c>
      <c r="M401" s="22">
        <f t="shared" si="139"/>
        <v>0</v>
      </c>
      <c r="N401" s="22">
        <f t="shared" si="139"/>
        <v>0</v>
      </c>
      <c r="O401" s="22">
        <f t="shared" si="139"/>
        <v>0</v>
      </c>
      <c r="P401" s="22">
        <f t="shared" si="139"/>
        <v>0</v>
      </c>
      <c r="Q401" s="22">
        <f t="shared" si="139"/>
        <v>0</v>
      </c>
      <c r="R401" s="22">
        <f t="shared" si="139"/>
        <v>0</v>
      </c>
      <c r="S401" s="22">
        <f t="shared" si="139"/>
        <v>0</v>
      </c>
      <c r="T401" s="22">
        <f t="shared" si="139"/>
        <v>0</v>
      </c>
      <c r="U401" s="22">
        <f t="shared" si="139"/>
        <v>0</v>
      </c>
      <c r="V401" s="22">
        <f t="shared" si="139"/>
        <v>0</v>
      </c>
      <c r="W401" s="22">
        <f t="shared" si="139"/>
        <v>0</v>
      </c>
      <c r="X401" s="22">
        <f t="shared" si="139"/>
        <v>0</v>
      </c>
      <c r="Y401" s="22">
        <f t="shared" si="139"/>
        <v>0</v>
      </c>
      <c r="Z401" s="22">
        <f t="shared" si="139"/>
        <v>0</v>
      </c>
      <c r="AA401" s="20">
        <f t="shared" si="137"/>
        <v>0</v>
      </c>
      <c r="AB401" s="23"/>
      <c r="AC401" s="2"/>
    </row>
    <row r="402">
      <c r="A402" s="17" t="s">
        <v>38</v>
      </c>
      <c r="B402" s="24" t="str">
        <f t="shared" ref="B402:Z402" si="140">B401/(COUNT(B397:B400)*1)</f>
        <v>#DIV/0!</v>
      </c>
      <c r="C402" s="24" t="str">
        <f t="shared" si="140"/>
        <v>#DIV/0!</v>
      </c>
      <c r="D402" s="24" t="str">
        <f t="shared" si="140"/>
        <v>#DIV/0!</v>
      </c>
      <c r="E402" s="24" t="str">
        <f t="shared" si="140"/>
        <v>#DIV/0!</v>
      </c>
      <c r="F402" s="24" t="str">
        <f t="shared" si="140"/>
        <v>#DIV/0!</v>
      </c>
      <c r="G402" s="24" t="str">
        <f t="shared" si="140"/>
        <v>#DIV/0!</v>
      </c>
      <c r="H402" s="24" t="str">
        <f t="shared" si="140"/>
        <v>#DIV/0!</v>
      </c>
      <c r="I402" s="24" t="str">
        <f t="shared" si="140"/>
        <v>#DIV/0!</v>
      </c>
      <c r="J402" s="24" t="str">
        <f t="shared" si="140"/>
        <v>#DIV/0!</v>
      </c>
      <c r="K402" s="24" t="str">
        <f t="shared" si="140"/>
        <v>#DIV/0!</v>
      </c>
      <c r="L402" s="24" t="str">
        <f t="shared" si="140"/>
        <v>#DIV/0!</v>
      </c>
      <c r="M402" s="24" t="str">
        <f t="shared" si="140"/>
        <v>#DIV/0!</v>
      </c>
      <c r="N402" s="24" t="str">
        <f t="shared" si="140"/>
        <v>#DIV/0!</v>
      </c>
      <c r="O402" s="24" t="str">
        <f t="shared" si="140"/>
        <v>#DIV/0!</v>
      </c>
      <c r="P402" s="24" t="str">
        <f t="shared" si="140"/>
        <v>#DIV/0!</v>
      </c>
      <c r="Q402" s="24" t="str">
        <f t="shared" si="140"/>
        <v>#DIV/0!</v>
      </c>
      <c r="R402" s="24" t="str">
        <f t="shared" si="140"/>
        <v>#DIV/0!</v>
      </c>
      <c r="S402" s="24" t="str">
        <f t="shared" si="140"/>
        <v>#DIV/0!</v>
      </c>
      <c r="T402" s="24" t="str">
        <f t="shared" si="140"/>
        <v>#DIV/0!</v>
      </c>
      <c r="U402" s="24" t="str">
        <f t="shared" si="140"/>
        <v>#DIV/0!</v>
      </c>
      <c r="V402" s="24" t="str">
        <f t="shared" si="140"/>
        <v>#DIV/0!</v>
      </c>
      <c r="W402" s="24" t="str">
        <f t="shared" si="140"/>
        <v>#DIV/0!</v>
      </c>
      <c r="X402" s="24" t="str">
        <f t="shared" si="140"/>
        <v>#DIV/0!</v>
      </c>
      <c r="Y402" s="24" t="str">
        <f t="shared" si="140"/>
        <v>#DIV/0!</v>
      </c>
      <c r="Z402" s="24" t="str">
        <f t="shared" si="140"/>
        <v>#DIV/0!</v>
      </c>
      <c r="AA402" s="25"/>
      <c r="AB402" s="26" t="str">
        <f>SUM(AB397:AB400)/4</f>
        <v>#DIV/0!</v>
      </c>
      <c r="AC402" s="2"/>
    </row>
    <row r="403">
      <c r="A403" s="27" t="s">
        <v>44</v>
      </c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30">
        <f t="shared" ref="AA403:AA405" si="141">SUM(B403:Z403)</f>
        <v>0</v>
      </c>
      <c r="AB403" s="31"/>
      <c r="AC403" s="2"/>
    </row>
    <row r="404">
      <c r="A404" s="32" t="s">
        <v>45</v>
      </c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28"/>
      <c r="W404" s="28"/>
      <c r="X404" s="28"/>
      <c r="Y404" s="28"/>
      <c r="Z404" s="28"/>
      <c r="AA404" s="30">
        <f t="shared" si="141"/>
        <v>0</v>
      </c>
      <c r="AB404" s="31"/>
      <c r="AC404" s="9"/>
    </row>
    <row r="405">
      <c r="A405" s="34" t="s">
        <v>46</v>
      </c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28"/>
      <c r="W405" s="28"/>
      <c r="X405" s="28"/>
      <c r="Y405" s="28"/>
      <c r="Z405" s="28"/>
      <c r="AA405" s="30">
        <f t="shared" si="141"/>
        <v>0</v>
      </c>
      <c r="AB405" s="31"/>
      <c r="AC405" s="9"/>
    </row>
    <row r="406">
      <c r="A406" s="35" t="s">
        <v>47</v>
      </c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8"/>
      <c r="AB406" s="39"/>
      <c r="AC406" s="2"/>
    </row>
    <row r="407">
      <c r="A407" s="40" t="s">
        <v>48</v>
      </c>
      <c r="B407" s="41"/>
      <c r="C407" s="42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3"/>
      <c r="W407" s="43"/>
      <c r="X407" s="43"/>
      <c r="Y407" s="43"/>
      <c r="Z407" s="43"/>
      <c r="AA407" s="44">
        <f t="shared" ref="AA407:AA408" si="142">SUM(B407:Z407)</f>
        <v>0</v>
      </c>
      <c r="AB407" s="31"/>
      <c r="AC407" s="2"/>
    </row>
    <row r="408">
      <c r="A408" s="40" t="s">
        <v>49</v>
      </c>
      <c r="B408" s="41"/>
      <c r="C408" s="42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3"/>
      <c r="W408" s="43"/>
      <c r="X408" s="43"/>
      <c r="Y408" s="43"/>
      <c r="Z408" s="43"/>
      <c r="AA408" s="44">
        <f t="shared" si="142"/>
        <v>0</v>
      </c>
      <c r="AB408" s="31"/>
      <c r="AC408" s="2"/>
    </row>
    <row r="409">
      <c r="A409" s="40" t="s">
        <v>50</v>
      </c>
      <c r="B409" s="42"/>
      <c r="C409" s="42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3"/>
      <c r="W409" s="43"/>
      <c r="X409" s="43"/>
      <c r="Y409" s="43"/>
      <c r="Z409" s="43"/>
      <c r="AA409" s="44" t="str">
        <f>AVERAGE(B409:Z409)</f>
        <v>#DIV/0!</v>
      </c>
      <c r="AB409" s="31"/>
      <c r="AC409" s="2"/>
    </row>
    <row r="410">
      <c r="A410" s="45" t="s">
        <v>51</v>
      </c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7"/>
      <c r="AA410" s="46"/>
      <c r="AB410" s="39"/>
      <c r="AC410" s="2"/>
    </row>
    <row r="411">
      <c r="A411" s="47" t="s">
        <v>48</v>
      </c>
      <c r="B411" s="48"/>
      <c r="C411" s="49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50"/>
      <c r="W411" s="50"/>
      <c r="X411" s="50"/>
      <c r="Y411" s="50"/>
      <c r="Z411" s="50"/>
      <c r="AA411" s="51">
        <f t="shared" ref="AA411:AA412" si="143">SUM(B411:Z411)</f>
        <v>0</v>
      </c>
      <c r="AB411" s="31"/>
      <c r="AC411" s="2"/>
    </row>
    <row r="412">
      <c r="A412" s="47" t="s">
        <v>49</v>
      </c>
      <c r="B412" s="48"/>
      <c r="C412" s="49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50"/>
      <c r="W412" s="50"/>
      <c r="X412" s="50"/>
      <c r="Y412" s="50"/>
      <c r="Z412" s="50"/>
      <c r="AA412" s="51">
        <f t="shared" si="143"/>
        <v>0</v>
      </c>
      <c r="AB412" s="31"/>
      <c r="AC412" s="2"/>
    </row>
    <row r="413">
      <c r="A413" s="47" t="s">
        <v>50</v>
      </c>
      <c r="B413" s="49"/>
      <c r="C413" s="49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50"/>
      <c r="W413" s="50"/>
      <c r="X413" s="50"/>
      <c r="Y413" s="50"/>
      <c r="Z413" s="50"/>
      <c r="AA413" s="51" t="str">
        <f>AVERAGE(B413:Z413)</f>
        <v>#DIV/0!</v>
      </c>
      <c r="AB413" s="31"/>
      <c r="AC413" s="2"/>
    </row>
    <row r="414">
      <c r="A414" s="52" t="s">
        <v>53</v>
      </c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7"/>
      <c r="AA414" s="38"/>
      <c r="AB414" s="39"/>
      <c r="AC414" s="2"/>
    </row>
    <row r="415">
      <c r="A415" s="40" t="s">
        <v>48</v>
      </c>
      <c r="B415" s="41"/>
      <c r="C415" s="42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3"/>
      <c r="W415" s="43"/>
      <c r="X415" s="43"/>
      <c r="Y415" s="43"/>
      <c r="Z415" s="43"/>
      <c r="AA415" s="44">
        <f t="shared" ref="AA415:AA416" si="144">SUM(B415:Z415)</f>
        <v>0</v>
      </c>
      <c r="AB415" s="31"/>
      <c r="AC415" s="2"/>
    </row>
    <row r="416">
      <c r="A416" s="40" t="s">
        <v>49</v>
      </c>
      <c r="B416" s="41"/>
      <c r="C416" s="42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3"/>
      <c r="W416" s="43"/>
      <c r="X416" s="43"/>
      <c r="Y416" s="43"/>
      <c r="Z416" s="43"/>
      <c r="AA416" s="44">
        <f t="shared" si="144"/>
        <v>0</v>
      </c>
      <c r="AB416" s="31"/>
      <c r="AC416" s="2"/>
    </row>
    <row r="417">
      <c r="A417" s="53" t="s">
        <v>50</v>
      </c>
      <c r="B417" s="54"/>
      <c r="C417" s="54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6"/>
      <c r="W417" s="56"/>
      <c r="X417" s="56"/>
      <c r="Y417" s="56"/>
      <c r="Z417" s="56"/>
      <c r="AA417" s="57" t="str">
        <f>AVERAGE(B417:Z417)</f>
        <v>#DIV/0!</v>
      </c>
      <c r="AB417" s="58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59"/>
      <c r="AB418" s="59"/>
      <c r="AC418" s="2"/>
    </row>
    <row r="419">
      <c r="A419" s="71" t="s">
        <v>54</v>
      </c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5" t="s">
        <v>37</v>
      </c>
      <c r="AB419" s="16" t="s">
        <v>38</v>
      </c>
      <c r="AC419" s="2"/>
    </row>
    <row r="420">
      <c r="A420" s="17" t="s">
        <v>39</v>
      </c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20">
        <f t="shared" ref="AA420:AA424" si="145">SUM(B420:Z420)</f>
        <v>0</v>
      </c>
      <c r="AB420" s="21" t="str">
        <f t="shared" ref="AB420:AB423" si="146">AA420/(COUNT(B420:Z420)*1)</f>
        <v>#DIV/0!</v>
      </c>
      <c r="AC420" s="2"/>
    </row>
    <row r="421">
      <c r="A421" s="17" t="s">
        <v>40</v>
      </c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20">
        <f t="shared" si="145"/>
        <v>0</v>
      </c>
      <c r="AB421" s="21" t="str">
        <f t="shared" si="146"/>
        <v>#DIV/0!</v>
      </c>
      <c r="AC421" s="2"/>
    </row>
    <row r="422">
      <c r="A422" s="17" t="s">
        <v>41</v>
      </c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20">
        <f t="shared" si="145"/>
        <v>0</v>
      </c>
      <c r="AB422" s="21" t="str">
        <f t="shared" si="146"/>
        <v>#DIV/0!</v>
      </c>
      <c r="AC422" s="2"/>
    </row>
    <row r="423">
      <c r="A423" s="17" t="s">
        <v>42</v>
      </c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20">
        <f t="shared" si="145"/>
        <v>0</v>
      </c>
      <c r="AB423" s="21" t="str">
        <f t="shared" si="146"/>
        <v>#DIV/0!</v>
      </c>
      <c r="AC423" s="2"/>
    </row>
    <row r="424">
      <c r="A424" s="17" t="s">
        <v>43</v>
      </c>
      <c r="B424" s="22">
        <f t="shared" ref="B424:Z424" si="147">SUM(B420:B423)</f>
        <v>0</v>
      </c>
      <c r="C424" s="22">
        <f t="shared" si="147"/>
        <v>0</v>
      </c>
      <c r="D424" s="22">
        <f t="shared" si="147"/>
        <v>0</v>
      </c>
      <c r="E424" s="22">
        <f t="shared" si="147"/>
        <v>0</v>
      </c>
      <c r="F424" s="22">
        <f t="shared" si="147"/>
        <v>0</v>
      </c>
      <c r="G424" s="22">
        <f t="shared" si="147"/>
        <v>0</v>
      </c>
      <c r="H424" s="22">
        <f t="shared" si="147"/>
        <v>0</v>
      </c>
      <c r="I424" s="22">
        <f t="shared" si="147"/>
        <v>0</v>
      </c>
      <c r="J424" s="22">
        <f t="shared" si="147"/>
        <v>0</v>
      </c>
      <c r="K424" s="22">
        <f t="shared" si="147"/>
        <v>0</v>
      </c>
      <c r="L424" s="22">
        <f t="shared" si="147"/>
        <v>0</v>
      </c>
      <c r="M424" s="22">
        <f t="shared" si="147"/>
        <v>0</v>
      </c>
      <c r="N424" s="22">
        <f t="shared" si="147"/>
        <v>0</v>
      </c>
      <c r="O424" s="22">
        <f t="shared" si="147"/>
        <v>0</v>
      </c>
      <c r="P424" s="22">
        <f t="shared" si="147"/>
        <v>0</v>
      </c>
      <c r="Q424" s="22">
        <f t="shared" si="147"/>
        <v>0</v>
      </c>
      <c r="R424" s="22">
        <f t="shared" si="147"/>
        <v>0</v>
      </c>
      <c r="S424" s="22">
        <f t="shared" si="147"/>
        <v>0</v>
      </c>
      <c r="T424" s="22">
        <f t="shared" si="147"/>
        <v>0</v>
      </c>
      <c r="U424" s="22">
        <f t="shared" si="147"/>
        <v>0</v>
      </c>
      <c r="V424" s="22">
        <f t="shared" si="147"/>
        <v>0</v>
      </c>
      <c r="W424" s="22">
        <f t="shared" si="147"/>
        <v>0</v>
      </c>
      <c r="X424" s="22">
        <f t="shared" si="147"/>
        <v>0</v>
      </c>
      <c r="Y424" s="22">
        <f t="shared" si="147"/>
        <v>0</v>
      </c>
      <c r="Z424" s="22">
        <f t="shared" si="147"/>
        <v>0</v>
      </c>
      <c r="AA424" s="20">
        <f t="shared" si="145"/>
        <v>0</v>
      </c>
      <c r="AB424" s="23"/>
      <c r="AC424" s="2"/>
    </row>
    <row r="425">
      <c r="A425" s="17" t="s">
        <v>38</v>
      </c>
      <c r="B425" s="24" t="str">
        <f t="shared" ref="B425:Z425" si="148">B424/(COUNT(B420:B423)*1)</f>
        <v>#DIV/0!</v>
      </c>
      <c r="C425" s="24" t="str">
        <f t="shared" si="148"/>
        <v>#DIV/0!</v>
      </c>
      <c r="D425" s="24" t="str">
        <f t="shared" si="148"/>
        <v>#DIV/0!</v>
      </c>
      <c r="E425" s="24" t="str">
        <f t="shared" si="148"/>
        <v>#DIV/0!</v>
      </c>
      <c r="F425" s="24" t="str">
        <f t="shared" si="148"/>
        <v>#DIV/0!</v>
      </c>
      <c r="G425" s="24" t="str">
        <f t="shared" si="148"/>
        <v>#DIV/0!</v>
      </c>
      <c r="H425" s="24" t="str">
        <f t="shared" si="148"/>
        <v>#DIV/0!</v>
      </c>
      <c r="I425" s="24" t="str">
        <f t="shared" si="148"/>
        <v>#DIV/0!</v>
      </c>
      <c r="J425" s="24" t="str">
        <f t="shared" si="148"/>
        <v>#DIV/0!</v>
      </c>
      <c r="K425" s="24" t="str">
        <f t="shared" si="148"/>
        <v>#DIV/0!</v>
      </c>
      <c r="L425" s="24" t="str">
        <f t="shared" si="148"/>
        <v>#DIV/0!</v>
      </c>
      <c r="M425" s="24" t="str">
        <f t="shared" si="148"/>
        <v>#DIV/0!</v>
      </c>
      <c r="N425" s="24" t="str">
        <f t="shared" si="148"/>
        <v>#DIV/0!</v>
      </c>
      <c r="O425" s="24" t="str">
        <f t="shared" si="148"/>
        <v>#DIV/0!</v>
      </c>
      <c r="P425" s="24" t="str">
        <f t="shared" si="148"/>
        <v>#DIV/0!</v>
      </c>
      <c r="Q425" s="24" t="str">
        <f t="shared" si="148"/>
        <v>#DIV/0!</v>
      </c>
      <c r="R425" s="24" t="str">
        <f t="shared" si="148"/>
        <v>#DIV/0!</v>
      </c>
      <c r="S425" s="24" t="str">
        <f t="shared" si="148"/>
        <v>#DIV/0!</v>
      </c>
      <c r="T425" s="24" t="str">
        <f t="shared" si="148"/>
        <v>#DIV/0!</v>
      </c>
      <c r="U425" s="24" t="str">
        <f t="shared" si="148"/>
        <v>#DIV/0!</v>
      </c>
      <c r="V425" s="24" t="str">
        <f t="shared" si="148"/>
        <v>#DIV/0!</v>
      </c>
      <c r="W425" s="24" t="str">
        <f t="shared" si="148"/>
        <v>#DIV/0!</v>
      </c>
      <c r="X425" s="24" t="str">
        <f t="shared" si="148"/>
        <v>#DIV/0!</v>
      </c>
      <c r="Y425" s="24" t="str">
        <f t="shared" si="148"/>
        <v>#DIV/0!</v>
      </c>
      <c r="Z425" s="24" t="str">
        <f t="shared" si="148"/>
        <v>#DIV/0!</v>
      </c>
      <c r="AA425" s="25"/>
      <c r="AB425" s="26" t="str">
        <f>SUM(AB420:AB423)/4</f>
        <v>#DIV/0!</v>
      </c>
      <c r="AC425" s="2"/>
    </row>
    <row r="426">
      <c r="A426" s="27" t="s">
        <v>44</v>
      </c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30">
        <f t="shared" ref="AA426:AA428" si="149">SUM(B426:Z426)</f>
        <v>0</v>
      </c>
      <c r="AB426" s="31"/>
      <c r="AC426" s="2"/>
    </row>
    <row r="427">
      <c r="A427" s="32" t="s">
        <v>45</v>
      </c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28"/>
      <c r="W427" s="28"/>
      <c r="X427" s="28"/>
      <c r="Y427" s="28"/>
      <c r="Z427" s="28"/>
      <c r="AA427" s="30">
        <f t="shared" si="149"/>
        <v>0</v>
      </c>
      <c r="AB427" s="31"/>
      <c r="AC427" s="9"/>
    </row>
    <row r="428">
      <c r="A428" s="34" t="s">
        <v>46</v>
      </c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28"/>
      <c r="W428" s="28"/>
      <c r="X428" s="28"/>
      <c r="Y428" s="28"/>
      <c r="Z428" s="28"/>
      <c r="AA428" s="30">
        <f t="shared" si="149"/>
        <v>0</v>
      </c>
      <c r="AB428" s="31"/>
      <c r="AC428" s="9"/>
    </row>
    <row r="429">
      <c r="A429" s="35" t="s">
        <v>47</v>
      </c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7"/>
      <c r="AA429" s="38"/>
      <c r="AB429" s="39"/>
      <c r="AC429" s="2"/>
    </row>
    <row r="430">
      <c r="A430" s="40" t="s">
        <v>48</v>
      </c>
      <c r="B430" s="41"/>
      <c r="C430" s="42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3"/>
      <c r="W430" s="43"/>
      <c r="X430" s="43"/>
      <c r="Y430" s="43"/>
      <c r="Z430" s="43"/>
      <c r="AA430" s="44">
        <f t="shared" ref="AA430:AA431" si="150">SUM(B430:Z430)</f>
        <v>0</v>
      </c>
      <c r="AB430" s="31"/>
      <c r="AC430" s="2"/>
    </row>
    <row r="431">
      <c r="A431" s="40" t="s">
        <v>49</v>
      </c>
      <c r="B431" s="41"/>
      <c r="C431" s="42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3"/>
      <c r="W431" s="43"/>
      <c r="X431" s="43"/>
      <c r="Y431" s="43"/>
      <c r="Z431" s="43"/>
      <c r="AA431" s="44">
        <f t="shared" si="150"/>
        <v>0</v>
      </c>
      <c r="AB431" s="31"/>
      <c r="AC431" s="2"/>
    </row>
    <row r="432">
      <c r="A432" s="40" t="s">
        <v>50</v>
      </c>
      <c r="B432" s="42"/>
      <c r="C432" s="42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3"/>
      <c r="W432" s="43"/>
      <c r="X432" s="43"/>
      <c r="Y432" s="43"/>
      <c r="Z432" s="43"/>
      <c r="AA432" s="44" t="str">
        <f>AVERAGE(B432:Z432)</f>
        <v>#DIV/0!</v>
      </c>
      <c r="AB432" s="31"/>
      <c r="AC432" s="2"/>
    </row>
    <row r="433">
      <c r="A433" s="45" t="s">
        <v>51</v>
      </c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7"/>
      <c r="AA433" s="46"/>
      <c r="AB433" s="39"/>
      <c r="AC433" s="2"/>
    </row>
    <row r="434">
      <c r="A434" s="47" t="s">
        <v>48</v>
      </c>
      <c r="B434" s="48"/>
      <c r="C434" s="49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50"/>
      <c r="W434" s="50"/>
      <c r="X434" s="50"/>
      <c r="Y434" s="50"/>
      <c r="Z434" s="50"/>
      <c r="AA434" s="51">
        <f t="shared" ref="AA434:AA435" si="151">SUM(B434:Z434)</f>
        <v>0</v>
      </c>
      <c r="AB434" s="31"/>
      <c r="AC434" s="2"/>
    </row>
    <row r="435">
      <c r="A435" s="47" t="s">
        <v>49</v>
      </c>
      <c r="B435" s="48"/>
      <c r="C435" s="49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50"/>
      <c r="W435" s="50"/>
      <c r="X435" s="50"/>
      <c r="Y435" s="50"/>
      <c r="Z435" s="50"/>
      <c r="AA435" s="51">
        <f t="shared" si="151"/>
        <v>0</v>
      </c>
      <c r="AB435" s="31"/>
      <c r="AC435" s="2"/>
    </row>
    <row r="436">
      <c r="A436" s="47" t="s">
        <v>50</v>
      </c>
      <c r="B436" s="49"/>
      <c r="C436" s="49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50"/>
      <c r="W436" s="50"/>
      <c r="X436" s="50"/>
      <c r="Y436" s="50"/>
      <c r="Z436" s="50"/>
      <c r="AA436" s="51" t="str">
        <f>AVERAGE(B436:Z436)</f>
        <v>#DIV/0!</v>
      </c>
      <c r="AB436" s="31"/>
      <c r="AC436" s="2"/>
    </row>
    <row r="437">
      <c r="A437" s="52" t="s">
        <v>53</v>
      </c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7"/>
      <c r="AA437" s="38"/>
      <c r="AB437" s="39"/>
      <c r="AC437" s="2"/>
    </row>
    <row r="438">
      <c r="A438" s="40" t="s">
        <v>48</v>
      </c>
      <c r="B438" s="41"/>
      <c r="C438" s="42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3"/>
      <c r="W438" s="43"/>
      <c r="X438" s="43"/>
      <c r="Y438" s="43"/>
      <c r="Z438" s="43"/>
      <c r="AA438" s="44">
        <f t="shared" ref="AA438:AA439" si="152">SUM(B438:Z438)</f>
        <v>0</v>
      </c>
      <c r="AB438" s="31"/>
      <c r="AC438" s="2"/>
    </row>
    <row r="439">
      <c r="A439" s="40" t="s">
        <v>49</v>
      </c>
      <c r="B439" s="41"/>
      <c r="C439" s="42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3"/>
      <c r="W439" s="43"/>
      <c r="X439" s="43"/>
      <c r="Y439" s="43"/>
      <c r="Z439" s="43"/>
      <c r="AA439" s="44">
        <f t="shared" si="152"/>
        <v>0</v>
      </c>
      <c r="AB439" s="31"/>
      <c r="AC439" s="2"/>
    </row>
    <row r="440">
      <c r="A440" s="53" t="s">
        <v>50</v>
      </c>
      <c r="B440" s="54"/>
      <c r="C440" s="54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6"/>
      <c r="W440" s="56"/>
      <c r="X440" s="56"/>
      <c r="Y440" s="56"/>
      <c r="Z440" s="56"/>
      <c r="AA440" s="57" t="str">
        <f>AVERAGE(B440:Z440)</f>
        <v>#DIV/0!</v>
      </c>
      <c r="AB440" s="58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59"/>
      <c r="AB441" s="59"/>
      <c r="AC441" s="2"/>
    </row>
    <row r="442">
      <c r="A442" s="71" t="s">
        <v>54</v>
      </c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5" t="s">
        <v>37</v>
      </c>
      <c r="AB442" s="16" t="s">
        <v>38</v>
      </c>
      <c r="AC442" s="2"/>
    </row>
    <row r="443">
      <c r="A443" s="17" t="s">
        <v>39</v>
      </c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20">
        <f t="shared" ref="AA443:AA447" si="153">SUM(B443:Z443)</f>
        <v>0</v>
      </c>
      <c r="AB443" s="21" t="str">
        <f t="shared" ref="AB443:AB446" si="154">AA443/(COUNT(B443:Z443)*1)</f>
        <v>#DIV/0!</v>
      </c>
      <c r="AC443" s="2"/>
    </row>
    <row r="444">
      <c r="A444" s="17" t="s">
        <v>40</v>
      </c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20">
        <f t="shared" si="153"/>
        <v>0</v>
      </c>
      <c r="AB444" s="21" t="str">
        <f t="shared" si="154"/>
        <v>#DIV/0!</v>
      </c>
      <c r="AC444" s="2"/>
    </row>
    <row r="445">
      <c r="A445" s="17" t="s">
        <v>41</v>
      </c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20">
        <f t="shared" si="153"/>
        <v>0</v>
      </c>
      <c r="AB445" s="21" t="str">
        <f t="shared" si="154"/>
        <v>#DIV/0!</v>
      </c>
      <c r="AC445" s="2"/>
    </row>
    <row r="446">
      <c r="A446" s="17" t="s">
        <v>42</v>
      </c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20">
        <f t="shared" si="153"/>
        <v>0</v>
      </c>
      <c r="AB446" s="21" t="str">
        <f t="shared" si="154"/>
        <v>#DIV/0!</v>
      </c>
      <c r="AC446" s="2"/>
    </row>
    <row r="447">
      <c r="A447" s="17" t="s">
        <v>43</v>
      </c>
      <c r="B447" s="22">
        <f t="shared" ref="B447:Z447" si="155">SUM(B443:B446)</f>
        <v>0</v>
      </c>
      <c r="C447" s="22">
        <f t="shared" si="155"/>
        <v>0</v>
      </c>
      <c r="D447" s="22">
        <f t="shared" si="155"/>
        <v>0</v>
      </c>
      <c r="E447" s="22">
        <f t="shared" si="155"/>
        <v>0</v>
      </c>
      <c r="F447" s="22">
        <f t="shared" si="155"/>
        <v>0</v>
      </c>
      <c r="G447" s="22">
        <f t="shared" si="155"/>
        <v>0</v>
      </c>
      <c r="H447" s="22">
        <f t="shared" si="155"/>
        <v>0</v>
      </c>
      <c r="I447" s="22">
        <f t="shared" si="155"/>
        <v>0</v>
      </c>
      <c r="J447" s="22">
        <f t="shared" si="155"/>
        <v>0</v>
      </c>
      <c r="K447" s="22">
        <f t="shared" si="155"/>
        <v>0</v>
      </c>
      <c r="L447" s="22">
        <f t="shared" si="155"/>
        <v>0</v>
      </c>
      <c r="M447" s="22">
        <f t="shared" si="155"/>
        <v>0</v>
      </c>
      <c r="N447" s="22">
        <f t="shared" si="155"/>
        <v>0</v>
      </c>
      <c r="O447" s="22">
        <f t="shared" si="155"/>
        <v>0</v>
      </c>
      <c r="P447" s="22">
        <f t="shared" si="155"/>
        <v>0</v>
      </c>
      <c r="Q447" s="22">
        <f t="shared" si="155"/>
        <v>0</v>
      </c>
      <c r="R447" s="22">
        <f t="shared" si="155"/>
        <v>0</v>
      </c>
      <c r="S447" s="22">
        <f t="shared" si="155"/>
        <v>0</v>
      </c>
      <c r="T447" s="22">
        <f t="shared" si="155"/>
        <v>0</v>
      </c>
      <c r="U447" s="22">
        <f t="shared" si="155"/>
        <v>0</v>
      </c>
      <c r="V447" s="22">
        <f t="shared" si="155"/>
        <v>0</v>
      </c>
      <c r="W447" s="22">
        <f t="shared" si="155"/>
        <v>0</v>
      </c>
      <c r="X447" s="22">
        <f t="shared" si="155"/>
        <v>0</v>
      </c>
      <c r="Y447" s="22">
        <f t="shared" si="155"/>
        <v>0</v>
      </c>
      <c r="Z447" s="22">
        <f t="shared" si="155"/>
        <v>0</v>
      </c>
      <c r="AA447" s="20">
        <f t="shared" si="153"/>
        <v>0</v>
      </c>
      <c r="AB447" s="23"/>
      <c r="AC447" s="2"/>
    </row>
    <row r="448">
      <c r="A448" s="17" t="s">
        <v>38</v>
      </c>
      <c r="B448" s="24" t="str">
        <f t="shared" ref="B448:Z448" si="156">B447/(COUNT(B443:B446)*1)</f>
        <v>#DIV/0!</v>
      </c>
      <c r="C448" s="24" t="str">
        <f t="shared" si="156"/>
        <v>#DIV/0!</v>
      </c>
      <c r="D448" s="24" t="str">
        <f t="shared" si="156"/>
        <v>#DIV/0!</v>
      </c>
      <c r="E448" s="24" t="str">
        <f t="shared" si="156"/>
        <v>#DIV/0!</v>
      </c>
      <c r="F448" s="24" t="str">
        <f t="shared" si="156"/>
        <v>#DIV/0!</v>
      </c>
      <c r="G448" s="24" t="str">
        <f t="shared" si="156"/>
        <v>#DIV/0!</v>
      </c>
      <c r="H448" s="24" t="str">
        <f t="shared" si="156"/>
        <v>#DIV/0!</v>
      </c>
      <c r="I448" s="24" t="str">
        <f t="shared" si="156"/>
        <v>#DIV/0!</v>
      </c>
      <c r="J448" s="24" t="str">
        <f t="shared" si="156"/>
        <v>#DIV/0!</v>
      </c>
      <c r="K448" s="24" t="str">
        <f t="shared" si="156"/>
        <v>#DIV/0!</v>
      </c>
      <c r="L448" s="24" t="str">
        <f t="shared" si="156"/>
        <v>#DIV/0!</v>
      </c>
      <c r="M448" s="24" t="str">
        <f t="shared" si="156"/>
        <v>#DIV/0!</v>
      </c>
      <c r="N448" s="24" t="str">
        <f t="shared" si="156"/>
        <v>#DIV/0!</v>
      </c>
      <c r="O448" s="24" t="str">
        <f t="shared" si="156"/>
        <v>#DIV/0!</v>
      </c>
      <c r="P448" s="24" t="str">
        <f t="shared" si="156"/>
        <v>#DIV/0!</v>
      </c>
      <c r="Q448" s="24" t="str">
        <f t="shared" si="156"/>
        <v>#DIV/0!</v>
      </c>
      <c r="R448" s="24" t="str">
        <f t="shared" si="156"/>
        <v>#DIV/0!</v>
      </c>
      <c r="S448" s="24" t="str">
        <f t="shared" si="156"/>
        <v>#DIV/0!</v>
      </c>
      <c r="T448" s="24" t="str">
        <f t="shared" si="156"/>
        <v>#DIV/0!</v>
      </c>
      <c r="U448" s="24" t="str">
        <f t="shared" si="156"/>
        <v>#DIV/0!</v>
      </c>
      <c r="V448" s="24" t="str">
        <f t="shared" si="156"/>
        <v>#DIV/0!</v>
      </c>
      <c r="W448" s="24" t="str">
        <f t="shared" si="156"/>
        <v>#DIV/0!</v>
      </c>
      <c r="X448" s="24" t="str">
        <f t="shared" si="156"/>
        <v>#DIV/0!</v>
      </c>
      <c r="Y448" s="24" t="str">
        <f t="shared" si="156"/>
        <v>#DIV/0!</v>
      </c>
      <c r="Z448" s="24" t="str">
        <f t="shared" si="156"/>
        <v>#DIV/0!</v>
      </c>
      <c r="AA448" s="25"/>
      <c r="AB448" s="26" t="str">
        <f>SUM(AB443:AB446)/4</f>
        <v>#DIV/0!</v>
      </c>
      <c r="AC448" s="2"/>
    </row>
    <row r="449">
      <c r="A449" s="27" t="s">
        <v>44</v>
      </c>
      <c r="B449" s="28"/>
      <c r="C449" s="29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30">
        <f t="shared" ref="AA449:AA451" si="157">SUM(B449:Z449)</f>
        <v>0</v>
      </c>
      <c r="AB449" s="31"/>
      <c r="AC449" s="2"/>
    </row>
    <row r="450">
      <c r="A450" s="32" t="s">
        <v>45</v>
      </c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28"/>
      <c r="W450" s="28"/>
      <c r="X450" s="28"/>
      <c r="Y450" s="28"/>
      <c r="Z450" s="28"/>
      <c r="AA450" s="30">
        <f t="shared" si="157"/>
        <v>0</v>
      </c>
      <c r="AB450" s="31"/>
      <c r="AC450" s="9"/>
    </row>
    <row r="451">
      <c r="A451" s="34" t="s">
        <v>46</v>
      </c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28"/>
      <c r="W451" s="28"/>
      <c r="X451" s="28"/>
      <c r="Y451" s="28"/>
      <c r="Z451" s="28"/>
      <c r="AA451" s="30">
        <f t="shared" si="157"/>
        <v>0</v>
      </c>
      <c r="AB451" s="31"/>
      <c r="AC451" s="9"/>
    </row>
    <row r="452">
      <c r="A452" s="35" t="s">
        <v>47</v>
      </c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7"/>
      <c r="AA452" s="38"/>
      <c r="AB452" s="39"/>
      <c r="AC452" s="2"/>
    </row>
    <row r="453">
      <c r="A453" s="40" t="s">
        <v>48</v>
      </c>
      <c r="B453" s="41"/>
      <c r="C453" s="42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3"/>
      <c r="W453" s="43"/>
      <c r="X453" s="43"/>
      <c r="Y453" s="43"/>
      <c r="Z453" s="43"/>
      <c r="AA453" s="44">
        <f t="shared" ref="AA453:AA454" si="158">SUM(B453:Z453)</f>
        <v>0</v>
      </c>
      <c r="AB453" s="31"/>
      <c r="AC453" s="2"/>
    </row>
    <row r="454">
      <c r="A454" s="40" t="s">
        <v>49</v>
      </c>
      <c r="B454" s="41"/>
      <c r="C454" s="42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3"/>
      <c r="W454" s="43"/>
      <c r="X454" s="43"/>
      <c r="Y454" s="43"/>
      <c r="Z454" s="43"/>
      <c r="AA454" s="44">
        <f t="shared" si="158"/>
        <v>0</v>
      </c>
      <c r="AB454" s="31"/>
      <c r="AC454" s="2"/>
    </row>
    <row r="455">
      <c r="A455" s="40" t="s">
        <v>50</v>
      </c>
      <c r="B455" s="42"/>
      <c r="C455" s="42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3"/>
      <c r="W455" s="43"/>
      <c r="X455" s="43"/>
      <c r="Y455" s="43"/>
      <c r="Z455" s="43"/>
      <c r="AA455" s="44" t="str">
        <f>AVERAGE(B455:Z455)</f>
        <v>#DIV/0!</v>
      </c>
      <c r="AB455" s="31"/>
      <c r="AC455" s="2"/>
    </row>
    <row r="456">
      <c r="A456" s="45" t="s">
        <v>51</v>
      </c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7"/>
      <c r="AA456" s="46"/>
      <c r="AB456" s="39"/>
      <c r="AC456" s="2"/>
    </row>
    <row r="457">
      <c r="A457" s="47" t="s">
        <v>48</v>
      </c>
      <c r="B457" s="48"/>
      <c r="C457" s="49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50"/>
      <c r="W457" s="50"/>
      <c r="X457" s="50"/>
      <c r="Y457" s="50"/>
      <c r="Z457" s="50"/>
      <c r="AA457" s="51">
        <f t="shared" ref="AA457:AA458" si="159">SUM(B457:Z457)</f>
        <v>0</v>
      </c>
      <c r="AB457" s="31"/>
      <c r="AC457" s="2"/>
    </row>
    <row r="458">
      <c r="A458" s="47" t="s">
        <v>49</v>
      </c>
      <c r="B458" s="48"/>
      <c r="C458" s="49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50"/>
      <c r="W458" s="50"/>
      <c r="X458" s="50"/>
      <c r="Y458" s="50"/>
      <c r="Z458" s="50"/>
      <c r="AA458" s="51">
        <f t="shared" si="159"/>
        <v>0</v>
      </c>
      <c r="AB458" s="31"/>
      <c r="AC458" s="2"/>
    </row>
    <row r="459">
      <c r="A459" s="47" t="s">
        <v>50</v>
      </c>
      <c r="B459" s="49"/>
      <c r="C459" s="49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50"/>
      <c r="W459" s="50"/>
      <c r="X459" s="50"/>
      <c r="Y459" s="50"/>
      <c r="Z459" s="50"/>
      <c r="AA459" s="51" t="str">
        <f>AVERAGE(B459:Z459)</f>
        <v>#DIV/0!</v>
      </c>
      <c r="AB459" s="31"/>
      <c r="AC459" s="2"/>
    </row>
    <row r="460">
      <c r="A460" s="52" t="s">
        <v>53</v>
      </c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7"/>
      <c r="AA460" s="38"/>
      <c r="AB460" s="39"/>
      <c r="AC460" s="2"/>
    </row>
    <row r="461">
      <c r="A461" s="40" t="s">
        <v>48</v>
      </c>
      <c r="B461" s="41"/>
      <c r="C461" s="42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3"/>
      <c r="W461" s="43"/>
      <c r="X461" s="43"/>
      <c r="Y461" s="43"/>
      <c r="Z461" s="43"/>
      <c r="AA461" s="44">
        <f t="shared" ref="AA461:AA462" si="160">SUM(B461:Z461)</f>
        <v>0</v>
      </c>
      <c r="AB461" s="31"/>
      <c r="AC461" s="2"/>
    </row>
    <row r="462">
      <c r="A462" s="40" t="s">
        <v>49</v>
      </c>
      <c r="B462" s="41"/>
      <c r="C462" s="42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3"/>
      <c r="W462" s="43"/>
      <c r="X462" s="43"/>
      <c r="Y462" s="43"/>
      <c r="Z462" s="43"/>
      <c r="AA462" s="44">
        <f t="shared" si="160"/>
        <v>0</v>
      </c>
      <c r="AB462" s="31"/>
      <c r="AC462" s="2"/>
    </row>
    <row r="463">
      <c r="A463" s="53" t="s">
        <v>50</v>
      </c>
      <c r="B463" s="54"/>
      <c r="C463" s="54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6"/>
      <c r="W463" s="56"/>
      <c r="X463" s="56"/>
      <c r="Y463" s="56"/>
      <c r="Z463" s="56"/>
      <c r="AA463" s="57" t="str">
        <f>AVERAGE(B463:Z463)</f>
        <v>#DIV/0!</v>
      </c>
      <c r="AB463" s="58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59"/>
      <c r="AB464" s="59"/>
      <c r="AC464" s="2"/>
    </row>
    <row r="465">
      <c r="A465" s="71" t="s">
        <v>54</v>
      </c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 t="s">
        <v>37</v>
      </c>
      <c r="AB465" s="16" t="s">
        <v>38</v>
      </c>
      <c r="AC465" s="2"/>
    </row>
    <row r="466">
      <c r="A466" s="17" t="s">
        <v>39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20">
        <f t="shared" ref="AA466:AA470" si="161">SUM(B466:Z466)</f>
        <v>0</v>
      </c>
      <c r="AB466" s="21" t="str">
        <f t="shared" ref="AB466:AB469" si="162">AA466/(COUNT(B466:Z466)*1)</f>
        <v>#DIV/0!</v>
      </c>
      <c r="AC466" s="2"/>
    </row>
    <row r="467">
      <c r="A467" s="17" t="s">
        <v>40</v>
      </c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20">
        <f t="shared" si="161"/>
        <v>0</v>
      </c>
      <c r="AB467" s="21" t="str">
        <f t="shared" si="162"/>
        <v>#DIV/0!</v>
      </c>
      <c r="AC467" s="2"/>
    </row>
    <row r="468">
      <c r="A468" s="17" t="s">
        <v>41</v>
      </c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20">
        <f t="shared" si="161"/>
        <v>0</v>
      </c>
      <c r="AB468" s="21" t="str">
        <f t="shared" si="162"/>
        <v>#DIV/0!</v>
      </c>
      <c r="AC468" s="2"/>
    </row>
    <row r="469">
      <c r="A469" s="17" t="s">
        <v>42</v>
      </c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20">
        <f t="shared" si="161"/>
        <v>0</v>
      </c>
      <c r="AB469" s="21" t="str">
        <f t="shared" si="162"/>
        <v>#DIV/0!</v>
      </c>
      <c r="AC469" s="2"/>
    </row>
    <row r="470">
      <c r="A470" s="17" t="s">
        <v>43</v>
      </c>
      <c r="B470" s="22">
        <f t="shared" ref="B470:Z470" si="163">SUM(B466:B469)</f>
        <v>0</v>
      </c>
      <c r="C470" s="22">
        <f t="shared" si="163"/>
        <v>0</v>
      </c>
      <c r="D470" s="22">
        <f t="shared" si="163"/>
        <v>0</v>
      </c>
      <c r="E470" s="22">
        <f t="shared" si="163"/>
        <v>0</v>
      </c>
      <c r="F470" s="22">
        <f t="shared" si="163"/>
        <v>0</v>
      </c>
      <c r="G470" s="22">
        <f t="shared" si="163"/>
        <v>0</v>
      </c>
      <c r="H470" s="22">
        <f t="shared" si="163"/>
        <v>0</v>
      </c>
      <c r="I470" s="22">
        <f t="shared" si="163"/>
        <v>0</v>
      </c>
      <c r="J470" s="22">
        <f t="shared" si="163"/>
        <v>0</v>
      </c>
      <c r="K470" s="22">
        <f t="shared" si="163"/>
        <v>0</v>
      </c>
      <c r="L470" s="22">
        <f t="shared" si="163"/>
        <v>0</v>
      </c>
      <c r="M470" s="22">
        <f t="shared" si="163"/>
        <v>0</v>
      </c>
      <c r="N470" s="22">
        <f t="shared" si="163"/>
        <v>0</v>
      </c>
      <c r="O470" s="22">
        <f t="shared" si="163"/>
        <v>0</v>
      </c>
      <c r="P470" s="22">
        <f t="shared" si="163"/>
        <v>0</v>
      </c>
      <c r="Q470" s="22">
        <f t="shared" si="163"/>
        <v>0</v>
      </c>
      <c r="R470" s="22">
        <f t="shared" si="163"/>
        <v>0</v>
      </c>
      <c r="S470" s="22">
        <f t="shared" si="163"/>
        <v>0</v>
      </c>
      <c r="T470" s="22">
        <f t="shared" si="163"/>
        <v>0</v>
      </c>
      <c r="U470" s="22">
        <f t="shared" si="163"/>
        <v>0</v>
      </c>
      <c r="V470" s="22">
        <f t="shared" si="163"/>
        <v>0</v>
      </c>
      <c r="W470" s="22">
        <f t="shared" si="163"/>
        <v>0</v>
      </c>
      <c r="X470" s="22">
        <f t="shared" si="163"/>
        <v>0</v>
      </c>
      <c r="Y470" s="22">
        <f t="shared" si="163"/>
        <v>0</v>
      </c>
      <c r="Z470" s="22">
        <f t="shared" si="163"/>
        <v>0</v>
      </c>
      <c r="AA470" s="20">
        <f t="shared" si="161"/>
        <v>0</v>
      </c>
      <c r="AB470" s="23"/>
      <c r="AC470" s="2"/>
    </row>
    <row r="471">
      <c r="A471" s="17" t="s">
        <v>38</v>
      </c>
      <c r="B471" s="24" t="str">
        <f t="shared" ref="B471:Z471" si="164">B470/(COUNT(B466:B469)*1)</f>
        <v>#DIV/0!</v>
      </c>
      <c r="C471" s="24" t="str">
        <f t="shared" si="164"/>
        <v>#DIV/0!</v>
      </c>
      <c r="D471" s="24" t="str">
        <f t="shared" si="164"/>
        <v>#DIV/0!</v>
      </c>
      <c r="E471" s="24" t="str">
        <f t="shared" si="164"/>
        <v>#DIV/0!</v>
      </c>
      <c r="F471" s="24" t="str">
        <f t="shared" si="164"/>
        <v>#DIV/0!</v>
      </c>
      <c r="G471" s="24" t="str">
        <f t="shared" si="164"/>
        <v>#DIV/0!</v>
      </c>
      <c r="H471" s="24" t="str">
        <f t="shared" si="164"/>
        <v>#DIV/0!</v>
      </c>
      <c r="I471" s="24" t="str">
        <f t="shared" si="164"/>
        <v>#DIV/0!</v>
      </c>
      <c r="J471" s="24" t="str">
        <f t="shared" si="164"/>
        <v>#DIV/0!</v>
      </c>
      <c r="K471" s="24" t="str">
        <f t="shared" si="164"/>
        <v>#DIV/0!</v>
      </c>
      <c r="L471" s="24" t="str">
        <f t="shared" si="164"/>
        <v>#DIV/0!</v>
      </c>
      <c r="M471" s="24" t="str">
        <f t="shared" si="164"/>
        <v>#DIV/0!</v>
      </c>
      <c r="N471" s="24" t="str">
        <f t="shared" si="164"/>
        <v>#DIV/0!</v>
      </c>
      <c r="O471" s="24" t="str">
        <f t="shared" si="164"/>
        <v>#DIV/0!</v>
      </c>
      <c r="P471" s="24" t="str">
        <f t="shared" si="164"/>
        <v>#DIV/0!</v>
      </c>
      <c r="Q471" s="24" t="str">
        <f t="shared" si="164"/>
        <v>#DIV/0!</v>
      </c>
      <c r="R471" s="24" t="str">
        <f t="shared" si="164"/>
        <v>#DIV/0!</v>
      </c>
      <c r="S471" s="24" t="str">
        <f t="shared" si="164"/>
        <v>#DIV/0!</v>
      </c>
      <c r="T471" s="24" t="str">
        <f t="shared" si="164"/>
        <v>#DIV/0!</v>
      </c>
      <c r="U471" s="24" t="str">
        <f t="shared" si="164"/>
        <v>#DIV/0!</v>
      </c>
      <c r="V471" s="24" t="str">
        <f t="shared" si="164"/>
        <v>#DIV/0!</v>
      </c>
      <c r="W471" s="24" t="str">
        <f t="shared" si="164"/>
        <v>#DIV/0!</v>
      </c>
      <c r="X471" s="24" t="str">
        <f t="shared" si="164"/>
        <v>#DIV/0!</v>
      </c>
      <c r="Y471" s="24" t="str">
        <f t="shared" si="164"/>
        <v>#DIV/0!</v>
      </c>
      <c r="Z471" s="24" t="str">
        <f t="shared" si="164"/>
        <v>#DIV/0!</v>
      </c>
      <c r="AA471" s="25"/>
      <c r="AB471" s="26" t="str">
        <f>SUM(AB466:AB469)/4</f>
        <v>#DIV/0!</v>
      </c>
      <c r="AC471" s="2"/>
    </row>
    <row r="472">
      <c r="A472" s="27" t="s">
        <v>44</v>
      </c>
      <c r="B472" s="28"/>
      <c r="C472" s="2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30">
        <f t="shared" ref="AA472:AA474" si="165">SUM(B472:Z472)</f>
        <v>0</v>
      </c>
      <c r="AB472" s="31"/>
      <c r="AC472" s="2"/>
    </row>
    <row r="473">
      <c r="A473" s="32" t="s">
        <v>45</v>
      </c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28"/>
      <c r="W473" s="28"/>
      <c r="X473" s="28"/>
      <c r="Y473" s="28"/>
      <c r="Z473" s="28"/>
      <c r="AA473" s="30">
        <f t="shared" si="165"/>
        <v>0</v>
      </c>
      <c r="AB473" s="31"/>
      <c r="AC473" s="9"/>
    </row>
    <row r="474">
      <c r="A474" s="34" t="s">
        <v>46</v>
      </c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28"/>
      <c r="W474" s="28"/>
      <c r="X474" s="28"/>
      <c r="Y474" s="28"/>
      <c r="Z474" s="28"/>
      <c r="AA474" s="30">
        <f t="shared" si="165"/>
        <v>0</v>
      </c>
      <c r="AB474" s="31"/>
      <c r="AC474" s="9"/>
    </row>
    <row r="475">
      <c r="A475" s="35" t="s">
        <v>47</v>
      </c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7"/>
      <c r="AA475" s="38"/>
      <c r="AB475" s="39"/>
      <c r="AC475" s="2"/>
    </row>
    <row r="476">
      <c r="A476" s="40" t="s">
        <v>48</v>
      </c>
      <c r="B476" s="41"/>
      <c r="C476" s="42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3"/>
      <c r="W476" s="43"/>
      <c r="X476" s="43"/>
      <c r="Y476" s="43"/>
      <c r="Z476" s="43"/>
      <c r="AA476" s="44">
        <f t="shared" ref="AA476:AA477" si="166">SUM(B476:Z476)</f>
        <v>0</v>
      </c>
      <c r="AB476" s="31"/>
      <c r="AC476" s="2"/>
    </row>
    <row r="477">
      <c r="A477" s="40" t="s">
        <v>49</v>
      </c>
      <c r="B477" s="41"/>
      <c r="C477" s="42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3"/>
      <c r="W477" s="43"/>
      <c r="X477" s="43"/>
      <c r="Y477" s="43"/>
      <c r="Z477" s="43"/>
      <c r="AA477" s="44">
        <f t="shared" si="166"/>
        <v>0</v>
      </c>
      <c r="AB477" s="31"/>
      <c r="AC477" s="2"/>
    </row>
    <row r="478">
      <c r="A478" s="40" t="s">
        <v>50</v>
      </c>
      <c r="B478" s="42"/>
      <c r="C478" s="42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3"/>
      <c r="W478" s="43"/>
      <c r="X478" s="43"/>
      <c r="Y478" s="43"/>
      <c r="Z478" s="43"/>
      <c r="AA478" s="44" t="str">
        <f>AVERAGE(B478:Z478)</f>
        <v>#DIV/0!</v>
      </c>
      <c r="AB478" s="31"/>
      <c r="AC478" s="2"/>
    </row>
    <row r="479">
      <c r="A479" s="45" t="s">
        <v>51</v>
      </c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7"/>
      <c r="AA479" s="46"/>
      <c r="AB479" s="39"/>
      <c r="AC479" s="2"/>
    </row>
    <row r="480">
      <c r="A480" s="47" t="s">
        <v>48</v>
      </c>
      <c r="B480" s="48"/>
      <c r="C480" s="49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50"/>
      <c r="W480" s="50"/>
      <c r="X480" s="50"/>
      <c r="Y480" s="50"/>
      <c r="Z480" s="50"/>
      <c r="AA480" s="51">
        <f t="shared" ref="AA480:AA481" si="167">SUM(B480:Z480)</f>
        <v>0</v>
      </c>
      <c r="AB480" s="31"/>
      <c r="AC480" s="2"/>
    </row>
    <row r="481">
      <c r="A481" s="47" t="s">
        <v>49</v>
      </c>
      <c r="B481" s="48"/>
      <c r="C481" s="49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50"/>
      <c r="W481" s="50"/>
      <c r="X481" s="50"/>
      <c r="Y481" s="50"/>
      <c r="Z481" s="50"/>
      <c r="AA481" s="51">
        <f t="shared" si="167"/>
        <v>0</v>
      </c>
      <c r="AB481" s="31"/>
      <c r="AC481" s="2"/>
    </row>
    <row r="482">
      <c r="A482" s="47" t="s">
        <v>50</v>
      </c>
      <c r="B482" s="49"/>
      <c r="C482" s="49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50"/>
      <c r="W482" s="50"/>
      <c r="X482" s="50"/>
      <c r="Y482" s="50"/>
      <c r="Z482" s="50"/>
      <c r="AA482" s="51" t="str">
        <f>AVERAGE(B482:Z482)</f>
        <v>#DIV/0!</v>
      </c>
      <c r="AB482" s="31"/>
      <c r="AC482" s="2"/>
    </row>
    <row r="483">
      <c r="A483" s="52" t="s">
        <v>53</v>
      </c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7"/>
      <c r="AA483" s="38"/>
      <c r="AB483" s="39"/>
      <c r="AC483" s="2"/>
    </row>
    <row r="484">
      <c r="A484" s="40" t="s">
        <v>48</v>
      </c>
      <c r="B484" s="41"/>
      <c r="C484" s="42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3"/>
      <c r="W484" s="43"/>
      <c r="X484" s="43"/>
      <c r="Y484" s="43"/>
      <c r="Z484" s="43"/>
      <c r="AA484" s="44">
        <f t="shared" ref="AA484:AA485" si="168">SUM(B484:Z484)</f>
        <v>0</v>
      </c>
      <c r="AB484" s="31"/>
      <c r="AC484" s="2"/>
    </row>
    <row r="485">
      <c r="A485" s="40" t="s">
        <v>49</v>
      </c>
      <c r="B485" s="41"/>
      <c r="C485" s="42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3"/>
      <c r="W485" s="43"/>
      <c r="X485" s="43"/>
      <c r="Y485" s="43"/>
      <c r="Z485" s="43"/>
      <c r="AA485" s="44">
        <f t="shared" si="168"/>
        <v>0</v>
      </c>
      <c r="AB485" s="31"/>
      <c r="AC485" s="2"/>
    </row>
    <row r="486">
      <c r="A486" s="53" t="s">
        <v>50</v>
      </c>
      <c r="B486" s="54"/>
      <c r="C486" s="54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6"/>
      <c r="W486" s="56"/>
      <c r="X486" s="56"/>
      <c r="Y486" s="56"/>
      <c r="Z486" s="56"/>
      <c r="AA486" s="57" t="str">
        <f>AVERAGE(B486:Z486)</f>
        <v>#DIV/0!</v>
      </c>
      <c r="AB486" s="58"/>
      <c r="AC486" s="2"/>
    </row>
    <row r="487">
      <c r="A487" s="9"/>
      <c r="B487" s="9"/>
      <c r="C487" s="9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71" t="s">
        <v>54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5" t="s">
        <v>37</v>
      </c>
      <c r="AB488" s="16" t="s">
        <v>38</v>
      </c>
      <c r="AC488" s="2"/>
    </row>
    <row r="489">
      <c r="A489" s="17" t="s">
        <v>39</v>
      </c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20">
        <f t="shared" ref="AA489:AA493" si="169">SUM(B489:Z489)</f>
        <v>0</v>
      </c>
      <c r="AB489" s="21" t="str">
        <f t="shared" ref="AB489:AB492" si="170">AA489/(COUNT(B489:Z489)*1)</f>
        <v>#DIV/0!</v>
      </c>
      <c r="AC489" s="2"/>
    </row>
    <row r="490">
      <c r="A490" s="17" t="s">
        <v>40</v>
      </c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20">
        <f t="shared" si="169"/>
        <v>0</v>
      </c>
      <c r="AB490" s="21" t="str">
        <f t="shared" si="170"/>
        <v>#DIV/0!</v>
      </c>
      <c r="AC490" s="2"/>
    </row>
    <row r="491">
      <c r="A491" s="17" t="s">
        <v>41</v>
      </c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20">
        <f t="shared" si="169"/>
        <v>0</v>
      </c>
      <c r="AB491" s="21" t="str">
        <f t="shared" si="170"/>
        <v>#DIV/0!</v>
      </c>
      <c r="AC491" s="2"/>
    </row>
    <row r="492">
      <c r="A492" s="17" t="s">
        <v>42</v>
      </c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20">
        <f t="shared" si="169"/>
        <v>0</v>
      </c>
      <c r="AB492" s="21" t="str">
        <f t="shared" si="170"/>
        <v>#DIV/0!</v>
      </c>
      <c r="AC492" s="2"/>
    </row>
    <row r="493">
      <c r="A493" s="17" t="s">
        <v>43</v>
      </c>
      <c r="B493" s="22">
        <f t="shared" ref="B493:Z493" si="171">SUM(B489:B492)</f>
        <v>0</v>
      </c>
      <c r="C493" s="22">
        <f t="shared" si="171"/>
        <v>0</v>
      </c>
      <c r="D493" s="22">
        <f t="shared" si="171"/>
        <v>0</v>
      </c>
      <c r="E493" s="22">
        <f t="shared" si="171"/>
        <v>0</v>
      </c>
      <c r="F493" s="22">
        <f t="shared" si="171"/>
        <v>0</v>
      </c>
      <c r="G493" s="22">
        <f t="shared" si="171"/>
        <v>0</v>
      </c>
      <c r="H493" s="22">
        <f t="shared" si="171"/>
        <v>0</v>
      </c>
      <c r="I493" s="22">
        <f t="shared" si="171"/>
        <v>0</v>
      </c>
      <c r="J493" s="22">
        <f t="shared" si="171"/>
        <v>0</v>
      </c>
      <c r="K493" s="22">
        <f t="shared" si="171"/>
        <v>0</v>
      </c>
      <c r="L493" s="22">
        <f t="shared" si="171"/>
        <v>0</v>
      </c>
      <c r="M493" s="22">
        <f t="shared" si="171"/>
        <v>0</v>
      </c>
      <c r="N493" s="22">
        <f t="shared" si="171"/>
        <v>0</v>
      </c>
      <c r="O493" s="22">
        <f t="shared" si="171"/>
        <v>0</v>
      </c>
      <c r="P493" s="22">
        <f t="shared" si="171"/>
        <v>0</v>
      </c>
      <c r="Q493" s="22">
        <f t="shared" si="171"/>
        <v>0</v>
      </c>
      <c r="R493" s="22">
        <f t="shared" si="171"/>
        <v>0</v>
      </c>
      <c r="S493" s="22">
        <f t="shared" si="171"/>
        <v>0</v>
      </c>
      <c r="T493" s="22">
        <f t="shared" si="171"/>
        <v>0</v>
      </c>
      <c r="U493" s="22">
        <f t="shared" si="171"/>
        <v>0</v>
      </c>
      <c r="V493" s="22">
        <f t="shared" si="171"/>
        <v>0</v>
      </c>
      <c r="W493" s="22">
        <f t="shared" si="171"/>
        <v>0</v>
      </c>
      <c r="X493" s="22">
        <f t="shared" si="171"/>
        <v>0</v>
      </c>
      <c r="Y493" s="22">
        <f t="shared" si="171"/>
        <v>0</v>
      </c>
      <c r="Z493" s="22">
        <f t="shared" si="171"/>
        <v>0</v>
      </c>
      <c r="AA493" s="20">
        <f t="shared" si="169"/>
        <v>0</v>
      </c>
      <c r="AB493" s="23"/>
      <c r="AC493" s="2"/>
    </row>
    <row r="494">
      <c r="A494" s="17" t="s">
        <v>38</v>
      </c>
      <c r="B494" s="24" t="str">
        <f t="shared" ref="B494:Z494" si="172">B493/(COUNT(B489:B492)*1)</f>
        <v>#DIV/0!</v>
      </c>
      <c r="C494" s="24" t="str">
        <f t="shared" si="172"/>
        <v>#DIV/0!</v>
      </c>
      <c r="D494" s="24" t="str">
        <f t="shared" si="172"/>
        <v>#DIV/0!</v>
      </c>
      <c r="E494" s="24" t="str">
        <f t="shared" si="172"/>
        <v>#DIV/0!</v>
      </c>
      <c r="F494" s="24" t="str">
        <f t="shared" si="172"/>
        <v>#DIV/0!</v>
      </c>
      <c r="G494" s="24" t="str">
        <f t="shared" si="172"/>
        <v>#DIV/0!</v>
      </c>
      <c r="H494" s="24" t="str">
        <f t="shared" si="172"/>
        <v>#DIV/0!</v>
      </c>
      <c r="I494" s="24" t="str">
        <f t="shared" si="172"/>
        <v>#DIV/0!</v>
      </c>
      <c r="J494" s="24" t="str">
        <f t="shared" si="172"/>
        <v>#DIV/0!</v>
      </c>
      <c r="K494" s="24" t="str">
        <f t="shared" si="172"/>
        <v>#DIV/0!</v>
      </c>
      <c r="L494" s="24" t="str">
        <f t="shared" si="172"/>
        <v>#DIV/0!</v>
      </c>
      <c r="M494" s="24" t="str">
        <f t="shared" si="172"/>
        <v>#DIV/0!</v>
      </c>
      <c r="N494" s="24" t="str">
        <f t="shared" si="172"/>
        <v>#DIV/0!</v>
      </c>
      <c r="O494" s="24" t="str">
        <f t="shared" si="172"/>
        <v>#DIV/0!</v>
      </c>
      <c r="P494" s="24" t="str">
        <f t="shared" si="172"/>
        <v>#DIV/0!</v>
      </c>
      <c r="Q494" s="24" t="str">
        <f t="shared" si="172"/>
        <v>#DIV/0!</v>
      </c>
      <c r="R494" s="24" t="str">
        <f t="shared" si="172"/>
        <v>#DIV/0!</v>
      </c>
      <c r="S494" s="24" t="str">
        <f t="shared" si="172"/>
        <v>#DIV/0!</v>
      </c>
      <c r="T494" s="24" t="str">
        <f t="shared" si="172"/>
        <v>#DIV/0!</v>
      </c>
      <c r="U494" s="24" t="str">
        <f t="shared" si="172"/>
        <v>#DIV/0!</v>
      </c>
      <c r="V494" s="24" t="str">
        <f t="shared" si="172"/>
        <v>#DIV/0!</v>
      </c>
      <c r="W494" s="24" t="str">
        <f t="shared" si="172"/>
        <v>#DIV/0!</v>
      </c>
      <c r="X494" s="24" t="str">
        <f t="shared" si="172"/>
        <v>#DIV/0!</v>
      </c>
      <c r="Y494" s="24" t="str">
        <f t="shared" si="172"/>
        <v>#DIV/0!</v>
      </c>
      <c r="Z494" s="24" t="str">
        <f t="shared" si="172"/>
        <v>#DIV/0!</v>
      </c>
      <c r="AA494" s="25"/>
      <c r="AB494" s="26" t="str">
        <f>SUM(AB489:AB492)/4</f>
        <v>#DIV/0!</v>
      </c>
      <c r="AC494" s="2"/>
    </row>
    <row r="495">
      <c r="A495" s="27" t="s">
        <v>44</v>
      </c>
      <c r="B495" s="28"/>
      <c r="C495" s="2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30">
        <f t="shared" ref="AA495:AA497" si="173">SUM(B495:Z495)</f>
        <v>0</v>
      </c>
      <c r="AB495" s="31"/>
      <c r="AC495" s="2"/>
    </row>
    <row r="496">
      <c r="A496" s="32" t="s">
        <v>45</v>
      </c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28"/>
      <c r="W496" s="28"/>
      <c r="X496" s="28"/>
      <c r="Y496" s="28"/>
      <c r="Z496" s="28"/>
      <c r="AA496" s="30">
        <f t="shared" si="173"/>
        <v>0</v>
      </c>
      <c r="AB496" s="31"/>
      <c r="AC496" s="9"/>
    </row>
    <row r="497">
      <c r="A497" s="34" t="s">
        <v>46</v>
      </c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28"/>
      <c r="W497" s="28"/>
      <c r="X497" s="28"/>
      <c r="Y497" s="28"/>
      <c r="Z497" s="28"/>
      <c r="AA497" s="30">
        <f t="shared" si="173"/>
        <v>0</v>
      </c>
      <c r="AB497" s="31"/>
      <c r="AC497" s="9"/>
    </row>
    <row r="498">
      <c r="A498" s="35" t="s">
        <v>47</v>
      </c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7"/>
      <c r="AA498" s="38"/>
      <c r="AB498" s="39"/>
      <c r="AC498" s="2"/>
    </row>
    <row r="499">
      <c r="A499" s="40" t="s">
        <v>48</v>
      </c>
      <c r="B499" s="41"/>
      <c r="C499" s="42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3"/>
      <c r="W499" s="43"/>
      <c r="X499" s="43"/>
      <c r="Y499" s="43"/>
      <c r="Z499" s="43"/>
      <c r="AA499" s="44">
        <f t="shared" ref="AA499:AA500" si="174">SUM(B499:Z499)</f>
        <v>0</v>
      </c>
      <c r="AB499" s="31"/>
      <c r="AC499" s="2"/>
    </row>
    <row r="500">
      <c r="A500" s="40" t="s">
        <v>49</v>
      </c>
      <c r="B500" s="41"/>
      <c r="C500" s="42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3"/>
      <c r="W500" s="43"/>
      <c r="X500" s="43"/>
      <c r="Y500" s="43"/>
      <c r="Z500" s="43"/>
      <c r="AA500" s="44">
        <f t="shared" si="174"/>
        <v>0</v>
      </c>
      <c r="AB500" s="31"/>
      <c r="AC500" s="2"/>
    </row>
    <row r="501">
      <c r="A501" s="40" t="s">
        <v>50</v>
      </c>
      <c r="B501" s="42"/>
      <c r="C501" s="42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3"/>
      <c r="W501" s="43"/>
      <c r="X501" s="43"/>
      <c r="Y501" s="43"/>
      <c r="Z501" s="43"/>
      <c r="AA501" s="44" t="str">
        <f>AVERAGE(B501:Z501)</f>
        <v>#DIV/0!</v>
      </c>
      <c r="AB501" s="31"/>
      <c r="AC501" s="2"/>
    </row>
    <row r="502">
      <c r="A502" s="45" t="s">
        <v>51</v>
      </c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7"/>
      <c r="AA502" s="46"/>
      <c r="AB502" s="39"/>
      <c r="AC502" s="2"/>
    </row>
    <row r="503">
      <c r="A503" s="47" t="s">
        <v>48</v>
      </c>
      <c r="B503" s="48"/>
      <c r="C503" s="49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50"/>
      <c r="W503" s="50"/>
      <c r="X503" s="50"/>
      <c r="Y503" s="50"/>
      <c r="Z503" s="50"/>
      <c r="AA503" s="51">
        <f t="shared" ref="AA503:AA504" si="175">SUM(B503:Z503)</f>
        <v>0</v>
      </c>
      <c r="AB503" s="31"/>
      <c r="AC503" s="2"/>
    </row>
    <row r="504">
      <c r="A504" s="47" t="s">
        <v>49</v>
      </c>
      <c r="B504" s="48"/>
      <c r="C504" s="49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50"/>
      <c r="W504" s="50"/>
      <c r="X504" s="50"/>
      <c r="Y504" s="50"/>
      <c r="Z504" s="50"/>
      <c r="AA504" s="51">
        <f t="shared" si="175"/>
        <v>0</v>
      </c>
      <c r="AB504" s="31"/>
      <c r="AC504" s="2"/>
    </row>
    <row r="505">
      <c r="A505" s="47" t="s">
        <v>50</v>
      </c>
      <c r="B505" s="49"/>
      <c r="C505" s="49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50"/>
      <c r="W505" s="50"/>
      <c r="X505" s="50"/>
      <c r="Y505" s="50"/>
      <c r="Z505" s="50"/>
      <c r="AA505" s="51" t="str">
        <f>AVERAGE(B505:Z505)</f>
        <v>#DIV/0!</v>
      </c>
      <c r="AB505" s="31"/>
      <c r="AC505" s="2"/>
    </row>
    <row r="506">
      <c r="A506" s="52" t="s">
        <v>53</v>
      </c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7"/>
      <c r="AA506" s="38"/>
      <c r="AB506" s="39"/>
      <c r="AC506" s="2"/>
    </row>
    <row r="507">
      <c r="A507" s="40" t="s">
        <v>48</v>
      </c>
      <c r="B507" s="41"/>
      <c r="C507" s="42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3"/>
      <c r="W507" s="43"/>
      <c r="X507" s="43"/>
      <c r="Y507" s="43"/>
      <c r="Z507" s="43"/>
      <c r="AA507" s="44">
        <f t="shared" ref="AA507:AA508" si="176">SUM(B507:Z507)</f>
        <v>0</v>
      </c>
      <c r="AB507" s="31"/>
      <c r="AC507" s="2"/>
    </row>
    <row r="508">
      <c r="A508" s="40" t="s">
        <v>49</v>
      </c>
      <c r="B508" s="41"/>
      <c r="C508" s="42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3"/>
      <c r="W508" s="43"/>
      <c r="X508" s="43"/>
      <c r="Y508" s="43"/>
      <c r="Z508" s="43"/>
      <c r="AA508" s="44">
        <f t="shared" si="176"/>
        <v>0</v>
      </c>
      <c r="AB508" s="31"/>
      <c r="AC508" s="2"/>
    </row>
    <row r="509">
      <c r="A509" s="53" t="s">
        <v>50</v>
      </c>
      <c r="B509" s="54"/>
      <c r="C509" s="54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6"/>
      <c r="W509" s="56"/>
      <c r="X509" s="56"/>
      <c r="Y509" s="56"/>
      <c r="Z509" s="56"/>
      <c r="AA509" s="57" t="str">
        <f>AVERAGE(B509:Z509)</f>
        <v>#DIV/0!</v>
      </c>
      <c r="AB509" s="58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9"/>
      <c r="AB511" s="9"/>
      <c r="AC511" s="2"/>
    </row>
    <row r="512" ht="15.75" customHeight="1">
      <c r="A512" s="72" t="s">
        <v>55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73" t="s">
        <v>56</v>
      </c>
      <c r="AB512" s="73" t="s">
        <v>57</v>
      </c>
      <c r="AC512" s="2"/>
    </row>
    <row r="513" ht="15.75" customHeight="1">
      <c r="A513" s="74" t="s">
        <v>39</v>
      </c>
      <c r="B513" s="75">
        <f t="shared" ref="B513:Z513" si="177">B6+B29+B52+B75+B98+B121+B144+B167+B190+B213+B236+B259+B282+B305+B328+B351+B374+B397+B420+B443+B466+B489</f>
        <v>11</v>
      </c>
      <c r="C513" s="75">
        <f t="shared" si="177"/>
        <v>12</v>
      </c>
      <c r="D513" s="75">
        <f t="shared" si="177"/>
        <v>12</v>
      </c>
      <c r="E513" s="75">
        <f t="shared" si="177"/>
        <v>9</v>
      </c>
      <c r="F513" s="75">
        <f t="shared" si="177"/>
        <v>9</v>
      </c>
      <c r="G513" s="75">
        <f t="shared" si="177"/>
        <v>9</v>
      </c>
      <c r="H513" s="75">
        <f t="shared" si="177"/>
        <v>8</v>
      </c>
      <c r="I513" s="75">
        <f t="shared" si="177"/>
        <v>9</v>
      </c>
      <c r="J513" s="75">
        <f t="shared" si="177"/>
        <v>9</v>
      </c>
      <c r="K513" s="75">
        <f t="shared" si="177"/>
        <v>10</v>
      </c>
      <c r="L513" s="75">
        <f t="shared" si="177"/>
        <v>6</v>
      </c>
      <c r="M513" s="75">
        <f t="shared" si="177"/>
        <v>6</v>
      </c>
      <c r="N513" s="75">
        <f t="shared" si="177"/>
        <v>6</v>
      </c>
      <c r="O513" s="75">
        <f t="shared" si="177"/>
        <v>8</v>
      </c>
      <c r="P513" s="75">
        <f t="shared" si="177"/>
        <v>8</v>
      </c>
      <c r="Q513" s="75">
        <f t="shared" si="177"/>
        <v>7</v>
      </c>
      <c r="R513" s="75">
        <f t="shared" si="177"/>
        <v>8</v>
      </c>
      <c r="S513" s="75">
        <f t="shared" si="177"/>
        <v>8</v>
      </c>
      <c r="T513" s="75">
        <f t="shared" si="177"/>
        <v>7</v>
      </c>
      <c r="U513" s="75">
        <f t="shared" si="177"/>
        <v>5</v>
      </c>
      <c r="V513" s="75">
        <f t="shared" si="177"/>
        <v>6</v>
      </c>
      <c r="W513" s="75">
        <f t="shared" si="177"/>
        <v>5</v>
      </c>
      <c r="X513" s="75">
        <f t="shared" si="177"/>
        <v>5</v>
      </c>
      <c r="Y513" s="75">
        <f t="shared" si="177"/>
        <v>2</v>
      </c>
      <c r="Z513" s="75">
        <f t="shared" si="177"/>
        <v>2</v>
      </c>
      <c r="AA513" s="76">
        <f t="shared" ref="AA513:AA521" si="179">SUM(B513:Z513)</f>
        <v>187</v>
      </c>
      <c r="AB513" s="77">
        <f t="shared" ref="AB513:AB516" si="180">AA513/(COUNT(B6:Z6,B29:Z29,B52:Z52,B75:Z75,B98:Z98,B121:Z121,B144:Z144,B167:Z167,B190:Z190,B213:Z213,B236:Z236,B259:Z259,B282:Z282,B305:Z305,B328:Z328,B351:Z351,B374:Z374,B397:Z397,B420:Z420,B443:Z443,B466:Z466,B489:Z489))</f>
        <v>0.7663934426</v>
      </c>
      <c r="AC513" s="78" t="s">
        <v>39</v>
      </c>
    </row>
    <row r="514" ht="15.75" customHeight="1">
      <c r="A514" s="17" t="s">
        <v>40</v>
      </c>
      <c r="B514" s="20">
        <f t="shared" ref="B514:Z514" si="178">B7+B30+B53+B76+B99+B122+B145+B168+B191+B214+B237+B260+B283+B306+B329+B352+B375+B398+B421+B444+B467+B490</f>
        <v>10</v>
      </c>
      <c r="C514" s="20">
        <f t="shared" si="178"/>
        <v>11</v>
      </c>
      <c r="D514" s="20">
        <f t="shared" si="178"/>
        <v>11</v>
      </c>
      <c r="E514" s="20">
        <f t="shared" si="178"/>
        <v>10</v>
      </c>
      <c r="F514" s="20">
        <f t="shared" si="178"/>
        <v>11</v>
      </c>
      <c r="G514" s="20">
        <f t="shared" si="178"/>
        <v>9</v>
      </c>
      <c r="H514" s="20">
        <f t="shared" si="178"/>
        <v>9</v>
      </c>
      <c r="I514" s="20">
        <f t="shared" si="178"/>
        <v>8</v>
      </c>
      <c r="J514" s="20">
        <f t="shared" si="178"/>
        <v>10</v>
      </c>
      <c r="K514" s="20">
        <f t="shared" si="178"/>
        <v>9</v>
      </c>
      <c r="L514" s="20">
        <f t="shared" si="178"/>
        <v>9</v>
      </c>
      <c r="M514" s="20">
        <f t="shared" si="178"/>
        <v>9</v>
      </c>
      <c r="N514" s="20">
        <f t="shared" si="178"/>
        <v>9</v>
      </c>
      <c r="O514" s="20">
        <f t="shared" si="178"/>
        <v>8</v>
      </c>
      <c r="P514" s="20">
        <f t="shared" si="178"/>
        <v>6</v>
      </c>
      <c r="Q514" s="20">
        <f t="shared" si="178"/>
        <v>8</v>
      </c>
      <c r="R514" s="20">
        <f t="shared" si="178"/>
        <v>8</v>
      </c>
      <c r="S514" s="20">
        <f t="shared" si="178"/>
        <v>9</v>
      </c>
      <c r="T514" s="20">
        <f t="shared" si="178"/>
        <v>8</v>
      </c>
      <c r="U514" s="20">
        <f t="shared" si="178"/>
        <v>8</v>
      </c>
      <c r="V514" s="20">
        <f t="shared" si="178"/>
        <v>8</v>
      </c>
      <c r="W514" s="20">
        <f t="shared" si="178"/>
        <v>7</v>
      </c>
      <c r="X514" s="20">
        <f t="shared" si="178"/>
        <v>9</v>
      </c>
      <c r="Y514" s="20">
        <f t="shared" si="178"/>
        <v>2</v>
      </c>
      <c r="Z514" s="20">
        <f t="shared" si="178"/>
        <v>2</v>
      </c>
      <c r="AA514" s="79">
        <f t="shared" si="179"/>
        <v>208</v>
      </c>
      <c r="AB514" s="80">
        <f t="shared" si="180"/>
        <v>0.8524590164</v>
      </c>
      <c r="AC514" s="81" t="s">
        <v>40</v>
      </c>
    </row>
    <row r="515" ht="15.75" customHeight="1">
      <c r="A515" s="17" t="s">
        <v>41</v>
      </c>
      <c r="B515" s="20">
        <f t="shared" ref="B515:Z515" si="181">B8+B31+B54+B77+B100+B123+B146+B169+B192+B215+B238+B261+B284+B307+B330+B353+B376+B399+B422+B445+B468+B491</f>
        <v>9</v>
      </c>
      <c r="C515" s="20">
        <f t="shared" si="181"/>
        <v>7</v>
      </c>
      <c r="D515" s="20">
        <f t="shared" si="181"/>
        <v>8</v>
      </c>
      <c r="E515" s="20">
        <f t="shared" si="181"/>
        <v>8</v>
      </c>
      <c r="F515" s="20">
        <f t="shared" si="181"/>
        <v>9</v>
      </c>
      <c r="G515" s="20">
        <f t="shared" si="181"/>
        <v>6</v>
      </c>
      <c r="H515" s="20">
        <f t="shared" si="181"/>
        <v>7</v>
      </c>
      <c r="I515" s="20">
        <f t="shared" si="181"/>
        <v>7</v>
      </c>
      <c r="J515" s="20">
        <f t="shared" si="181"/>
        <v>9</v>
      </c>
      <c r="K515" s="20">
        <f t="shared" si="181"/>
        <v>7</v>
      </c>
      <c r="L515" s="20">
        <f t="shared" si="181"/>
        <v>7</v>
      </c>
      <c r="M515" s="20">
        <f t="shared" si="181"/>
        <v>8</v>
      </c>
      <c r="N515" s="20">
        <f t="shared" si="181"/>
        <v>8</v>
      </c>
      <c r="O515" s="20">
        <f t="shared" si="181"/>
        <v>7</v>
      </c>
      <c r="P515" s="20">
        <f t="shared" si="181"/>
        <v>7</v>
      </c>
      <c r="Q515" s="20">
        <f t="shared" si="181"/>
        <v>8</v>
      </c>
      <c r="R515" s="20">
        <f t="shared" si="181"/>
        <v>8</v>
      </c>
      <c r="S515" s="20">
        <f t="shared" si="181"/>
        <v>8</v>
      </c>
      <c r="T515" s="20">
        <f t="shared" si="181"/>
        <v>8</v>
      </c>
      <c r="U515" s="20">
        <f t="shared" si="181"/>
        <v>6</v>
      </c>
      <c r="V515" s="20">
        <f t="shared" si="181"/>
        <v>8</v>
      </c>
      <c r="W515" s="20">
        <f t="shared" si="181"/>
        <v>4</v>
      </c>
      <c r="X515" s="20">
        <f t="shared" si="181"/>
        <v>5</v>
      </c>
      <c r="Y515" s="20">
        <f t="shared" si="181"/>
        <v>2</v>
      </c>
      <c r="Z515" s="20">
        <f t="shared" si="181"/>
        <v>2</v>
      </c>
      <c r="AA515" s="79">
        <f t="shared" si="179"/>
        <v>173</v>
      </c>
      <c r="AB515" s="80">
        <f t="shared" si="180"/>
        <v>0.706122449</v>
      </c>
      <c r="AC515" s="81" t="s">
        <v>41</v>
      </c>
    </row>
    <row r="516" ht="15.75" customHeight="1">
      <c r="A516" s="17" t="s">
        <v>42</v>
      </c>
      <c r="B516" s="20">
        <f t="shared" ref="B516:Z516" si="182">B9+B32+B55+B78+B101+B124+B147+B170+B193+B216+B239+B262+B285+B308+B331+B354+B377+B400+B423+B446+B469+B492</f>
        <v>7</v>
      </c>
      <c r="C516" s="20">
        <f t="shared" si="182"/>
        <v>5</v>
      </c>
      <c r="D516" s="20">
        <f t="shared" si="182"/>
        <v>7</v>
      </c>
      <c r="E516" s="20">
        <f t="shared" si="182"/>
        <v>7</v>
      </c>
      <c r="F516" s="20">
        <f t="shared" si="182"/>
        <v>8</v>
      </c>
      <c r="G516" s="20">
        <f t="shared" si="182"/>
        <v>7</v>
      </c>
      <c r="H516" s="20">
        <f t="shared" si="182"/>
        <v>5</v>
      </c>
      <c r="I516" s="20">
        <f t="shared" si="182"/>
        <v>7</v>
      </c>
      <c r="J516" s="20">
        <f t="shared" si="182"/>
        <v>7</v>
      </c>
      <c r="K516" s="20">
        <f t="shared" si="182"/>
        <v>5</v>
      </c>
      <c r="L516" s="20">
        <f t="shared" si="182"/>
        <v>7</v>
      </c>
      <c r="M516" s="20">
        <f t="shared" si="182"/>
        <v>6</v>
      </c>
      <c r="N516" s="20">
        <f t="shared" si="182"/>
        <v>6</v>
      </c>
      <c r="O516" s="20">
        <f t="shared" si="182"/>
        <v>6</v>
      </c>
      <c r="P516" s="20">
        <f t="shared" si="182"/>
        <v>5</v>
      </c>
      <c r="Q516" s="20">
        <f t="shared" si="182"/>
        <v>4</v>
      </c>
      <c r="R516" s="20">
        <f t="shared" si="182"/>
        <v>5</v>
      </c>
      <c r="S516" s="20">
        <f t="shared" si="182"/>
        <v>5</v>
      </c>
      <c r="T516" s="20">
        <f t="shared" si="182"/>
        <v>2</v>
      </c>
      <c r="U516" s="20">
        <f t="shared" si="182"/>
        <v>3</v>
      </c>
      <c r="V516" s="20">
        <f t="shared" si="182"/>
        <v>3</v>
      </c>
      <c r="W516" s="20">
        <f t="shared" si="182"/>
        <v>3</v>
      </c>
      <c r="X516" s="20">
        <f t="shared" si="182"/>
        <v>5</v>
      </c>
      <c r="Y516" s="20">
        <f t="shared" si="182"/>
        <v>1</v>
      </c>
      <c r="Z516" s="20">
        <f t="shared" si="182"/>
        <v>1</v>
      </c>
      <c r="AA516" s="79">
        <f t="shared" si="179"/>
        <v>127</v>
      </c>
      <c r="AB516" s="80">
        <f t="shared" si="180"/>
        <v>0.5204918033</v>
      </c>
      <c r="AC516" s="81" t="s">
        <v>42</v>
      </c>
    </row>
    <row r="517" ht="15.75" hidden="1" customHeight="1">
      <c r="A517" s="82"/>
      <c r="B517" s="20">
        <f t="shared" ref="B517:Z517" si="183">B513+B514+B515+B516</f>
        <v>37</v>
      </c>
      <c r="C517" s="20">
        <f t="shared" si="183"/>
        <v>35</v>
      </c>
      <c r="D517" s="20">
        <f t="shared" si="183"/>
        <v>38</v>
      </c>
      <c r="E517" s="20">
        <f t="shared" si="183"/>
        <v>34</v>
      </c>
      <c r="F517" s="20">
        <f t="shared" si="183"/>
        <v>37</v>
      </c>
      <c r="G517" s="20">
        <f t="shared" si="183"/>
        <v>31</v>
      </c>
      <c r="H517" s="20">
        <f t="shared" si="183"/>
        <v>29</v>
      </c>
      <c r="I517" s="20">
        <f t="shared" si="183"/>
        <v>31</v>
      </c>
      <c r="J517" s="20">
        <f t="shared" si="183"/>
        <v>35</v>
      </c>
      <c r="K517" s="20">
        <f t="shared" si="183"/>
        <v>31</v>
      </c>
      <c r="L517" s="20">
        <f t="shared" si="183"/>
        <v>29</v>
      </c>
      <c r="M517" s="20">
        <f t="shared" si="183"/>
        <v>29</v>
      </c>
      <c r="N517" s="20">
        <f t="shared" si="183"/>
        <v>29</v>
      </c>
      <c r="O517" s="20">
        <f t="shared" si="183"/>
        <v>29</v>
      </c>
      <c r="P517" s="20">
        <f t="shared" si="183"/>
        <v>26</v>
      </c>
      <c r="Q517" s="20">
        <f t="shared" si="183"/>
        <v>27</v>
      </c>
      <c r="R517" s="20">
        <f t="shared" si="183"/>
        <v>29</v>
      </c>
      <c r="S517" s="20">
        <f t="shared" si="183"/>
        <v>30</v>
      </c>
      <c r="T517" s="20">
        <f t="shared" si="183"/>
        <v>25</v>
      </c>
      <c r="U517" s="20">
        <f t="shared" si="183"/>
        <v>22</v>
      </c>
      <c r="V517" s="20">
        <f t="shared" si="183"/>
        <v>25</v>
      </c>
      <c r="W517" s="20">
        <f t="shared" si="183"/>
        <v>19</v>
      </c>
      <c r="X517" s="20">
        <f t="shared" si="183"/>
        <v>24</v>
      </c>
      <c r="Y517" s="20">
        <f t="shared" si="183"/>
        <v>7</v>
      </c>
      <c r="Z517" s="20">
        <f t="shared" si="183"/>
        <v>7</v>
      </c>
      <c r="AA517" s="79">
        <f t="shared" si="179"/>
        <v>695</v>
      </c>
      <c r="AB517" s="83"/>
      <c r="AC517" s="82"/>
    </row>
    <row r="518" ht="15.75" customHeight="1">
      <c r="A518" s="84" t="s">
        <v>58</v>
      </c>
      <c r="B518" s="85">
        <f t="shared" ref="B518:Z518" si="184">B517/(COUNT(B6:B9,B29:B32,B52:B55,B75:B78,B98:B101,B121:B124,B144:B147,B167:B170,B190:B193,B213:B216,B236:B239,B259:B262,B282:B285,B305:B308,B328:B331,B351:B354,B374:B377,B397:B400,B420:B423,B443:B446,B466:B469,B489:B492)*1)</f>
        <v>0.8409090909</v>
      </c>
      <c r="C518" s="85">
        <f t="shared" si="184"/>
        <v>0.7291666667</v>
      </c>
      <c r="D518" s="85">
        <f t="shared" si="184"/>
        <v>0.7916666667</v>
      </c>
      <c r="E518" s="85">
        <f t="shared" si="184"/>
        <v>0.7083333333</v>
      </c>
      <c r="F518" s="85">
        <f t="shared" si="184"/>
        <v>0.7708333333</v>
      </c>
      <c r="G518" s="85">
        <f t="shared" si="184"/>
        <v>0.6458333333</v>
      </c>
      <c r="H518" s="85">
        <f t="shared" si="184"/>
        <v>0.6041666667</v>
      </c>
      <c r="I518" s="85">
        <f t="shared" si="184"/>
        <v>0.6458333333</v>
      </c>
      <c r="J518" s="85">
        <f t="shared" si="184"/>
        <v>0.7291666667</v>
      </c>
      <c r="K518" s="85">
        <f t="shared" si="184"/>
        <v>0.7045454545</v>
      </c>
      <c r="L518" s="85">
        <f t="shared" si="184"/>
        <v>0.6590909091</v>
      </c>
      <c r="M518" s="85">
        <f t="shared" si="184"/>
        <v>0.6590909091</v>
      </c>
      <c r="N518" s="85">
        <f t="shared" si="184"/>
        <v>0.725</v>
      </c>
      <c r="O518" s="85">
        <f t="shared" si="184"/>
        <v>0.8055555556</v>
      </c>
      <c r="P518" s="85">
        <f t="shared" si="184"/>
        <v>0.7027027027</v>
      </c>
      <c r="Q518" s="85">
        <f t="shared" si="184"/>
        <v>0.75</v>
      </c>
      <c r="R518" s="85">
        <f t="shared" si="184"/>
        <v>0.8055555556</v>
      </c>
      <c r="S518" s="85">
        <f t="shared" si="184"/>
        <v>0.8333333333</v>
      </c>
      <c r="T518" s="85">
        <f t="shared" si="184"/>
        <v>0.6944444444</v>
      </c>
      <c r="U518" s="85">
        <f t="shared" si="184"/>
        <v>0.6111111111</v>
      </c>
      <c r="V518" s="85">
        <f t="shared" si="184"/>
        <v>0.6944444444</v>
      </c>
      <c r="W518" s="85">
        <f t="shared" si="184"/>
        <v>0.5277777778</v>
      </c>
      <c r="X518" s="85">
        <f t="shared" si="184"/>
        <v>0.6666666667</v>
      </c>
      <c r="Y518" s="85">
        <f t="shared" si="184"/>
        <v>0.875</v>
      </c>
      <c r="Z518" s="85">
        <f t="shared" si="184"/>
        <v>0.875</v>
      </c>
      <c r="AA518" s="86">
        <f t="shared" si="179"/>
        <v>18.05522796</v>
      </c>
      <c r="AB518" s="80">
        <f>SUM(AB513:AB516)/4</f>
        <v>0.7113666778</v>
      </c>
      <c r="AC518" s="87" t="s">
        <v>58</v>
      </c>
    </row>
    <row r="519">
      <c r="A519" s="27" t="s">
        <v>44</v>
      </c>
      <c r="B519" s="88">
        <f t="shared" ref="B519:Z519" si="185">B12+B35+B58+B81+B104+B127+B150+B173+B196+B219+B242+B265+B288+B311+B334+B357+B380+B403+B426+B449+B472+B495</f>
        <v>0</v>
      </c>
      <c r="C519" s="88">
        <f t="shared" si="185"/>
        <v>0</v>
      </c>
      <c r="D519" s="88">
        <f t="shared" si="185"/>
        <v>0</v>
      </c>
      <c r="E519" s="88">
        <f t="shared" si="185"/>
        <v>40</v>
      </c>
      <c r="F519" s="88">
        <f t="shared" si="185"/>
        <v>40</v>
      </c>
      <c r="G519" s="88">
        <f t="shared" si="185"/>
        <v>40</v>
      </c>
      <c r="H519" s="88">
        <f t="shared" si="185"/>
        <v>40</v>
      </c>
      <c r="I519" s="88">
        <f t="shared" si="185"/>
        <v>20</v>
      </c>
      <c r="J519" s="88">
        <f t="shared" si="185"/>
        <v>20</v>
      </c>
      <c r="K519" s="88">
        <f t="shared" si="185"/>
        <v>21</v>
      </c>
      <c r="L519" s="88">
        <f t="shared" si="185"/>
        <v>20</v>
      </c>
      <c r="M519" s="88">
        <f t="shared" si="185"/>
        <v>0</v>
      </c>
      <c r="N519" s="88">
        <f t="shared" si="185"/>
        <v>0</v>
      </c>
      <c r="O519" s="88">
        <f t="shared" si="185"/>
        <v>0</v>
      </c>
      <c r="P519" s="88">
        <f t="shared" si="185"/>
        <v>0</v>
      </c>
      <c r="Q519" s="88">
        <f t="shared" si="185"/>
        <v>0</v>
      </c>
      <c r="R519" s="88">
        <f t="shared" si="185"/>
        <v>0</v>
      </c>
      <c r="S519" s="88">
        <f t="shared" si="185"/>
        <v>0</v>
      </c>
      <c r="T519" s="88">
        <f t="shared" si="185"/>
        <v>0</v>
      </c>
      <c r="U519" s="88">
        <f t="shared" si="185"/>
        <v>1</v>
      </c>
      <c r="V519" s="88">
        <f t="shared" si="185"/>
        <v>1</v>
      </c>
      <c r="W519" s="88">
        <f t="shared" si="185"/>
        <v>0</v>
      </c>
      <c r="X519" s="88">
        <f t="shared" si="185"/>
        <v>0</v>
      </c>
      <c r="Y519" s="88">
        <f t="shared" si="185"/>
        <v>0</v>
      </c>
      <c r="Z519" s="88">
        <f t="shared" si="185"/>
        <v>0</v>
      </c>
      <c r="AA519" s="89">
        <f t="shared" si="179"/>
        <v>243</v>
      </c>
      <c r="AB519" s="90" t="s">
        <v>59</v>
      </c>
      <c r="AC519" s="91"/>
    </row>
    <row r="520" ht="15.75" customHeight="1">
      <c r="A520" s="32" t="s">
        <v>45</v>
      </c>
      <c r="B520" s="88">
        <f t="shared" ref="B520:Z520" si="186">B13+B36+B59+B82+B105+B128+B151+B174+B197+B220+B243+B266+B289+B312+B335+B358+B381+B404+B427+B450+B473+B496</f>
        <v>0</v>
      </c>
      <c r="C520" s="88">
        <f t="shared" si="186"/>
        <v>0</v>
      </c>
      <c r="D520" s="88">
        <f t="shared" si="186"/>
        <v>0</v>
      </c>
      <c r="E520" s="88">
        <f t="shared" si="186"/>
        <v>0</v>
      </c>
      <c r="F520" s="88">
        <f t="shared" si="186"/>
        <v>0</v>
      </c>
      <c r="G520" s="88">
        <f t="shared" si="186"/>
        <v>0</v>
      </c>
      <c r="H520" s="88">
        <f t="shared" si="186"/>
        <v>0</v>
      </c>
      <c r="I520" s="88">
        <f t="shared" si="186"/>
        <v>0</v>
      </c>
      <c r="J520" s="88">
        <f t="shared" si="186"/>
        <v>0</v>
      </c>
      <c r="K520" s="88">
        <f t="shared" si="186"/>
        <v>3</v>
      </c>
      <c r="L520" s="88">
        <f t="shared" si="186"/>
        <v>0</v>
      </c>
      <c r="M520" s="88">
        <f t="shared" si="186"/>
        <v>4</v>
      </c>
      <c r="N520" s="88">
        <f t="shared" si="186"/>
        <v>7</v>
      </c>
      <c r="O520" s="88">
        <f t="shared" si="186"/>
        <v>4</v>
      </c>
      <c r="P520" s="88">
        <f t="shared" si="186"/>
        <v>0</v>
      </c>
      <c r="Q520" s="88">
        <f t="shared" si="186"/>
        <v>0</v>
      </c>
      <c r="R520" s="88">
        <f t="shared" si="186"/>
        <v>0</v>
      </c>
      <c r="S520" s="88">
        <f t="shared" si="186"/>
        <v>0</v>
      </c>
      <c r="T520" s="88">
        <f t="shared" si="186"/>
        <v>0</v>
      </c>
      <c r="U520" s="88">
        <f t="shared" si="186"/>
        <v>2</v>
      </c>
      <c r="V520" s="88">
        <f t="shared" si="186"/>
        <v>3</v>
      </c>
      <c r="W520" s="88">
        <f t="shared" si="186"/>
        <v>0</v>
      </c>
      <c r="X520" s="88">
        <f t="shared" si="186"/>
        <v>0</v>
      </c>
      <c r="Y520" s="88">
        <f t="shared" si="186"/>
        <v>0</v>
      </c>
      <c r="Z520" s="88">
        <f t="shared" si="186"/>
        <v>0</v>
      </c>
      <c r="AA520" s="89">
        <f t="shared" si="179"/>
        <v>23</v>
      </c>
      <c r="AB520" s="90" t="s">
        <v>59</v>
      </c>
      <c r="AC520" s="92"/>
    </row>
    <row r="521">
      <c r="A521" s="93" t="s">
        <v>46</v>
      </c>
      <c r="B521" s="88">
        <f t="shared" ref="B521:Z521" si="187">B14+B37+B60+B83+B106+B129+B152+B175+B198+B221+B244+B267+B290+B313+B336+B359+B382+B405+B428+B451+B474+B497</f>
        <v>0</v>
      </c>
      <c r="C521" s="88">
        <f t="shared" si="187"/>
        <v>0</v>
      </c>
      <c r="D521" s="88">
        <f t="shared" si="187"/>
        <v>0</v>
      </c>
      <c r="E521" s="88">
        <f t="shared" si="187"/>
        <v>0</v>
      </c>
      <c r="F521" s="88">
        <f t="shared" si="187"/>
        <v>0</v>
      </c>
      <c r="G521" s="88">
        <f t="shared" si="187"/>
        <v>0</v>
      </c>
      <c r="H521" s="88">
        <f t="shared" si="187"/>
        <v>0</v>
      </c>
      <c r="I521" s="88">
        <f t="shared" si="187"/>
        <v>0</v>
      </c>
      <c r="J521" s="88">
        <f t="shared" si="187"/>
        <v>0</v>
      </c>
      <c r="K521" s="88">
        <f t="shared" si="187"/>
        <v>2</v>
      </c>
      <c r="L521" s="88">
        <f t="shared" si="187"/>
        <v>0</v>
      </c>
      <c r="M521" s="88">
        <f t="shared" si="187"/>
        <v>0</v>
      </c>
      <c r="N521" s="88">
        <f t="shared" si="187"/>
        <v>0</v>
      </c>
      <c r="O521" s="88">
        <f t="shared" si="187"/>
        <v>0</v>
      </c>
      <c r="P521" s="88">
        <f t="shared" si="187"/>
        <v>0</v>
      </c>
      <c r="Q521" s="88">
        <f t="shared" si="187"/>
        <v>0</v>
      </c>
      <c r="R521" s="88">
        <f t="shared" si="187"/>
        <v>0</v>
      </c>
      <c r="S521" s="88">
        <f t="shared" si="187"/>
        <v>0</v>
      </c>
      <c r="T521" s="88">
        <f t="shared" si="187"/>
        <v>0</v>
      </c>
      <c r="U521" s="88">
        <f t="shared" si="187"/>
        <v>2</v>
      </c>
      <c r="V521" s="88">
        <f t="shared" si="187"/>
        <v>2</v>
      </c>
      <c r="W521" s="88">
        <f t="shared" si="187"/>
        <v>0</v>
      </c>
      <c r="X521" s="88">
        <f t="shared" si="187"/>
        <v>0</v>
      </c>
      <c r="Y521" s="88">
        <f t="shared" si="187"/>
        <v>0</v>
      </c>
      <c r="Z521" s="88">
        <f t="shared" si="187"/>
        <v>0</v>
      </c>
      <c r="AA521" s="89">
        <f t="shared" si="179"/>
        <v>6</v>
      </c>
      <c r="AB521" s="90" t="s">
        <v>59</v>
      </c>
      <c r="AC521" s="92"/>
    </row>
    <row r="522">
      <c r="A522" s="94" t="s">
        <v>47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95"/>
      <c r="AB522" s="96" t="s">
        <v>47</v>
      </c>
      <c r="AC522" s="95"/>
    </row>
    <row r="523" ht="15.75" customHeight="1">
      <c r="A523" s="97" t="s">
        <v>48</v>
      </c>
      <c r="B523" s="98">
        <f t="shared" ref="B523:Z523" si="188">B16+B39+B62+B85+B108+B131+B154+B177+B200+B223+B246+B269+B292+B315+B338+B361+B384+B407+B430+B453+B476+B499</f>
        <v>0</v>
      </c>
      <c r="C523" s="98">
        <f t="shared" si="188"/>
        <v>0</v>
      </c>
      <c r="D523" s="98">
        <f t="shared" si="188"/>
        <v>0</v>
      </c>
      <c r="E523" s="98">
        <f t="shared" si="188"/>
        <v>2</v>
      </c>
      <c r="F523" s="98">
        <f t="shared" si="188"/>
        <v>2</v>
      </c>
      <c r="G523" s="98">
        <f t="shared" si="188"/>
        <v>2</v>
      </c>
      <c r="H523" s="98">
        <f t="shared" si="188"/>
        <v>3</v>
      </c>
      <c r="I523" s="98">
        <f t="shared" si="188"/>
        <v>5</v>
      </c>
      <c r="J523" s="98">
        <f t="shared" si="188"/>
        <v>1</v>
      </c>
      <c r="K523" s="98">
        <f t="shared" si="188"/>
        <v>1</v>
      </c>
      <c r="L523" s="98">
        <f t="shared" si="188"/>
        <v>1</v>
      </c>
      <c r="M523" s="98">
        <f t="shared" si="188"/>
        <v>1</v>
      </c>
      <c r="N523" s="98">
        <f t="shared" si="188"/>
        <v>1</v>
      </c>
      <c r="O523" s="98">
        <f t="shared" si="188"/>
        <v>1</v>
      </c>
      <c r="P523" s="98">
        <f t="shared" si="188"/>
        <v>1</v>
      </c>
      <c r="Q523" s="98">
        <f t="shared" si="188"/>
        <v>0</v>
      </c>
      <c r="R523" s="98">
        <f t="shared" si="188"/>
        <v>0</v>
      </c>
      <c r="S523" s="98">
        <f t="shared" si="188"/>
        <v>0</v>
      </c>
      <c r="T523" s="98">
        <f t="shared" si="188"/>
        <v>0</v>
      </c>
      <c r="U523" s="98">
        <f t="shared" si="188"/>
        <v>0</v>
      </c>
      <c r="V523" s="98">
        <f t="shared" si="188"/>
        <v>1</v>
      </c>
      <c r="W523" s="98">
        <f t="shared" si="188"/>
        <v>1</v>
      </c>
      <c r="X523" s="98">
        <f t="shared" si="188"/>
        <v>0</v>
      </c>
      <c r="Y523" s="98">
        <f t="shared" si="188"/>
        <v>0</v>
      </c>
      <c r="Z523" s="98">
        <f t="shared" si="188"/>
        <v>0</v>
      </c>
      <c r="AA523" s="99">
        <f t="shared" ref="AA523:AA524" si="190">SUM(B523:Z523)</f>
        <v>23</v>
      </c>
      <c r="AB523" s="100" t="s">
        <v>60</v>
      </c>
      <c r="AC523" s="95"/>
    </row>
    <row r="524" ht="15.75" customHeight="1">
      <c r="A524" s="97" t="s">
        <v>49</v>
      </c>
      <c r="B524" s="98">
        <f t="shared" ref="B524:Z524" si="189">B17+B40+B63+B86+B109+B132+B155+B178+B201+B224+B247+B270+B293+B316+B339+B362+B385+B408+B431+B454+B477+B500</f>
        <v>0</v>
      </c>
      <c r="C524" s="98">
        <f t="shared" si="189"/>
        <v>0</v>
      </c>
      <c r="D524" s="98">
        <f t="shared" si="189"/>
        <v>0</v>
      </c>
      <c r="E524" s="98">
        <f t="shared" si="189"/>
        <v>40</v>
      </c>
      <c r="F524" s="98">
        <f t="shared" si="189"/>
        <v>40</v>
      </c>
      <c r="G524" s="98">
        <f t="shared" si="189"/>
        <v>40</v>
      </c>
      <c r="H524" s="98">
        <f t="shared" si="189"/>
        <v>41</v>
      </c>
      <c r="I524" s="98">
        <f t="shared" si="189"/>
        <v>21</v>
      </c>
      <c r="J524" s="98">
        <f t="shared" si="189"/>
        <v>20</v>
      </c>
      <c r="K524" s="98">
        <f t="shared" si="189"/>
        <v>20</v>
      </c>
      <c r="L524" s="98">
        <f t="shared" si="189"/>
        <v>20</v>
      </c>
      <c r="M524" s="98">
        <f t="shared" si="189"/>
        <v>15</v>
      </c>
      <c r="N524" s="98">
        <f t="shared" si="189"/>
        <v>15</v>
      </c>
      <c r="O524" s="98">
        <f t="shared" si="189"/>
        <v>15</v>
      </c>
      <c r="P524" s="98">
        <f t="shared" si="189"/>
        <v>15</v>
      </c>
      <c r="Q524" s="98">
        <f t="shared" si="189"/>
        <v>0</v>
      </c>
      <c r="R524" s="98">
        <f t="shared" si="189"/>
        <v>0</v>
      </c>
      <c r="S524" s="98">
        <f t="shared" si="189"/>
        <v>0</v>
      </c>
      <c r="T524" s="98">
        <f t="shared" si="189"/>
        <v>0</v>
      </c>
      <c r="U524" s="98">
        <f t="shared" si="189"/>
        <v>0</v>
      </c>
      <c r="V524" s="98">
        <f t="shared" si="189"/>
        <v>20</v>
      </c>
      <c r="W524" s="98">
        <f t="shared" si="189"/>
        <v>20</v>
      </c>
      <c r="X524" s="98">
        <f t="shared" si="189"/>
        <v>0</v>
      </c>
      <c r="Y524" s="98">
        <f t="shared" si="189"/>
        <v>0</v>
      </c>
      <c r="Z524" s="98">
        <f t="shared" si="189"/>
        <v>0</v>
      </c>
      <c r="AA524" s="99">
        <f t="shared" si="190"/>
        <v>342</v>
      </c>
      <c r="AB524" s="100" t="s">
        <v>61</v>
      </c>
      <c r="AC524" s="95"/>
    </row>
    <row r="525" ht="15.75" customHeight="1">
      <c r="A525" s="101" t="s">
        <v>62</v>
      </c>
      <c r="B525" s="102">
        <f t="shared" ref="B525:Z525" si="191">SUM(B18,B41,B64,B87,B110,B133,B156,B179,B202,B225,B248,B271,B294,B317,B340,B363,B386,B409,B432,B455,B478,B501)</f>
        <v>0</v>
      </c>
      <c r="C525" s="102">
        <f t="shared" si="191"/>
        <v>0</v>
      </c>
      <c r="D525" s="102">
        <f t="shared" si="191"/>
        <v>0</v>
      </c>
      <c r="E525" s="102">
        <f t="shared" si="191"/>
        <v>2</v>
      </c>
      <c r="F525" s="102">
        <f t="shared" si="191"/>
        <v>2</v>
      </c>
      <c r="G525" s="102">
        <f t="shared" si="191"/>
        <v>2</v>
      </c>
      <c r="H525" s="102">
        <f t="shared" si="191"/>
        <v>4</v>
      </c>
      <c r="I525" s="102">
        <f t="shared" si="191"/>
        <v>3</v>
      </c>
      <c r="J525" s="102">
        <f t="shared" si="191"/>
        <v>1</v>
      </c>
      <c r="K525" s="102">
        <f t="shared" si="191"/>
        <v>1</v>
      </c>
      <c r="L525" s="102">
        <f t="shared" si="191"/>
        <v>1</v>
      </c>
      <c r="M525" s="102">
        <f t="shared" si="191"/>
        <v>2</v>
      </c>
      <c r="N525" s="102">
        <f t="shared" si="191"/>
        <v>3</v>
      </c>
      <c r="O525" s="102">
        <f t="shared" si="191"/>
        <v>1</v>
      </c>
      <c r="P525" s="102">
        <f t="shared" si="191"/>
        <v>1</v>
      </c>
      <c r="Q525" s="102">
        <f t="shared" si="191"/>
        <v>0</v>
      </c>
      <c r="R525" s="102">
        <f t="shared" si="191"/>
        <v>0</v>
      </c>
      <c r="S525" s="102">
        <f t="shared" si="191"/>
        <v>0</v>
      </c>
      <c r="T525" s="102">
        <f t="shared" si="191"/>
        <v>0</v>
      </c>
      <c r="U525" s="102">
        <f t="shared" si="191"/>
        <v>0</v>
      </c>
      <c r="V525" s="102">
        <f t="shared" si="191"/>
        <v>1</v>
      </c>
      <c r="W525" s="102">
        <f t="shared" si="191"/>
        <v>2</v>
      </c>
      <c r="X525" s="102">
        <f t="shared" si="191"/>
        <v>0</v>
      </c>
      <c r="Y525" s="102">
        <f t="shared" si="191"/>
        <v>0</v>
      </c>
      <c r="Z525" s="102">
        <f t="shared" si="191"/>
        <v>0</v>
      </c>
      <c r="AA525" s="103"/>
      <c r="AB525" s="104"/>
      <c r="AC525" s="105"/>
    </row>
    <row r="526" ht="15.75" customHeight="1">
      <c r="A526" s="106" t="s">
        <v>50</v>
      </c>
      <c r="B526" s="107" t="str">
        <f t="shared" ref="B526:Z526" si="192">B525/COUNT(B18,B41,B64,B87,B110,B133,B156,B179,B202,B225,B248,B271,B294,B317,B340,B363,B386,B409,B432,B455,B478,B501)</f>
        <v>#DIV/0!</v>
      </c>
      <c r="C526" s="107" t="str">
        <f t="shared" si="192"/>
        <v>#DIV/0!</v>
      </c>
      <c r="D526" s="107" t="str">
        <f t="shared" si="192"/>
        <v>#DIV/0!</v>
      </c>
      <c r="E526" s="107">
        <f t="shared" si="192"/>
        <v>1</v>
      </c>
      <c r="F526" s="107">
        <f t="shared" si="192"/>
        <v>1</v>
      </c>
      <c r="G526" s="107">
        <f t="shared" si="192"/>
        <v>1</v>
      </c>
      <c r="H526" s="107">
        <f t="shared" si="192"/>
        <v>1.333333333</v>
      </c>
      <c r="I526" s="107">
        <f t="shared" si="192"/>
        <v>1.5</v>
      </c>
      <c r="J526" s="107">
        <f t="shared" si="192"/>
        <v>1</v>
      </c>
      <c r="K526" s="107">
        <f t="shared" si="192"/>
        <v>1</v>
      </c>
      <c r="L526" s="107">
        <f t="shared" si="192"/>
        <v>1</v>
      </c>
      <c r="M526" s="107">
        <f t="shared" si="192"/>
        <v>2</v>
      </c>
      <c r="N526" s="107">
        <f t="shared" si="192"/>
        <v>3</v>
      </c>
      <c r="O526" s="107">
        <f t="shared" si="192"/>
        <v>1</v>
      </c>
      <c r="P526" s="107">
        <f t="shared" si="192"/>
        <v>1</v>
      </c>
      <c r="Q526" s="107" t="str">
        <f t="shared" si="192"/>
        <v>#DIV/0!</v>
      </c>
      <c r="R526" s="107" t="str">
        <f t="shared" si="192"/>
        <v>#DIV/0!</v>
      </c>
      <c r="S526" s="107" t="str">
        <f t="shared" si="192"/>
        <v>#DIV/0!</v>
      </c>
      <c r="T526" s="107" t="str">
        <f t="shared" si="192"/>
        <v>#DIV/0!</v>
      </c>
      <c r="U526" s="107" t="str">
        <f t="shared" si="192"/>
        <v>#DIV/0!</v>
      </c>
      <c r="V526" s="107">
        <f t="shared" si="192"/>
        <v>1</v>
      </c>
      <c r="W526" s="107">
        <f t="shared" si="192"/>
        <v>2</v>
      </c>
      <c r="X526" s="107" t="str">
        <f t="shared" si="192"/>
        <v>#DIV/0!</v>
      </c>
      <c r="Y526" s="107" t="str">
        <f t="shared" si="192"/>
        <v>#DIV/0!</v>
      </c>
      <c r="Z526" s="107" t="str">
        <f t="shared" si="192"/>
        <v>#DIV/0!</v>
      </c>
      <c r="AA526" s="108">
        <f>round(AVERAGEif(B526:Z526, "&gt;0"),0)</f>
        <v>1</v>
      </c>
      <c r="AB526" s="109" t="s">
        <v>63</v>
      </c>
      <c r="AC526" s="110"/>
    </row>
    <row r="527" ht="15.75" customHeight="1">
      <c r="A527" s="111" t="s">
        <v>51</v>
      </c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3"/>
      <c r="AB527" s="114" t="s">
        <v>51</v>
      </c>
      <c r="AC527" s="113"/>
    </row>
    <row r="528" ht="15.75" customHeight="1">
      <c r="A528" s="115" t="s">
        <v>48</v>
      </c>
      <c r="B528" s="20">
        <f t="shared" ref="B528:Z528" si="193">B20+B43+B66+B89+B112+B135+B158+B181+B204+B227+B250+B273+B296+B319+B342+B365+B388+B411+B434+B457+B480+B503</f>
        <v>0</v>
      </c>
      <c r="C528" s="20">
        <f t="shared" si="193"/>
        <v>0</v>
      </c>
      <c r="D528" s="20">
        <f t="shared" si="193"/>
        <v>0</v>
      </c>
      <c r="E528" s="20">
        <f t="shared" si="193"/>
        <v>0</v>
      </c>
      <c r="F528" s="20">
        <f t="shared" si="193"/>
        <v>0</v>
      </c>
      <c r="G528" s="20">
        <f t="shared" si="193"/>
        <v>0</v>
      </c>
      <c r="H528" s="20">
        <f t="shared" si="193"/>
        <v>0</v>
      </c>
      <c r="I528" s="20">
        <f t="shared" si="193"/>
        <v>0</v>
      </c>
      <c r="J528" s="20">
        <f t="shared" si="193"/>
        <v>0</v>
      </c>
      <c r="K528" s="20">
        <f t="shared" si="193"/>
        <v>0</v>
      </c>
      <c r="L528" s="20">
        <f t="shared" si="193"/>
        <v>0</v>
      </c>
      <c r="M528" s="20">
        <f t="shared" si="193"/>
        <v>0</v>
      </c>
      <c r="N528" s="20">
        <f t="shared" si="193"/>
        <v>0</v>
      </c>
      <c r="O528" s="20">
        <f t="shared" si="193"/>
        <v>0</v>
      </c>
      <c r="P528" s="20">
        <f t="shared" si="193"/>
        <v>0</v>
      </c>
      <c r="Q528" s="20">
        <f t="shared" si="193"/>
        <v>0</v>
      </c>
      <c r="R528" s="20">
        <f t="shared" si="193"/>
        <v>0</v>
      </c>
      <c r="S528" s="20">
        <f t="shared" si="193"/>
        <v>0</v>
      </c>
      <c r="T528" s="20">
        <f t="shared" si="193"/>
        <v>0</v>
      </c>
      <c r="U528" s="20">
        <f t="shared" si="193"/>
        <v>0</v>
      </c>
      <c r="V528" s="20">
        <f t="shared" si="193"/>
        <v>0</v>
      </c>
      <c r="W528" s="20">
        <f t="shared" si="193"/>
        <v>0</v>
      </c>
      <c r="X528" s="20">
        <f t="shared" si="193"/>
        <v>0</v>
      </c>
      <c r="Y528" s="20">
        <f t="shared" si="193"/>
        <v>0</v>
      </c>
      <c r="Z528" s="20">
        <f t="shared" si="193"/>
        <v>0</v>
      </c>
      <c r="AA528" s="116">
        <f t="shared" ref="AA528:AA529" si="195">SUM(B528:Z528)</f>
        <v>0</v>
      </c>
      <c r="AB528" s="114" t="s">
        <v>64</v>
      </c>
      <c r="AC528" s="113"/>
    </row>
    <row r="529" ht="15.75" customHeight="1">
      <c r="A529" s="115" t="s">
        <v>49</v>
      </c>
      <c r="B529" s="20">
        <f t="shared" ref="B529:Z529" si="194">B21+B44+B67+B90+B113+B136+B159+B182+B205+B228+B251+B274+B297+B320+B343+B366+B389+B412+B435+B458+B481+B504</f>
        <v>0</v>
      </c>
      <c r="C529" s="20">
        <f t="shared" si="194"/>
        <v>0</v>
      </c>
      <c r="D529" s="20">
        <f t="shared" si="194"/>
        <v>0</v>
      </c>
      <c r="E529" s="20">
        <f t="shared" si="194"/>
        <v>0</v>
      </c>
      <c r="F529" s="20">
        <f t="shared" si="194"/>
        <v>0</v>
      </c>
      <c r="G529" s="20">
        <f t="shared" si="194"/>
        <v>0</v>
      </c>
      <c r="H529" s="20">
        <f t="shared" si="194"/>
        <v>0</v>
      </c>
      <c r="I529" s="20">
        <f t="shared" si="194"/>
        <v>0</v>
      </c>
      <c r="J529" s="20">
        <f t="shared" si="194"/>
        <v>0</v>
      </c>
      <c r="K529" s="20">
        <f t="shared" si="194"/>
        <v>0</v>
      </c>
      <c r="L529" s="20">
        <f t="shared" si="194"/>
        <v>0</v>
      </c>
      <c r="M529" s="20">
        <f t="shared" si="194"/>
        <v>0</v>
      </c>
      <c r="N529" s="20">
        <f t="shared" si="194"/>
        <v>0</v>
      </c>
      <c r="O529" s="20">
        <f t="shared" si="194"/>
        <v>0</v>
      </c>
      <c r="P529" s="20">
        <f t="shared" si="194"/>
        <v>0</v>
      </c>
      <c r="Q529" s="20">
        <f t="shared" si="194"/>
        <v>0</v>
      </c>
      <c r="R529" s="20">
        <f t="shared" si="194"/>
        <v>0</v>
      </c>
      <c r="S529" s="20">
        <f t="shared" si="194"/>
        <v>0</v>
      </c>
      <c r="T529" s="20">
        <f t="shared" si="194"/>
        <v>0</v>
      </c>
      <c r="U529" s="20">
        <f t="shared" si="194"/>
        <v>0</v>
      </c>
      <c r="V529" s="20">
        <f t="shared" si="194"/>
        <v>0</v>
      </c>
      <c r="W529" s="20">
        <f t="shared" si="194"/>
        <v>0</v>
      </c>
      <c r="X529" s="20">
        <f t="shared" si="194"/>
        <v>0</v>
      </c>
      <c r="Y529" s="20">
        <f t="shared" si="194"/>
        <v>0</v>
      </c>
      <c r="Z529" s="20">
        <f t="shared" si="194"/>
        <v>0</v>
      </c>
      <c r="AA529" s="116">
        <f t="shared" si="195"/>
        <v>0</v>
      </c>
      <c r="AB529" s="114" t="s">
        <v>65</v>
      </c>
      <c r="AC529" s="113"/>
    </row>
    <row r="530" ht="15.75" customHeight="1">
      <c r="A530" s="101" t="s">
        <v>62</v>
      </c>
      <c r="B530" s="102">
        <f t="shared" ref="B530:Z530" si="196">sum(B22,B45,B68,B91,B114,B137,B160,B183,B206,B229,B252,B275,B298,B321,B344,B367,B390,B413,B436,B459,B482,B505)</f>
        <v>0</v>
      </c>
      <c r="C530" s="102">
        <f t="shared" si="196"/>
        <v>0</v>
      </c>
      <c r="D530" s="102">
        <f t="shared" si="196"/>
        <v>0</v>
      </c>
      <c r="E530" s="102">
        <f t="shared" si="196"/>
        <v>0</v>
      </c>
      <c r="F530" s="102">
        <f t="shared" si="196"/>
        <v>0</v>
      </c>
      <c r="G530" s="102">
        <f t="shared" si="196"/>
        <v>0</v>
      </c>
      <c r="H530" s="102">
        <f t="shared" si="196"/>
        <v>0</v>
      </c>
      <c r="I530" s="102">
        <f t="shared" si="196"/>
        <v>0</v>
      </c>
      <c r="J530" s="102">
        <f t="shared" si="196"/>
        <v>0</v>
      </c>
      <c r="K530" s="102">
        <f t="shared" si="196"/>
        <v>0</v>
      </c>
      <c r="L530" s="102">
        <f t="shared" si="196"/>
        <v>0</v>
      </c>
      <c r="M530" s="102">
        <f t="shared" si="196"/>
        <v>0</v>
      </c>
      <c r="N530" s="102">
        <f t="shared" si="196"/>
        <v>0</v>
      </c>
      <c r="O530" s="102">
        <f t="shared" si="196"/>
        <v>0</v>
      </c>
      <c r="P530" s="102">
        <f t="shared" si="196"/>
        <v>0</v>
      </c>
      <c r="Q530" s="102">
        <f t="shared" si="196"/>
        <v>0</v>
      </c>
      <c r="R530" s="102">
        <f t="shared" si="196"/>
        <v>0</v>
      </c>
      <c r="S530" s="102">
        <f t="shared" si="196"/>
        <v>0</v>
      </c>
      <c r="T530" s="102">
        <f t="shared" si="196"/>
        <v>0</v>
      </c>
      <c r="U530" s="102">
        <f t="shared" si="196"/>
        <v>0</v>
      </c>
      <c r="V530" s="102">
        <f t="shared" si="196"/>
        <v>0</v>
      </c>
      <c r="W530" s="102">
        <f t="shared" si="196"/>
        <v>0</v>
      </c>
      <c r="X530" s="102">
        <f t="shared" si="196"/>
        <v>0</v>
      </c>
      <c r="Y530" s="102">
        <f t="shared" si="196"/>
        <v>0</v>
      </c>
      <c r="Z530" s="102">
        <f t="shared" si="196"/>
        <v>0</v>
      </c>
      <c r="AA530" s="105"/>
      <c r="AB530" s="104"/>
      <c r="AC530" s="105"/>
    </row>
    <row r="531" ht="15.75" customHeight="1">
      <c r="A531" s="115" t="s">
        <v>50</v>
      </c>
      <c r="B531" s="20" t="str">
        <f t="shared" ref="B531:Z531" si="197">B530/count(B22,B45,B68,B91,B114,B137,B160,B183,B206,B229,B252,B275,B298,B321,B344,B367,B390,B413,B436,B459,B482,B505)</f>
        <v>#DIV/0!</v>
      </c>
      <c r="C531" s="20" t="str">
        <f t="shared" si="197"/>
        <v>#DIV/0!</v>
      </c>
      <c r="D531" s="20" t="str">
        <f t="shared" si="197"/>
        <v>#DIV/0!</v>
      </c>
      <c r="E531" s="20" t="str">
        <f t="shared" si="197"/>
        <v>#DIV/0!</v>
      </c>
      <c r="F531" s="20" t="str">
        <f t="shared" si="197"/>
        <v>#DIV/0!</v>
      </c>
      <c r="G531" s="20" t="str">
        <f t="shared" si="197"/>
        <v>#DIV/0!</v>
      </c>
      <c r="H531" s="20" t="str">
        <f t="shared" si="197"/>
        <v>#DIV/0!</v>
      </c>
      <c r="I531" s="20" t="str">
        <f t="shared" si="197"/>
        <v>#DIV/0!</v>
      </c>
      <c r="J531" s="20" t="str">
        <f t="shared" si="197"/>
        <v>#DIV/0!</v>
      </c>
      <c r="K531" s="20" t="str">
        <f t="shared" si="197"/>
        <v>#DIV/0!</v>
      </c>
      <c r="L531" s="20" t="str">
        <f t="shared" si="197"/>
        <v>#DIV/0!</v>
      </c>
      <c r="M531" s="20" t="str">
        <f t="shared" si="197"/>
        <v>#DIV/0!</v>
      </c>
      <c r="N531" s="20" t="str">
        <f t="shared" si="197"/>
        <v>#DIV/0!</v>
      </c>
      <c r="O531" s="20" t="str">
        <f t="shared" si="197"/>
        <v>#DIV/0!</v>
      </c>
      <c r="P531" s="20" t="str">
        <f t="shared" si="197"/>
        <v>#DIV/0!</v>
      </c>
      <c r="Q531" s="20" t="str">
        <f t="shared" si="197"/>
        <v>#DIV/0!</v>
      </c>
      <c r="R531" s="20" t="str">
        <f t="shared" si="197"/>
        <v>#DIV/0!</v>
      </c>
      <c r="S531" s="20" t="str">
        <f t="shared" si="197"/>
        <v>#DIV/0!</v>
      </c>
      <c r="T531" s="20" t="str">
        <f t="shared" si="197"/>
        <v>#DIV/0!</v>
      </c>
      <c r="U531" s="20" t="str">
        <f t="shared" si="197"/>
        <v>#DIV/0!</v>
      </c>
      <c r="V531" s="20" t="str">
        <f t="shared" si="197"/>
        <v>#DIV/0!</v>
      </c>
      <c r="W531" s="20" t="str">
        <f t="shared" si="197"/>
        <v>#DIV/0!</v>
      </c>
      <c r="X531" s="20" t="str">
        <f t="shared" si="197"/>
        <v>#DIV/0!</v>
      </c>
      <c r="Y531" s="20" t="str">
        <f t="shared" si="197"/>
        <v>#DIV/0!</v>
      </c>
      <c r="Z531" s="20" t="str">
        <f t="shared" si="197"/>
        <v>#DIV/0!</v>
      </c>
      <c r="AA531" s="116" t="str">
        <f>round(AVERAGEif(B531:Z531, "&gt;0"),0)</f>
        <v>#DIV/0!</v>
      </c>
      <c r="AB531" s="114" t="s">
        <v>63</v>
      </c>
      <c r="AC531" s="113"/>
    </row>
    <row r="532" ht="15.75" customHeight="1">
      <c r="A532" s="117" t="s">
        <v>53</v>
      </c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9"/>
      <c r="AB532" s="120" t="s">
        <v>53</v>
      </c>
      <c r="AC532" s="119"/>
    </row>
    <row r="533" ht="15.75" customHeight="1">
      <c r="A533" s="97" t="s">
        <v>48</v>
      </c>
      <c r="B533" s="98">
        <f t="shared" ref="B533:Z533" si="198">B24+B47+B70+B93+B116+B139+B162+B185+B208+B231+B254+B277+B300+B323+B346+B369+B392+B415+B438+B461+B484+B507</f>
        <v>0</v>
      </c>
      <c r="C533" s="98">
        <f t="shared" si="198"/>
        <v>0</v>
      </c>
      <c r="D533" s="98">
        <f t="shared" si="198"/>
        <v>0</v>
      </c>
      <c r="E533" s="98">
        <f t="shared" si="198"/>
        <v>0</v>
      </c>
      <c r="F533" s="98">
        <f t="shared" si="198"/>
        <v>0</v>
      </c>
      <c r="G533" s="98">
        <f t="shared" si="198"/>
        <v>0</v>
      </c>
      <c r="H533" s="98">
        <f t="shared" si="198"/>
        <v>0</v>
      </c>
      <c r="I533" s="98">
        <f t="shared" si="198"/>
        <v>0</v>
      </c>
      <c r="J533" s="98">
        <f t="shared" si="198"/>
        <v>0</v>
      </c>
      <c r="K533" s="98">
        <f t="shared" si="198"/>
        <v>0</v>
      </c>
      <c r="L533" s="98">
        <f t="shared" si="198"/>
        <v>0</v>
      </c>
      <c r="M533" s="98">
        <f t="shared" si="198"/>
        <v>0</v>
      </c>
      <c r="N533" s="98">
        <f t="shared" si="198"/>
        <v>0</v>
      </c>
      <c r="O533" s="98">
        <f t="shared" si="198"/>
        <v>0</v>
      </c>
      <c r="P533" s="98">
        <f t="shared" si="198"/>
        <v>0</v>
      </c>
      <c r="Q533" s="98">
        <f t="shared" si="198"/>
        <v>0</v>
      </c>
      <c r="R533" s="98">
        <f t="shared" si="198"/>
        <v>0</v>
      </c>
      <c r="S533" s="98">
        <f t="shared" si="198"/>
        <v>0</v>
      </c>
      <c r="T533" s="98">
        <f t="shared" si="198"/>
        <v>0</v>
      </c>
      <c r="U533" s="98">
        <f t="shared" si="198"/>
        <v>0</v>
      </c>
      <c r="V533" s="98">
        <f t="shared" si="198"/>
        <v>0</v>
      </c>
      <c r="W533" s="98">
        <f t="shared" si="198"/>
        <v>0</v>
      </c>
      <c r="X533" s="98">
        <f t="shared" si="198"/>
        <v>0</v>
      </c>
      <c r="Y533" s="98">
        <f t="shared" si="198"/>
        <v>0</v>
      </c>
      <c r="Z533" s="98">
        <f t="shared" si="198"/>
        <v>0</v>
      </c>
      <c r="AA533" s="121">
        <f t="shared" ref="AA533:AA534" si="200">SUM(B533:Z533)</f>
        <v>0</v>
      </c>
      <c r="AB533" s="120" t="s">
        <v>66</v>
      </c>
      <c r="AC533" s="119"/>
    </row>
    <row r="534" ht="15.75" customHeight="1">
      <c r="A534" s="97" t="s">
        <v>49</v>
      </c>
      <c r="B534" s="98">
        <f t="shared" ref="B534:Z534" si="199">B25+B48+B71+B94+B117+B140+B163+B186+B209+B232+B255+B278+B301+B324+B347+B370+B393+B416+B439+B462+B485+B508</f>
        <v>0</v>
      </c>
      <c r="C534" s="98">
        <f t="shared" si="199"/>
        <v>0</v>
      </c>
      <c r="D534" s="98">
        <f t="shared" si="199"/>
        <v>0</v>
      </c>
      <c r="E534" s="98">
        <f t="shared" si="199"/>
        <v>0</v>
      </c>
      <c r="F534" s="98">
        <f t="shared" si="199"/>
        <v>0</v>
      </c>
      <c r="G534" s="98">
        <f t="shared" si="199"/>
        <v>0</v>
      </c>
      <c r="H534" s="98">
        <f t="shared" si="199"/>
        <v>0</v>
      </c>
      <c r="I534" s="98">
        <f t="shared" si="199"/>
        <v>0</v>
      </c>
      <c r="J534" s="98">
        <f t="shared" si="199"/>
        <v>0</v>
      </c>
      <c r="K534" s="98">
        <f t="shared" si="199"/>
        <v>0</v>
      </c>
      <c r="L534" s="98">
        <f t="shared" si="199"/>
        <v>0</v>
      </c>
      <c r="M534" s="98">
        <f t="shared" si="199"/>
        <v>0</v>
      </c>
      <c r="N534" s="98">
        <f t="shared" si="199"/>
        <v>0</v>
      </c>
      <c r="O534" s="98">
        <f t="shared" si="199"/>
        <v>0</v>
      </c>
      <c r="P534" s="98">
        <f t="shared" si="199"/>
        <v>0</v>
      </c>
      <c r="Q534" s="98">
        <f t="shared" si="199"/>
        <v>0</v>
      </c>
      <c r="R534" s="98">
        <f t="shared" si="199"/>
        <v>0</v>
      </c>
      <c r="S534" s="98">
        <f t="shared" si="199"/>
        <v>0</v>
      </c>
      <c r="T534" s="98">
        <f t="shared" si="199"/>
        <v>0</v>
      </c>
      <c r="U534" s="98">
        <f t="shared" si="199"/>
        <v>0</v>
      </c>
      <c r="V534" s="98">
        <f t="shared" si="199"/>
        <v>0</v>
      </c>
      <c r="W534" s="98">
        <f t="shared" si="199"/>
        <v>0</v>
      </c>
      <c r="X534" s="98">
        <f t="shared" si="199"/>
        <v>0</v>
      </c>
      <c r="Y534" s="98">
        <f t="shared" si="199"/>
        <v>0</v>
      </c>
      <c r="Z534" s="98">
        <f t="shared" si="199"/>
        <v>0</v>
      </c>
      <c r="AA534" s="121">
        <f t="shared" si="200"/>
        <v>0</v>
      </c>
      <c r="AB534" s="120" t="s">
        <v>67</v>
      </c>
      <c r="AC534" s="119"/>
    </row>
    <row r="535" ht="15.75" customHeight="1">
      <c r="A535" s="122" t="s">
        <v>62</v>
      </c>
      <c r="B535" s="123">
        <f t="shared" ref="B535:Z535" si="201">sum(B26,B49,B72,B95,B118,B141,B164,B187,B210,B233,B256,B279,B302,B325,B348,B371,B394,B417,B440,B463,B486,B509)</f>
        <v>0</v>
      </c>
      <c r="C535" s="123">
        <f t="shared" si="201"/>
        <v>0</v>
      </c>
      <c r="D535" s="123">
        <f t="shared" si="201"/>
        <v>0</v>
      </c>
      <c r="E535" s="123">
        <f t="shared" si="201"/>
        <v>0</v>
      </c>
      <c r="F535" s="123">
        <f t="shared" si="201"/>
        <v>0</v>
      </c>
      <c r="G535" s="123">
        <f t="shared" si="201"/>
        <v>0</v>
      </c>
      <c r="H535" s="123">
        <f t="shared" si="201"/>
        <v>0</v>
      </c>
      <c r="I535" s="123">
        <f t="shared" si="201"/>
        <v>0</v>
      </c>
      <c r="J535" s="123">
        <f t="shared" si="201"/>
        <v>0</v>
      </c>
      <c r="K535" s="123">
        <f t="shared" si="201"/>
        <v>0</v>
      </c>
      <c r="L535" s="123">
        <f t="shared" si="201"/>
        <v>0</v>
      </c>
      <c r="M535" s="123">
        <f t="shared" si="201"/>
        <v>0</v>
      </c>
      <c r="N535" s="123">
        <f t="shared" si="201"/>
        <v>0</v>
      </c>
      <c r="O535" s="123">
        <f t="shared" si="201"/>
        <v>0</v>
      </c>
      <c r="P535" s="123">
        <f t="shared" si="201"/>
        <v>0</v>
      </c>
      <c r="Q535" s="123">
        <f t="shared" si="201"/>
        <v>0</v>
      </c>
      <c r="R535" s="123">
        <f t="shared" si="201"/>
        <v>0</v>
      </c>
      <c r="S535" s="123">
        <f t="shared" si="201"/>
        <v>0</v>
      </c>
      <c r="T535" s="123">
        <f t="shared" si="201"/>
        <v>0</v>
      </c>
      <c r="U535" s="123">
        <f t="shared" si="201"/>
        <v>0</v>
      </c>
      <c r="V535" s="123">
        <f t="shared" si="201"/>
        <v>0</v>
      </c>
      <c r="W535" s="123">
        <f t="shared" si="201"/>
        <v>0</v>
      </c>
      <c r="X535" s="123">
        <f t="shared" si="201"/>
        <v>0</v>
      </c>
      <c r="Y535" s="123">
        <f t="shared" si="201"/>
        <v>0</v>
      </c>
      <c r="Z535" s="123">
        <f t="shared" si="201"/>
        <v>0</v>
      </c>
      <c r="AA535" s="124"/>
      <c r="AB535" s="124"/>
      <c r="AC535" s="122"/>
    </row>
    <row r="536" ht="15.75" customHeight="1">
      <c r="A536" s="106" t="s">
        <v>50</v>
      </c>
      <c r="B536" s="107" t="str">
        <f t="shared" ref="B536:Z536" si="202">B535/count(B26,B49,B72,B95,B118,B141,B164,B187,B210,B233,B256,B279,B302,B325,B348,B371,B394,B417,B440,B463,B486,B509)</f>
        <v>#DIV/0!</v>
      </c>
      <c r="C536" s="107" t="str">
        <f t="shared" si="202"/>
        <v>#DIV/0!</v>
      </c>
      <c r="D536" s="107" t="str">
        <f t="shared" si="202"/>
        <v>#DIV/0!</v>
      </c>
      <c r="E536" s="107" t="str">
        <f t="shared" si="202"/>
        <v>#DIV/0!</v>
      </c>
      <c r="F536" s="107" t="str">
        <f t="shared" si="202"/>
        <v>#DIV/0!</v>
      </c>
      <c r="G536" s="107" t="str">
        <f t="shared" si="202"/>
        <v>#DIV/0!</v>
      </c>
      <c r="H536" s="107" t="str">
        <f t="shared" si="202"/>
        <v>#DIV/0!</v>
      </c>
      <c r="I536" s="107" t="str">
        <f t="shared" si="202"/>
        <v>#DIV/0!</v>
      </c>
      <c r="J536" s="107" t="str">
        <f t="shared" si="202"/>
        <v>#DIV/0!</v>
      </c>
      <c r="K536" s="107" t="str">
        <f t="shared" si="202"/>
        <v>#DIV/0!</v>
      </c>
      <c r="L536" s="107" t="str">
        <f t="shared" si="202"/>
        <v>#DIV/0!</v>
      </c>
      <c r="M536" s="107" t="str">
        <f t="shared" si="202"/>
        <v>#DIV/0!</v>
      </c>
      <c r="N536" s="107" t="str">
        <f t="shared" si="202"/>
        <v>#DIV/0!</v>
      </c>
      <c r="O536" s="107" t="str">
        <f t="shared" si="202"/>
        <v>#DIV/0!</v>
      </c>
      <c r="P536" s="107" t="str">
        <f t="shared" si="202"/>
        <v>#DIV/0!</v>
      </c>
      <c r="Q536" s="107" t="str">
        <f t="shared" si="202"/>
        <v>#DIV/0!</v>
      </c>
      <c r="R536" s="107" t="str">
        <f t="shared" si="202"/>
        <v>#DIV/0!</v>
      </c>
      <c r="S536" s="107" t="str">
        <f t="shared" si="202"/>
        <v>#DIV/0!</v>
      </c>
      <c r="T536" s="107" t="str">
        <f t="shared" si="202"/>
        <v>#DIV/0!</v>
      </c>
      <c r="U536" s="107" t="str">
        <f t="shared" si="202"/>
        <v>#DIV/0!</v>
      </c>
      <c r="V536" s="107" t="str">
        <f t="shared" si="202"/>
        <v>#DIV/0!</v>
      </c>
      <c r="W536" s="107" t="str">
        <f t="shared" si="202"/>
        <v>#DIV/0!</v>
      </c>
      <c r="X536" s="107" t="str">
        <f t="shared" si="202"/>
        <v>#DIV/0!</v>
      </c>
      <c r="Y536" s="107" t="str">
        <f t="shared" si="202"/>
        <v>#DIV/0!</v>
      </c>
      <c r="Z536" s="107" t="str">
        <f t="shared" si="202"/>
        <v>#DIV/0!</v>
      </c>
      <c r="AA536" s="125" t="str">
        <f>round(AVERAGEif(B536:Z536, "&gt;0"),0)</f>
        <v>#DIV/0!</v>
      </c>
      <c r="AB536" s="126" t="s">
        <v>63</v>
      </c>
      <c r="AC536" s="127"/>
    </row>
  </sheetData>
  <mergeCells count="78">
    <mergeCell ref="A222:Z222"/>
    <mergeCell ref="A226:Z226"/>
    <mergeCell ref="A230:Z230"/>
    <mergeCell ref="A245:Z245"/>
    <mergeCell ref="A249:Z249"/>
    <mergeCell ref="A253:Z253"/>
    <mergeCell ref="A268:Z268"/>
    <mergeCell ref="A272:Z272"/>
    <mergeCell ref="A276:Z276"/>
    <mergeCell ref="A291:Z291"/>
    <mergeCell ref="A295:Z295"/>
    <mergeCell ref="A299:Z299"/>
    <mergeCell ref="A314:Z314"/>
    <mergeCell ref="A318:Z318"/>
    <mergeCell ref="A322:Z322"/>
    <mergeCell ref="A337:Z337"/>
    <mergeCell ref="A341:Z341"/>
    <mergeCell ref="A345:Z345"/>
    <mergeCell ref="A360:Z360"/>
    <mergeCell ref="A364:Z364"/>
    <mergeCell ref="A368:Z368"/>
    <mergeCell ref="A383:Z383"/>
    <mergeCell ref="A387:Z387"/>
    <mergeCell ref="A391:Z391"/>
    <mergeCell ref="A406:Z406"/>
    <mergeCell ref="A410:Z410"/>
    <mergeCell ref="A414:Z414"/>
    <mergeCell ref="A429:Z429"/>
    <mergeCell ref="A483:Z483"/>
    <mergeCell ref="A498:Z498"/>
    <mergeCell ref="A502:Z502"/>
    <mergeCell ref="A506:Z506"/>
    <mergeCell ref="A433:Z433"/>
    <mergeCell ref="A437:Z437"/>
    <mergeCell ref="A452:Z452"/>
    <mergeCell ref="A456:Z456"/>
    <mergeCell ref="A460:Z460"/>
    <mergeCell ref="A475:Z475"/>
    <mergeCell ref="A479:Z479"/>
    <mergeCell ref="Q2:R2"/>
    <mergeCell ref="S2:T2"/>
    <mergeCell ref="U2:V2"/>
    <mergeCell ref="W2:Y2"/>
    <mergeCell ref="A1:AB1"/>
    <mergeCell ref="C2:D2"/>
    <mergeCell ref="E2:F2"/>
    <mergeCell ref="G2:H2"/>
    <mergeCell ref="I2:J2"/>
    <mergeCell ref="K2:L2"/>
    <mergeCell ref="M2:P2"/>
    <mergeCell ref="A4:AB4"/>
    <mergeCell ref="A15:Z15"/>
    <mergeCell ref="A19:Z19"/>
    <mergeCell ref="A23:Z23"/>
    <mergeCell ref="A38:Z38"/>
    <mergeCell ref="A42:Z42"/>
    <mergeCell ref="A46:Z46"/>
    <mergeCell ref="A61:Z61"/>
    <mergeCell ref="A65:Z65"/>
    <mergeCell ref="A69:Z69"/>
    <mergeCell ref="A84:Z84"/>
    <mergeCell ref="A88:Z88"/>
    <mergeCell ref="A92:Z92"/>
    <mergeCell ref="A107:Z107"/>
    <mergeCell ref="A111:Z111"/>
    <mergeCell ref="A115:Z115"/>
    <mergeCell ref="A130:Z130"/>
    <mergeCell ref="A134:Z134"/>
    <mergeCell ref="A138:Z138"/>
    <mergeCell ref="A153:Z153"/>
    <mergeCell ref="A157:Z157"/>
    <mergeCell ref="A161:Z161"/>
    <mergeCell ref="A176:Z176"/>
    <mergeCell ref="A180:Z180"/>
    <mergeCell ref="A184:Z184"/>
    <mergeCell ref="A199:Z199"/>
    <mergeCell ref="A203:Z203"/>
    <mergeCell ref="A207:Z20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5.71"/>
    <col customWidth="1" min="2" max="2" width="8.86"/>
    <col customWidth="1" min="3" max="4" width="5.86"/>
    <col customWidth="1" min="5" max="5" width="9.43"/>
    <col customWidth="1" min="6" max="14" width="5.86"/>
    <col customWidth="1" min="15" max="16" width="8.71"/>
    <col customWidth="1" min="17" max="17" width="6.43"/>
    <col customWidth="1" min="18" max="23" width="5.86"/>
    <col customWidth="1" min="24" max="24" width="12.71"/>
    <col customWidth="1" min="25" max="25" width="5.86"/>
    <col customWidth="1" min="26" max="26" width="9.57"/>
    <col customWidth="1" min="27" max="27" width="8.14"/>
    <col customWidth="1" min="28" max="28" width="9.14"/>
    <col customWidth="1" min="29" max="29" width="28.0"/>
  </cols>
  <sheetData>
    <row r="1">
      <c r="A1" s="1" t="s">
        <v>0</v>
      </c>
      <c r="AC1" s="2"/>
    </row>
    <row r="2">
      <c r="A2" s="3"/>
      <c r="B2" s="4"/>
      <c r="C2" s="5" t="s">
        <v>1</v>
      </c>
      <c r="D2" s="6"/>
      <c r="E2" s="5" t="s">
        <v>2</v>
      </c>
      <c r="F2" s="6"/>
      <c r="G2" s="5" t="s">
        <v>3</v>
      </c>
      <c r="H2" s="6"/>
      <c r="I2" s="5" t="s">
        <v>4</v>
      </c>
      <c r="J2" s="6"/>
      <c r="K2" s="5" t="s">
        <v>5</v>
      </c>
      <c r="L2" s="6"/>
      <c r="M2" s="5" t="s">
        <v>6</v>
      </c>
      <c r="N2" s="7"/>
      <c r="O2" s="7"/>
      <c r="P2" s="6"/>
      <c r="Q2" s="5" t="s">
        <v>7</v>
      </c>
      <c r="R2" s="6"/>
      <c r="S2" s="5" t="s">
        <v>8</v>
      </c>
      <c r="T2" s="6"/>
      <c r="U2" s="5" t="s">
        <v>9</v>
      </c>
      <c r="V2" s="6"/>
      <c r="W2" s="5" t="s">
        <v>1</v>
      </c>
      <c r="X2" s="7"/>
      <c r="Y2" s="6"/>
      <c r="Z2" s="8"/>
      <c r="AA2" s="3"/>
      <c r="AB2" s="3"/>
      <c r="AC2" s="9"/>
    </row>
    <row r="3">
      <c r="A3" s="3"/>
      <c r="B3" s="10" t="s">
        <v>10</v>
      </c>
      <c r="C3" s="10" t="s">
        <v>11</v>
      </c>
      <c r="D3" s="11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3"/>
      <c r="AB3" s="3"/>
      <c r="AC3" s="9"/>
    </row>
    <row r="4">
      <c r="A4" s="1" t="s">
        <v>70</v>
      </c>
      <c r="AC4" s="12" t="s">
        <v>36</v>
      </c>
    </row>
    <row r="5">
      <c r="A5" s="13">
        <v>46055.0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 t="s">
        <v>37</v>
      </c>
      <c r="AB5" s="16" t="s">
        <v>38</v>
      </c>
      <c r="AC5" s="2"/>
    </row>
    <row r="6">
      <c r="A6" s="17" t="s">
        <v>39</v>
      </c>
      <c r="B6" s="19">
        <v>0.0</v>
      </c>
      <c r="C6" s="19">
        <v>0.0</v>
      </c>
      <c r="D6" s="19">
        <v>0.0</v>
      </c>
      <c r="E6" s="19">
        <v>0.0</v>
      </c>
      <c r="F6" s="19">
        <v>0.0</v>
      </c>
      <c r="G6" s="19">
        <v>0.0</v>
      </c>
      <c r="H6" s="19">
        <v>0.0</v>
      </c>
      <c r="I6" s="19">
        <v>0.0</v>
      </c>
      <c r="J6" s="19">
        <v>0.0</v>
      </c>
      <c r="K6" s="19">
        <v>0.0</v>
      </c>
      <c r="L6" s="19">
        <v>0.0</v>
      </c>
      <c r="M6" s="19">
        <v>0.0</v>
      </c>
      <c r="N6" s="19">
        <v>0.0</v>
      </c>
      <c r="O6" s="19">
        <v>1.0</v>
      </c>
      <c r="P6" s="18"/>
      <c r="Q6" s="19">
        <v>0.0</v>
      </c>
      <c r="R6" s="19">
        <v>0.0</v>
      </c>
      <c r="S6" s="19">
        <v>0.0</v>
      </c>
      <c r="T6" s="19">
        <v>0.0</v>
      </c>
      <c r="U6" s="19">
        <v>0.0</v>
      </c>
      <c r="V6" s="19">
        <v>0.0</v>
      </c>
      <c r="W6" s="19">
        <v>0.0</v>
      </c>
      <c r="X6" s="19">
        <v>0.0</v>
      </c>
      <c r="Y6" s="19"/>
      <c r="Z6" s="18"/>
      <c r="AA6" s="20">
        <f t="shared" ref="AA6:AA10" si="1">SUM(B6:Z6)</f>
        <v>1</v>
      </c>
      <c r="AB6" s="21">
        <f t="shared" ref="AB6:AB9" si="2">AA6/(COUNT(B6:Z6)*1)</f>
        <v>0.04545454545</v>
      </c>
      <c r="AC6" s="2"/>
    </row>
    <row r="7">
      <c r="A7" s="17" t="s">
        <v>40</v>
      </c>
      <c r="B7" s="19">
        <v>1.0</v>
      </c>
      <c r="C7" s="19">
        <v>1.0</v>
      </c>
      <c r="D7" s="19">
        <v>1.0</v>
      </c>
      <c r="E7" s="19">
        <v>1.0</v>
      </c>
      <c r="F7" s="19">
        <v>1.0</v>
      </c>
      <c r="G7" s="19">
        <v>1.0</v>
      </c>
      <c r="H7" s="19">
        <v>1.0</v>
      </c>
      <c r="I7" s="19">
        <v>1.0</v>
      </c>
      <c r="J7" s="19">
        <v>1.0</v>
      </c>
      <c r="K7" s="19">
        <v>1.0</v>
      </c>
      <c r="L7" s="19">
        <v>1.0</v>
      </c>
      <c r="M7" s="19">
        <v>1.0</v>
      </c>
      <c r="N7" s="19">
        <v>1.0</v>
      </c>
      <c r="O7" s="19">
        <v>1.0</v>
      </c>
      <c r="P7" s="18"/>
      <c r="Q7" s="19">
        <v>1.0</v>
      </c>
      <c r="R7" s="19">
        <v>1.0</v>
      </c>
      <c r="S7" s="19">
        <v>1.0</v>
      </c>
      <c r="T7" s="19">
        <v>1.0</v>
      </c>
      <c r="U7" s="19">
        <v>1.0</v>
      </c>
      <c r="V7" s="19">
        <v>1.0</v>
      </c>
      <c r="W7" s="19">
        <v>1.0</v>
      </c>
      <c r="X7" s="19">
        <v>1.0</v>
      </c>
      <c r="Y7" s="18"/>
      <c r="Z7" s="18"/>
      <c r="AA7" s="20">
        <f t="shared" si="1"/>
        <v>22</v>
      </c>
      <c r="AB7" s="21">
        <f t="shared" si="2"/>
        <v>1</v>
      </c>
      <c r="AC7" s="2"/>
    </row>
    <row r="8">
      <c r="A8" s="17" t="s">
        <v>41</v>
      </c>
      <c r="B8" s="19">
        <v>1.0</v>
      </c>
      <c r="C8" s="19">
        <v>0.0</v>
      </c>
      <c r="D8" s="19">
        <v>0.0</v>
      </c>
      <c r="E8" s="19">
        <v>0.0</v>
      </c>
      <c r="F8" s="19">
        <v>0.0</v>
      </c>
      <c r="G8" s="19">
        <v>0.0</v>
      </c>
      <c r="H8" s="19">
        <v>0.0</v>
      </c>
      <c r="I8" s="19">
        <v>0.0</v>
      </c>
      <c r="J8" s="19">
        <v>1.0</v>
      </c>
      <c r="K8" s="19">
        <v>1.0</v>
      </c>
      <c r="L8" s="19">
        <v>0.0</v>
      </c>
      <c r="M8" s="19">
        <v>0.0</v>
      </c>
      <c r="N8" s="19">
        <v>0.0</v>
      </c>
      <c r="O8" s="19">
        <v>1.0</v>
      </c>
      <c r="P8" s="18"/>
      <c r="Q8" s="19">
        <v>0.0</v>
      </c>
      <c r="R8" s="19">
        <v>0.0</v>
      </c>
      <c r="S8" s="19">
        <v>0.0</v>
      </c>
      <c r="T8" s="19">
        <v>0.0</v>
      </c>
      <c r="U8" s="19">
        <v>0.0</v>
      </c>
      <c r="V8" s="19">
        <v>0.0</v>
      </c>
      <c r="W8" s="19">
        <v>1.0</v>
      </c>
      <c r="X8" s="19">
        <v>1.0</v>
      </c>
      <c r="Y8" s="18"/>
      <c r="Z8" s="18"/>
      <c r="AA8" s="20">
        <f t="shared" si="1"/>
        <v>6</v>
      </c>
      <c r="AB8" s="21">
        <f t="shared" si="2"/>
        <v>0.2727272727</v>
      </c>
      <c r="AC8" s="2"/>
    </row>
    <row r="9">
      <c r="A9" s="17" t="s">
        <v>42</v>
      </c>
      <c r="B9" s="19">
        <v>1.0</v>
      </c>
      <c r="C9" s="19">
        <v>1.0</v>
      </c>
      <c r="D9" s="19">
        <v>1.0</v>
      </c>
      <c r="E9" s="19">
        <v>1.0</v>
      </c>
      <c r="F9" s="19">
        <v>1.0</v>
      </c>
      <c r="G9" s="19">
        <v>1.0</v>
      </c>
      <c r="H9" s="19">
        <v>1.0</v>
      </c>
      <c r="I9" s="19">
        <v>0.0</v>
      </c>
      <c r="J9" s="19">
        <v>1.0</v>
      </c>
      <c r="K9" s="19">
        <v>1.0</v>
      </c>
      <c r="L9" s="19">
        <v>1.0</v>
      </c>
      <c r="M9" s="19">
        <v>1.0</v>
      </c>
      <c r="N9" s="19">
        <v>1.0</v>
      </c>
      <c r="O9" s="19">
        <v>1.0</v>
      </c>
      <c r="P9" s="18"/>
      <c r="Q9" s="19">
        <v>1.0</v>
      </c>
      <c r="R9" s="19">
        <v>1.0</v>
      </c>
      <c r="S9" s="19">
        <v>1.0</v>
      </c>
      <c r="T9" s="19">
        <v>1.0</v>
      </c>
      <c r="U9" s="19">
        <v>1.0</v>
      </c>
      <c r="V9" s="19">
        <v>1.0</v>
      </c>
      <c r="W9" s="19">
        <v>1.0</v>
      </c>
      <c r="X9" s="19">
        <v>1.0</v>
      </c>
      <c r="Y9" s="18"/>
      <c r="Z9" s="18"/>
      <c r="AA9" s="20">
        <f t="shared" si="1"/>
        <v>21</v>
      </c>
      <c r="AB9" s="21">
        <f t="shared" si="2"/>
        <v>0.9545454545</v>
      </c>
      <c r="AC9" s="2"/>
    </row>
    <row r="10">
      <c r="A10" s="17" t="s">
        <v>43</v>
      </c>
      <c r="B10" s="22">
        <f t="shared" ref="B10:Z10" si="3">SUM(B6:B9)</f>
        <v>3</v>
      </c>
      <c r="C10" s="22">
        <f t="shared" si="3"/>
        <v>2</v>
      </c>
      <c r="D10" s="22">
        <f t="shared" si="3"/>
        <v>2</v>
      </c>
      <c r="E10" s="22">
        <f t="shared" si="3"/>
        <v>2</v>
      </c>
      <c r="F10" s="22">
        <f t="shared" si="3"/>
        <v>2</v>
      </c>
      <c r="G10" s="22">
        <f t="shared" si="3"/>
        <v>2</v>
      </c>
      <c r="H10" s="22">
        <f t="shared" si="3"/>
        <v>2</v>
      </c>
      <c r="I10" s="22">
        <f t="shared" si="3"/>
        <v>1</v>
      </c>
      <c r="J10" s="22">
        <f t="shared" si="3"/>
        <v>3</v>
      </c>
      <c r="K10" s="22">
        <f t="shared" si="3"/>
        <v>3</v>
      </c>
      <c r="L10" s="22">
        <f t="shared" si="3"/>
        <v>2</v>
      </c>
      <c r="M10" s="22">
        <f t="shared" si="3"/>
        <v>2</v>
      </c>
      <c r="N10" s="22">
        <f t="shared" si="3"/>
        <v>2</v>
      </c>
      <c r="O10" s="22">
        <f t="shared" si="3"/>
        <v>4</v>
      </c>
      <c r="P10" s="22">
        <f t="shared" si="3"/>
        <v>0</v>
      </c>
      <c r="Q10" s="22">
        <f t="shared" si="3"/>
        <v>2</v>
      </c>
      <c r="R10" s="22">
        <f t="shared" si="3"/>
        <v>2</v>
      </c>
      <c r="S10" s="22">
        <f t="shared" si="3"/>
        <v>2</v>
      </c>
      <c r="T10" s="22">
        <f t="shared" si="3"/>
        <v>2</v>
      </c>
      <c r="U10" s="22">
        <f t="shared" si="3"/>
        <v>2</v>
      </c>
      <c r="V10" s="22">
        <f t="shared" si="3"/>
        <v>2</v>
      </c>
      <c r="W10" s="22">
        <f t="shared" si="3"/>
        <v>3</v>
      </c>
      <c r="X10" s="22">
        <f t="shared" si="3"/>
        <v>3</v>
      </c>
      <c r="Y10" s="22">
        <f t="shared" si="3"/>
        <v>0</v>
      </c>
      <c r="Z10" s="22">
        <f t="shared" si="3"/>
        <v>0</v>
      </c>
      <c r="AA10" s="20">
        <f t="shared" si="1"/>
        <v>50</v>
      </c>
      <c r="AB10" s="23"/>
      <c r="AC10" s="2"/>
    </row>
    <row r="11">
      <c r="A11" s="17" t="s">
        <v>38</v>
      </c>
      <c r="B11" s="24">
        <f t="shared" ref="B11:Z11" si="4">B10/(COUNT(B6:B9)*1)</f>
        <v>0.75</v>
      </c>
      <c r="C11" s="24">
        <f t="shared" si="4"/>
        <v>0.5</v>
      </c>
      <c r="D11" s="24">
        <f t="shared" si="4"/>
        <v>0.5</v>
      </c>
      <c r="E11" s="24">
        <f t="shared" si="4"/>
        <v>0.5</v>
      </c>
      <c r="F11" s="24">
        <f t="shared" si="4"/>
        <v>0.5</v>
      </c>
      <c r="G11" s="24">
        <f t="shared" si="4"/>
        <v>0.5</v>
      </c>
      <c r="H11" s="24">
        <f t="shared" si="4"/>
        <v>0.5</v>
      </c>
      <c r="I11" s="24">
        <f t="shared" si="4"/>
        <v>0.25</v>
      </c>
      <c r="J11" s="24">
        <f t="shared" si="4"/>
        <v>0.75</v>
      </c>
      <c r="K11" s="24">
        <f t="shared" si="4"/>
        <v>0.75</v>
      </c>
      <c r="L11" s="24">
        <f t="shared" si="4"/>
        <v>0.5</v>
      </c>
      <c r="M11" s="24">
        <f t="shared" si="4"/>
        <v>0.5</v>
      </c>
      <c r="N11" s="24">
        <f t="shared" si="4"/>
        <v>0.5</v>
      </c>
      <c r="O11" s="24">
        <f t="shared" si="4"/>
        <v>1</v>
      </c>
      <c r="P11" s="24" t="str">
        <f t="shared" si="4"/>
        <v>#DIV/0!</v>
      </c>
      <c r="Q11" s="24">
        <f t="shared" si="4"/>
        <v>0.5</v>
      </c>
      <c r="R11" s="24">
        <f t="shared" si="4"/>
        <v>0.5</v>
      </c>
      <c r="S11" s="24">
        <f t="shared" si="4"/>
        <v>0.5</v>
      </c>
      <c r="T11" s="24">
        <f t="shared" si="4"/>
        <v>0.5</v>
      </c>
      <c r="U11" s="24">
        <f t="shared" si="4"/>
        <v>0.5</v>
      </c>
      <c r="V11" s="24">
        <f t="shared" si="4"/>
        <v>0.5</v>
      </c>
      <c r="W11" s="24">
        <f t="shared" si="4"/>
        <v>0.75</v>
      </c>
      <c r="X11" s="24">
        <f t="shared" si="4"/>
        <v>0.75</v>
      </c>
      <c r="Y11" s="24" t="str">
        <f t="shared" si="4"/>
        <v>#DIV/0!</v>
      </c>
      <c r="Z11" s="24" t="str">
        <f t="shared" si="4"/>
        <v>#DIV/0!</v>
      </c>
      <c r="AA11" s="25"/>
      <c r="AB11" s="26">
        <f>SUM(AB6:AB9)/4</f>
        <v>0.5681818182</v>
      </c>
      <c r="AC11" s="2"/>
    </row>
    <row r="12">
      <c r="A12" s="27" t="s">
        <v>44</v>
      </c>
      <c r="B12" s="60"/>
      <c r="C12" s="68">
        <v>10.0</v>
      </c>
      <c r="D12" s="68">
        <v>10.0</v>
      </c>
      <c r="E12" s="68">
        <v>20.0</v>
      </c>
      <c r="F12" s="68">
        <v>20.0</v>
      </c>
      <c r="G12" s="68">
        <v>20.0</v>
      </c>
      <c r="H12" s="68">
        <v>20.0</v>
      </c>
      <c r="I12" s="68">
        <v>20.0</v>
      </c>
      <c r="J12" s="68">
        <v>20.0</v>
      </c>
      <c r="K12" s="68">
        <v>20.0</v>
      </c>
      <c r="L12" s="68">
        <v>20.0</v>
      </c>
      <c r="M12" s="68">
        <v>15.0</v>
      </c>
      <c r="N12" s="68">
        <v>15.0</v>
      </c>
      <c r="O12" s="60"/>
      <c r="P12" s="60"/>
      <c r="Q12" s="68">
        <v>20.0</v>
      </c>
      <c r="R12" s="68">
        <v>20.0</v>
      </c>
      <c r="S12" s="68">
        <v>20.0</v>
      </c>
      <c r="T12" s="68">
        <v>20.0</v>
      </c>
      <c r="U12" s="68">
        <v>20.0</v>
      </c>
      <c r="V12" s="68">
        <v>20.0</v>
      </c>
      <c r="W12" s="68"/>
      <c r="X12" s="68"/>
      <c r="Y12" s="60"/>
      <c r="Z12" s="60"/>
      <c r="AA12" s="30">
        <f t="shared" ref="AA12:AA14" si="5">SUM(B12:Z12)</f>
        <v>330</v>
      </c>
      <c r="AB12" s="31"/>
      <c r="AC12" s="2"/>
    </row>
    <row r="13">
      <c r="A13" s="32" t="s">
        <v>45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0"/>
      <c r="W13" s="60"/>
      <c r="X13" s="60"/>
      <c r="Y13" s="60"/>
      <c r="Z13" s="60"/>
      <c r="AA13" s="30">
        <f t="shared" si="5"/>
        <v>0</v>
      </c>
      <c r="AB13" s="31"/>
      <c r="AC13" s="9"/>
    </row>
    <row r="14">
      <c r="A14" s="34" t="s">
        <v>46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0"/>
      <c r="W14" s="60"/>
      <c r="X14" s="60"/>
      <c r="Y14" s="60"/>
      <c r="Z14" s="60"/>
      <c r="AA14" s="30">
        <f t="shared" si="5"/>
        <v>0</v>
      </c>
      <c r="AB14" s="31"/>
      <c r="AC14" s="9"/>
    </row>
    <row r="15">
      <c r="A15" s="35" t="s">
        <v>47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8"/>
      <c r="AB15" s="39"/>
      <c r="AC15" s="2"/>
    </row>
    <row r="16">
      <c r="A16" s="40" t="s">
        <v>48</v>
      </c>
      <c r="B16" s="63"/>
      <c r="C16" s="65">
        <v>1.0</v>
      </c>
      <c r="D16" s="65">
        <v>1.0</v>
      </c>
      <c r="E16" s="65">
        <v>1.0</v>
      </c>
      <c r="F16" s="65">
        <v>1.0</v>
      </c>
      <c r="G16" s="65">
        <v>1.0</v>
      </c>
      <c r="H16" s="65">
        <v>1.0</v>
      </c>
      <c r="I16" s="65">
        <v>1.0</v>
      </c>
      <c r="J16" s="65">
        <v>1.0</v>
      </c>
      <c r="K16" s="65">
        <v>1.0</v>
      </c>
      <c r="L16" s="65">
        <v>1.0</v>
      </c>
      <c r="M16" s="65">
        <v>1.0</v>
      </c>
      <c r="N16" s="65">
        <v>1.0</v>
      </c>
      <c r="O16" s="63"/>
      <c r="P16" s="63"/>
      <c r="Q16" s="65">
        <v>1.0</v>
      </c>
      <c r="R16" s="65">
        <v>1.0</v>
      </c>
      <c r="S16" s="65">
        <v>1.0</v>
      </c>
      <c r="T16" s="65">
        <v>1.0</v>
      </c>
      <c r="U16" s="65">
        <v>1.0</v>
      </c>
      <c r="V16" s="69">
        <v>1.0</v>
      </c>
      <c r="W16" s="69">
        <v>1.0</v>
      </c>
      <c r="X16" s="69">
        <v>1.0</v>
      </c>
      <c r="Y16" s="66"/>
      <c r="Z16" s="66"/>
      <c r="AA16" s="44">
        <f t="shared" ref="AA16:AA17" si="6">SUM(B16:Z16)</f>
        <v>20</v>
      </c>
      <c r="AB16" s="31"/>
      <c r="AC16" s="2"/>
    </row>
    <row r="17">
      <c r="A17" s="40" t="s">
        <v>49</v>
      </c>
      <c r="B17" s="63"/>
      <c r="C17" s="65">
        <v>20.0</v>
      </c>
      <c r="D17" s="65">
        <v>20.0</v>
      </c>
      <c r="E17" s="65">
        <v>20.0</v>
      </c>
      <c r="F17" s="65">
        <v>20.0</v>
      </c>
      <c r="G17" s="65">
        <v>20.0</v>
      </c>
      <c r="H17" s="65">
        <v>20.0</v>
      </c>
      <c r="I17" s="65">
        <v>20.0</v>
      </c>
      <c r="J17" s="65">
        <v>20.0</v>
      </c>
      <c r="K17" s="65">
        <v>20.0</v>
      </c>
      <c r="L17" s="65">
        <v>20.0</v>
      </c>
      <c r="M17" s="65">
        <v>15.0</v>
      </c>
      <c r="N17" s="65">
        <v>15.0</v>
      </c>
      <c r="O17" s="63"/>
      <c r="P17" s="63"/>
      <c r="Q17" s="65">
        <v>20.0</v>
      </c>
      <c r="R17" s="65">
        <v>20.0</v>
      </c>
      <c r="S17" s="65">
        <v>20.0</v>
      </c>
      <c r="T17" s="65">
        <v>20.0</v>
      </c>
      <c r="U17" s="65">
        <v>20.0</v>
      </c>
      <c r="V17" s="69">
        <v>20.0</v>
      </c>
      <c r="W17" s="69">
        <v>10.0</v>
      </c>
      <c r="X17" s="69">
        <v>10.0</v>
      </c>
      <c r="Y17" s="66"/>
      <c r="Z17" s="66"/>
      <c r="AA17" s="44">
        <f t="shared" si="6"/>
        <v>370</v>
      </c>
      <c r="AB17" s="31"/>
      <c r="AC17" s="2"/>
    </row>
    <row r="18">
      <c r="A18" s="40" t="s">
        <v>50</v>
      </c>
      <c r="B18" s="64"/>
      <c r="C18" s="65">
        <v>1.0</v>
      </c>
      <c r="D18" s="65">
        <v>2.0</v>
      </c>
      <c r="E18" s="65">
        <v>2.0</v>
      </c>
      <c r="F18" s="65">
        <v>2.0</v>
      </c>
      <c r="G18" s="65">
        <v>2.0</v>
      </c>
      <c r="H18" s="65">
        <v>2.0</v>
      </c>
      <c r="I18" s="65">
        <v>2.0</v>
      </c>
      <c r="J18" s="65">
        <v>2.0</v>
      </c>
      <c r="K18" s="65">
        <v>2.0</v>
      </c>
      <c r="L18" s="65">
        <v>2.0</v>
      </c>
      <c r="M18" s="65">
        <v>2.0</v>
      </c>
      <c r="N18" s="65">
        <v>2.0</v>
      </c>
      <c r="O18" s="63"/>
      <c r="P18" s="63"/>
      <c r="Q18" s="65">
        <v>2.0</v>
      </c>
      <c r="R18" s="65">
        <v>2.0</v>
      </c>
      <c r="S18" s="65">
        <v>2.0</v>
      </c>
      <c r="T18" s="65">
        <v>2.0</v>
      </c>
      <c r="U18" s="65">
        <v>2.0</v>
      </c>
      <c r="V18" s="69">
        <v>2.0</v>
      </c>
      <c r="W18" s="69">
        <v>2.0</v>
      </c>
      <c r="X18" s="69">
        <v>2.0</v>
      </c>
      <c r="Y18" s="66"/>
      <c r="Z18" s="66"/>
      <c r="AA18" s="44">
        <f>AVERAGE(B18:Z18)</f>
        <v>1.95</v>
      </c>
      <c r="AB18" s="31"/>
      <c r="AC18" s="2"/>
    </row>
    <row r="19">
      <c r="A19" s="45" t="s">
        <v>51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7"/>
      <c r="AA19" s="46"/>
      <c r="AB19" s="39"/>
      <c r="AC19" s="2"/>
    </row>
    <row r="20">
      <c r="A20" s="47" t="s">
        <v>48</v>
      </c>
      <c r="B20" s="48"/>
      <c r="C20" s="49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50"/>
      <c r="W20" s="50"/>
      <c r="X20" s="50"/>
      <c r="Y20" s="50"/>
      <c r="Z20" s="50"/>
      <c r="AA20" s="51">
        <f t="shared" ref="AA20:AA21" si="7">SUM(B20:Z20)</f>
        <v>0</v>
      </c>
      <c r="AB20" s="31"/>
      <c r="AC20" s="2"/>
    </row>
    <row r="21">
      <c r="A21" s="47" t="s">
        <v>49</v>
      </c>
      <c r="B21" s="48"/>
      <c r="C21" s="49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50"/>
      <c r="W21" s="50"/>
      <c r="X21" s="50"/>
      <c r="Y21" s="50"/>
      <c r="Z21" s="50"/>
      <c r="AA21" s="51">
        <f t="shared" si="7"/>
        <v>0</v>
      </c>
      <c r="AB21" s="31"/>
      <c r="AC21" s="2"/>
    </row>
    <row r="22">
      <c r="A22" s="47" t="s">
        <v>52</v>
      </c>
      <c r="B22" s="49"/>
      <c r="C22" s="49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50"/>
      <c r="W22" s="50"/>
      <c r="X22" s="50"/>
      <c r="Y22" s="50"/>
      <c r="Z22" s="50"/>
      <c r="AA22" s="51" t="str">
        <f>AVERAGE(B22:Z22)</f>
        <v>#DIV/0!</v>
      </c>
      <c r="AB22" s="31"/>
      <c r="AC22" s="2"/>
    </row>
    <row r="23">
      <c r="A23" s="52" t="s">
        <v>53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7"/>
      <c r="AA23" s="38"/>
      <c r="AB23" s="39"/>
      <c r="AC23" s="2"/>
    </row>
    <row r="24">
      <c r="A24" s="40" t="s">
        <v>48</v>
      </c>
      <c r="B24" s="41"/>
      <c r="C24" s="42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3"/>
      <c r="W24" s="43"/>
      <c r="X24" s="43"/>
      <c r="Y24" s="43"/>
      <c r="Z24" s="43"/>
      <c r="AA24" s="44">
        <f t="shared" ref="AA24:AA25" si="8">SUM(B24:Z24)</f>
        <v>0</v>
      </c>
      <c r="AB24" s="31"/>
      <c r="AC24" s="2"/>
    </row>
    <row r="25">
      <c r="A25" s="40" t="s">
        <v>49</v>
      </c>
      <c r="B25" s="41"/>
      <c r="C25" s="42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3"/>
      <c r="W25" s="43"/>
      <c r="X25" s="43"/>
      <c r="Y25" s="43"/>
      <c r="Z25" s="43"/>
      <c r="AA25" s="44">
        <f t="shared" si="8"/>
        <v>0</v>
      </c>
      <c r="AB25" s="31"/>
      <c r="AC25" s="2"/>
    </row>
    <row r="26">
      <c r="A26" s="53" t="s">
        <v>50</v>
      </c>
      <c r="B26" s="54"/>
      <c r="C26" s="54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6"/>
      <c r="W26" s="56"/>
      <c r="X26" s="56"/>
      <c r="Y26" s="56"/>
      <c r="Z26" s="56"/>
      <c r="AA26" s="57" t="str">
        <f>AVERAGE(B26:Z26)</f>
        <v>#DIV/0!</v>
      </c>
      <c r="AB26" s="58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59"/>
      <c r="AB27" s="59"/>
      <c r="AC27" s="2"/>
    </row>
    <row r="28">
      <c r="A28" s="13">
        <v>46056.0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 t="s">
        <v>37</v>
      </c>
      <c r="AB28" s="16" t="s">
        <v>38</v>
      </c>
      <c r="AC28" s="2"/>
    </row>
    <row r="29">
      <c r="A29" s="17" t="s">
        <v>39</v>
      </c>
      <c r="B29" s="19">
        <v>1.0</v>
      </c>
      <c r="C29" s="19">
        <v>1.0</v>
      </c>
      <c r="D29" s="19">
        <v>1.0</v>
      </c>
      <c r="E29" s="19">
        <v>0.0</v>
      </c>
      <c r="F29" s="19">
        <v>0.0</v>
      </c>
      <c r="G29" s="19">
        <v>0.0</v>
      </c>
      <c r="H29" s="19">
        <v>0.0</v>
      </c>
      <c r="I29" s="19">
        <v>1.0</v>
      </c>
      <c r="J29" s="19">
        <v>1.0</v>
      </c>
      <c r="K29" s="19">
        <v>1.0</v>
      </c>
      <c r="L29" s="19">
        <v>1.0</v>
      </c>
      <c r="M29" s="19">
        <v>0.0</v>
      </c>
      <c r="N29" s="19">
        <v>0.0</v>
      </c>
      <c r="O29" s="19">
        <v>1.0</v>
      </c>
      <c r="P29" s="19">
        <v>1.0</v>
      </c>
      <c r="Q29" s="19">
        <v>1.0</v>
      </c>
      <c r="R29" s="19">
        <v>1.0</v>
      </c>
      <c r="S29" s="19">
        <v>1.0</v>
      </c>
      <c r="T29" s="19">
        <v>1.0</v>
      </c>
      <c r="U29" s="19">
        <v>1.0</v>
      </c>
      <c r="V29" s="19">
        <v>1.0</v>
      </c>
      <c r="W29" s="19">
        <v>1.0</v>
      </c>
      <c r="X29" s="19">
        <v>1.0</v>
      </c>
      <c r="Y29" s="19"/>
      <c r="Z29" s="18"/>
      <c r="AA29" s="20">
        <f t="shared" ref="AA29:AA33" si="9">SUM(B29:Z29)</f>
        <v>17</v>
      </c>
      <c r="AB29" s="21">
        <f t="shared" ref="AB29:AB32" si="10">AA29/(COUNT(B29:Z29)*1)</f>
        <v>0.7391304348</v>
      </c>
      <c r="AC29" s="2"/>
    </row>
    <row r="30">
      <c r="A30" s="17" t="s">
        <v>40</v>
      </c>
      <c r="B30" s="19">
        <v>1.0</v>
      </c>
      <c r="C30" s="19">
        <v>0.0</v>
      </c>
      <c r="D30" s="19">
        <v>1.0</v>
      </c>
      <c r="E30" s="19">
        <v>1.0</v>
      </c>
      <c r="F30" s="19">
        <v>1.0</v>
      </c>
      <c r="G30" s="19">
        <v>1.0</v>
      </c>
      <c r="H30" s="19">
        <v>1.0</v>
      </c>
      <c r="I30" s="19">
        <v>1.0</v>
      </c>
      <c r="J30" s="19">
        <v>1.0</v>
      </c>
      <c r="K30" s="19">
        <v>1.0</v>
      </c>
      <c r="L30" s="19">
        <v>1.0</v>
      </c>
      <c r="M30" s="19">
        <v>1.0</v>
      </c>
      <c r="N30" s="19">
        <v>1.0</v>
      </c>
      <c r="O30" s="19">
        <v>1.0</v>
      </c>
      <c r="P30" s="19">
        <v>1.0</v>
      </c>
      <c r="Q30" s="19">
        <v>1.0</v>
      </c>
      <c r="R30" s="19">
        <v>1.0</v>
      </c>
      <c r="S30" s="19">
        <v>1.0</v>
      </c>
      <c r="T30" s="19">
        <v>1.0</v>
      </c>
      <c r="U30" s="19">
        <v>1.0</v>
      </c>
      <c r="V30" s="19">
        <v>1.0</v>
      </c>
      <c r="W30" s="19">
        <v>1.0</v>
      </c>
      <c r="X30" s="19">
        <v>1.0</v>
      </c>
      <c r="Y30" s="19"/>
      <c r="Z30" s="18"/>
      <c r="AA30" s="20">
        <f t="shared" si="9"/>
        <v>22</v>
      </c>
      <c r="AB30" s="21">
        <f t="shared" si="10"/>
        <v>0.9565217391</v>
      </c>
      <c r="AC30" s="2"/>
    </row>
    <row r="31">
      <c r="A31" s="17" t="s">
        <v>41</v>
      </c>
      <c r="B31" s="19">
        <v>1.0</v>
      </c>
      <c r="C31" s="19">
        <v>0.0</v>
      </c>
      <c r="D31" s="19">
        <v>1.0</v>
      </c>
      <c r="E31" s="19">
        <v>1.0</v>
      </c>
      <c r="F31" s="19">
        <v>1.0</v>
      </c>
      <c r="G31" s="19">
        <v>0.0</v>
      </c>
      <c r="H31" s="19">
        <v>0.0</v>
      </c>
      <c r="I31" s="19">
        <v>0.0</v>
      </c>
      <c r="J31" s="19">
        <v>1.0</v>
      </c>
      <c r="K31" s="19">
        <v>1.0</v>
      </c>
      <c r="L31" s="19">
        <v>1.0</v>
      </c>
      <c r="M31" s="19">
        <v>0.0</v>
      </c>
      <c r="N31" s="19">
        <v>0.0</v>
      </c>
      <c r="O31" s="19">
        <v>1.0</v>
      </c>
      <c r="P31" s="19">
        <v>1.0</v>
      </c>
      <c r="Q31" s="19">
        <v>1.0</v>
      </c>
      <c r="R31" s="19">
        <v>1.0</v>
      </c>
      <c r="S31" s="19">
        <v>1.0</v>
      </c>
      <c r="T31" s="19">
        <v>1.0</v>
      </c>
      <c r="U31" s="19">
        <v>1.0</v>
      </c>
      <c r="V31" s="19">
        <v>1.0</v>
      </c>
      <c r="W31" s="19">
        <v>1.0</v>
      </c>
      <c r="X31" s="19">
        <v>1.0</v>
      </c>
      <c r="Y31" s="19"/>
      <c r="Z31" s="18"/>
      <c r="AA31" s="20">
        <f t="shared" si="9"/>
        <v>17</v>
      </c>
      <c r="AB31" s="21">
        <f t="shared" si="10"/>
        <v>0.7391304348</v>
      </c>
      <c r="AC31" s="2"/>
    </row>
    <row r="32">
      <c r="A32" s="17" t="s">
        <v>42</v>
      </c>
      <c r="B32" s="19">
        <v>1.0</v>
      </c>
      <c r="C32" s="19">
        <v>0.0</v>
      </c>
      <c r="D32" s="19">
        <v>0.0</v>
      </c>
      <c r="E32" s="19">
        <v>1.0</v>
      </c>
      <c r="F32" s="19">
        <v>1.0</v>
      </c>
      <c r="G32" s="19">
        <v>1.0</v>
      </c>
      <c r="H32" s="19">
        <v>1.0</v>
      </c>
      <c r="I32" s="19">
        <v>0.0</v>
      </c>
      <c r="J32" s="19">
        <v>1.0</v>
      </c>
      <c r="K32" s="19">
        <v>0.0</v>
      </c>
      <c r="L32" s="19">
        <v>1.0</v>
      </c>
      <c r="M32" s="19">
        <v>1.0</v>
      </c>
      <c r="N32" s="19">
        <v>1.0</v>
      </c>
      <c r="O32" s="19">
        <v>1.0</v>
      </c>
      <c r="P32" s="19">
        <v>1.0</v>
      </c>
      <c r="Q32" s="19">
        <v>1.0</v>
      </c>
      <c r="R32" s="19">
        <v>1.0</v>
      </c>
      <c r="S32" s="19">
        <v>1.0</v>
      </c>
      <c r="T32" s="19">
        <v>1.0</v>
      </c>
      <c r="U32" s="19">
        <v>1.0</v>
      </c>
      <c r="V32" s="19">
        <v>1.0</v>
      </c>
      <c r="W32" s="19">
        <v>1.0</v>
      </c>
      <c r="X32" s="19">
        <v>1.0</v>
      </c>
      <c r="Y32" s="18"/>
      <c r="Z32" s="18"/>
      <c r="AA32" s="20">
        <f t="shared" si="9"/>
        <v>19</v>
      </c>
      <c r="AB32" s="21">
        <f t="shared" si="10"/>
        <v>0.8260869565</v>
      </c>
      <c r="AC32" s="2"/>
    </row>
    <row r="33">
      <c r="A33" s="17" t="s">
        <v>43</v>
      </c>
      <c r="B33" s="22">
        <f t="shared" ref="B33:Z33" si="11">SUM(B29:B32)</f>
        <v>4</v>
      </c>
      <c r="C33" s="22">
        <f t="shared" si="11"/>
        <v>1</v>
      </c>
      <c r="D33" s="22">
        <f t="shared" si="11"/>
        <v>3</v>
      </c>
      <c r="E33" s="22">
        <f t="shared" si="11"/>
        <v>3</v>
      </c>
      <c r="F33" s="22">
        <f t="shared" si="11"/>
        <v>3</v>
      </c>
      <c r="G33" s="22">
        <f t="shared" si="11"/>
        <v>2</v>
      </c>
      <c r="H33" s="22">
        <f t="shared" si="11"/>
        <v>2</v>
      </c>
      <c r="I33" s="22">
        <f t="shared" si="11"/>
        <v>2</v>
      </c>
      <c r="J33" s="22">
        <f t="shared" si="11"/>
        <v>4</v>
      </c>
      <c r="K33" s="22">
        <f t="shared" si="11"/>
        <v>3</v>
      </c>
      <c r="L33" s="22">
        <f t="shared" si="11"/>
        <v>4</v>
      </c>
      <c r="M33" s="22">
        <f t="shared" si="11"/>
        <v>2</v>
      </c>
      <c r="N33" s="22">
        <f t="shared" si="11"/>
        <v>2</v>
      </c>
      <c r="O33" s="22">
        <f t="shared" si="11"/>
        <v>4</v>
      </c>
      <c r="P33" s="22">
        <f t="shared" si="11"/>
        <v>4</v>
      </c>
      <c r="Q33" s="22">
        <f t="shared" si="11"/>
        <v>4</v>
      </c>
      <c r="R33" s="22">
        <f t="shared" si="11"/>
        <v>4</v>
      </c>
      <c r="S33" s="22">
        <f t="shared" si="11"/>
        <v>4</v>
      </c>
      <c r="T33" s="22">
        <f t="shared" si="11"/>
        <v>4</v>
      </c>
      <c r="U33" s="22">
        <f t="shared" si="11"/>
        <v>4</v>
      </c>
      <c r="V33" s="22">
        <f t="shared" si="11"/>
        <v>4</v>
      </c>
      <c r="W33" s="22">
        <f t="shared" si="11"/>
        <v>4</v>
      </c>
      <c r="X33" s="22">
        <f t="shared" si="11"/>
        <v>4</v>
      </c>
      <c r="Y33" s="22">
        <f t="shared" si="11"/>
        <v>0</v>
      </c>
      <c r="Z33" s="22">
        <f t="shared" si="11"/>
        <v>0</v>
      </c>
      <c r="AA33" s="20">
        <f t="shared" si="9"/>
        <v>75</v>
      </c>
      <c r="AB33" s="23"/>
      <c r="AC33" s="2"/>
    </row>
    <row r="34">
      <c r="A34" s="17" t="s">
        <v>38</v>
      </c>
      <c r="B34" s="24">
        <f t="shared" ref="B34:Z34" si="12">B33/(COUNT(B29:B32)*1)</f>
        <v>1</v>
      </c>
      <c r="C34" s="24">
        <f t="shared" si="12"/>
        <v>0.25</v>
      </c>
      <c r="D34" s="24">
        <f t="shared" si="12"/>
        <v>0.75</v>
      </c>
      <c r="E34" s="24">
        <f t="shared" si="12"/>
        <v>0.75</v>
      </c>
      <c r="F34" s="24">
        <f t="shared" si="12"/>
        <v>0.75</v>
      </c>
      <c r="G34" s="24">
        <f t="shared" si="12"/>
        <v>0.5</v>
      </c>
      <c r="H34" s="24">
        <f t="shared" si="12"/>
        <v>0.5</v>
      </c>
      <c r="I34" s="24">
        <f t="shared" si="12"/>
        <v>0.5</v>
      </c>
      <c r="J34" s="24">
        <f t="shared" si="12"/>
        <v>1</v>
      </c>
      <c r="K34" s="24">
        <f t="shared" si="12"/>
        <v>0.75</v>
      </c>
      <c r="L34" s="24">
        <f t="shared" si="12"/>
        <v>1</v>
      </c>
      <c r="M34" s="24">
        <f t="shared" si="12"/>
        <v>0.5</v>
      </c>
      <c r="N34" s="24">
        <f t="shared" si="12"/>
        <v>0.5</v>
      </c>
      <c r="O34" s="24">
        <f t="shared" si="12"/>
        <v>1</v>
      </c>
      <c r="P34" s="24">
        <f t="shared" si="12"/>
        <v>1</v>
      </c>
      <c r="Q34" s="24">
        <f t="shared" si="12"/>
        <v>1</v>
      </c>
      <c r="R34" s="24">
        <f t="shared" si="12"/>
        <v>1</v>
      </c>
      <c r="S34" s="24">
        <f t="shared" si="12"/>
        <v>1</v>
      </c>
      <c r="T34" s="24">
        <f t="shared" si="12"/>
        <v>1</v>
      </c>
      <c r="U34" s="24">
        <f t="shared" si="12"/>
        <v>1</v>
      </c>
      <c r="V34" s="24">
        <f t="shared" si="12"/>
        <v>1</v>
      </c>
      <c r="W34" s="24">
        <f t="shared" si="12"/>
        <v>1</v>
      </c>
      <c r="X34" s="24">
        <f t="shared" si="12"/>
        <v>1</v>
      </c>
      <c r="Y34" s="24" t="str">
        <f t="shared" si="12"/>
        <v>#DIV/0!</v>
      </c>
      <c r="Z34" s="24" t="str">
        <f t="shared" si="12"/>
        <v>#DIV/0!</v>
      </c>
      <c r="AA34" s="25"/>
      <c r="AB34" s="26">
        <f>SUM(AB29:AB32)/4</f>
        <v>0.8152173913</v>
      </c>
      <c r="AC34" s="2"/>
    </row>
    <row r="35">
      <c r="A35" s="27" t="s">
        <v>44</v>
      </c>
      <c r="B35" s="60"/>
      <c r="C35" s="61"/>
      <c r="D35" s="60"/>
      <c r="E35" s="68">
        <v>20.0</v>
      </c>
      <c r="F35" s="68">
        <v>20.0</v>
      </c>
      <c r="G35" s="68">
        <v>20.0</v>
      </c>
      <c r="H35" s="68">
        <v>20.0</v>
      </c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30">
        <f t="shared" ref="AA35:AA37" si="13">SUM(B35:Z35)</f>
        <v>80</v>
      </c>
      <c r="AB35" s="31"/>
      <c r="AC35" s="2"/>
    </row>
    <row r="36">
      <c r="A36" s="32" t="s">
        <v>45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0"/>
      <c r="W36" s="60"/>
      <c r="X36" s="60"/>
      <c r="Y36" s="60"/>
      <c r="Z36" s="60"/>
      <c r="AA36" s="30">
        <f t="shared" si="13"/>
        <v>0</v>
      </c>
      <c r="AB36" s="31"/>
      <c r="AC36" s="9"/>
    </row>
    <row r="37">
      <c r="A37" s="34" t="s">
        <v>46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0"/>
      <c r="W37" s="60"/>
      <c r="X37" s="60"/>
      <c r="Y37" s="60"/>
      <c r="Z37" s="60"/>
      <c r="AA37" s="30">
        <f t="shared" si="13"/>
        <v>0</v>
      </c>
      <c r="AB37" s="31"/>
      <c r="AC37" s="9"/>
    </row>
    <row r="38">
      <c r="A38" s="35" t="s">
        <v>47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7"/>
      <c r="AA38" s="38"/>
      <c r="AB38" s="39"/>
      <c r="AC38" s="2"/>
    </row>
    <row r="39">
      <c r="A39" s="40" t="s">
        <v>48</v>
      </c>
      <c r="B39" s="41"/>
      <c r="C39" s="42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3"/>
      <c r="W39" s="43"/>
      <c r="X39" s="43"/>
      <c r="Y39" s="43"/>
      <c r="Z39" s="43"/>
      <c r="AA39" s="44">
        <f t="shared" ref="AA39:AA40" si="14">SUM(B39:Z39)</f>
        <v>0</v>
      </c>
      <c r="AB39" s="31"/>
      <c r="AC39" s="2"/>
    </row>
    <row r="40">
      <c r="A40" s="40" t="s">
        <v>49</v>
      </c>
      <c r="B40" s="41"/>
      <c r="C40" s="42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3"/>
      <c r="W40" s="43"/>
      <c r="X40" s="43"/>
      <c r="Y40" s="43"/>
      <c r="Z40" s="43"/>
      <c r="AA40" s="44">
        <f t="shared" si="14"/>
        <v>0</v>
      </c>
      <c r="AB40" s="31"/>
      <c r="AC40" s="2"/>
    </row>
    <row r="41">
      <c r="A41" s="40" t="s">
        <v>50</v>
      </c>
      <c r="B41" s="42"/>
      <c r="C41" s="42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3"/>
      <c r="W41" s="43"/>
      <c r="X41" s="43"/>
      <c r="Y41" s="43"/>
      <c r="Z41" s="43"/>
      <c r="AA41" s="44" t="str">
        <f>AVERAGE(B41:Z41)</f>
        <v>#DIV/0!</v>
      </c>
      <c r="AB41" s="31"/>
      <c r="AC41" s="2"/>
    </row>
    <row r="42">
      <c r="A42" s="45" t="s">
        <v>51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7"/>
      <c r="AA42" s="46"/>
      <c r="AB42" s="39"/>
      <c r="AC42" s="2"/>
    </row>
    <row r="43">
      <c r="A43" s="47" t="s">
        <v>48</v>
      </c>
      <c r="B43" s="48"/>
      <c r="C43" s="49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50"/>
      <c r="W43" s="50"/>
      <c r="X43" s="50"/>
      <c r="Y43" s="50"/>
      <c r="Z43" s="50"/>
      <c r="AA43" s="51">
        <f t="shared" ref="AA43:AA44" si="15">SUM(B43:Z43)</f>
        <v>0</v>
      </c>
      <c r="AB43" s="31"/>
      <c r="AC43" s="2"/>
    </row>
    <row r="44">
      <c r="A44" s="47" t="s">
        <v>49</v>
      </c>
      <c r="B44" s="48"/>
      <c r="C44" s="49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50"/>
      <c r="W44" s="50"/>
      <c r="X44" s="50"/>
      <c r="Y44" s="50"/>
      <c r="Z44" s="50"/>
      <c r="AA44" s="51">
        <f t="shared" si="15"/>
        <v>0</v>
      </c>
      <c r="AB44" s="31"/>
      <c r="AC44" s="2"/>
    </row>
    <row r="45">
      <c r="A45" s="47" t="s">
        <v>50</v>
      </c>
      <c r="B45" s="49"/>
      <c r="C45" s="49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50"/>
      <c r="W45" s="50"/>
      <c r="X45" s="50"/>
      <c r="Y45" s="50"/>
      <c r="Z45" s="50"/>
      <c r="AA45" s="51" t="str">
        <f>AVERAGE(B45:Z45)</f>
        <v>#DIV/0!</v>
      </c>
      <c r="AB45" s="31"/>
      <c r="AC45" s="2"/>
    </row>
    <row r="46">
      <c r="A46" s="52" t="s">
        <v>53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7"/>
      <c r="AA46" s="38"/>
      <c r="AB46" s="39"/>
      <c r="AC46" s="2"/>
    </row>
    <row r="47">
      <c r="A47" s="40" t="s">
        <v>48</v>
      </c>
      <c r="B47" s="41"/>
      <c r="C47" s="42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3"/>
      <c r="W47" s="43"/>
      <c r="X47" s="43"/>
      <c r="Y47" s="43"/>
      <c r="Z47" s="43"/>
      <c r="AA47" s="44">
        <f t="shared" ref="AA47:AA48" si="16">SUM(B47:Z47)</f>
        <v>0</v>
      </c>
      <c r="AB47" s="31"/>
      <c r="AC47" s="2"/>
    </row>
    <row r="48">
      <c r="A48" s="40" t="s">
        <v>49</v>
      </c>
      <c r="B48" s="41"/>
      <c r="C48" s="42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3"/>
      <c r="W48" s="43"/>
      <c r="X48" s="43"/>
      <c r="Y48" s="43"/>
      <c r="Z48" s="43"/>
      <c r="AA48" s="44">
        <f t="shared" si="16"/>
        <v>0</v>
      </c>
      <c r="AB48" s="31"/>
      <c r="AC48" s="2"/>
    </row>
    <row r="49">
      <c r="A49" s="53" t="s">
        <v>50</v>
      </c>
      <c r="B49" s="54"/>
      <c r="C49" s="54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6"/>
      <c r="W49" s="56"/>
      <c r="X49" s="56"/>
      <c r="Y49" s="56"/>
      <c r="Z49" s="56"/>
      <c r="AA49" s="57" t="str">
        <f>AVERAGE(B49:Z49)</f>
        <v>#DIV/0!</v>
      </c>
      <c r="AB49" s="58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59"/>
      <c r="AB50" s="59"/>
      <c r="AC50" s="2"/>
    </row>
    <row r="51">
      <c r="A51" s="13">
        <v>46057.0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5" t="s">
        <v>37</v>
      </c>
      <c r="AB51" s="16" t="s">
        <v>38</v>
      </c>
      <c r="AC51" s="2"/>
    </row>
    <row r="52">
      <c r="A52" s="17" t="s">
        <v>39</v>
      </c>
      <c r="B52" s="19">
        <v>1.0</v>
      </c>
      <c r="C52" s="19">
        <v>1.0</v>
      </c>
      <c r="D52" s="19">
        <v>1.0</v>
      </c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1.0</v>
      </c>
      <c r="K52" s="19">
        <v>1.0</v>
      </c>
      <c r="L52" s="19">
        <v>1.0</v>
      </c>
      <c r="M52" s="19">
        <v>0.0</v>
      </c>
      <c r="N52" s="19">
        <v>0.0</v>
      </c>
      <c r="O52" s="19">
        <v>0.0</v>
      </c>
      <c r="P52" s="19">
        <v>0.0</v>
      </c>
      <c r="Q52" s="19">
        <v>1.0</v>
      </c>
      <c r="R52" s="19">
        <v>1.0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8"/>
      <c r="AA52" s="20">
        <f t="shared" ref="AA52:AA56" si="17">SUM(B52:Z52)</f>
        <v>8</v>
      </c>
      <c r="AB52" s="21">
        <f t="shared" ref="AB52:AB55" si="18">AA52/(COUNT(B52:Z52)*1)</f>
        <v>0.3333333333</v>
      </c>
      <c r="AC52" s="2"/>
    </row>
    <row r="53">
      <c r="A53" s="17" t="s">
        <v>40</v>
      </c>
      <c r="B53" s="19">
        <v>1.0</v>
      </c>
      <c r="C53" s="19">
        <v>1.0</v>
      </c>
      <c r="D53" s="19">
        <v>1.0</v>
      </c>
      <c r="E53" s="19">
        <v>1.0</v>
      </c>
      <c r="F53" s="19">
        <v>1.0</v>
      </c>
      <c r="G53" s="19">
        <v>1.0</v>
      </c>
      <c r="H53" s="19">
        <v>0.0</v>
      </c>
      <c r="I53" s="19">
        <v>0.0</v>
      </c>
      <c r="J53" s="19">
        <v>1.0</v>
      </c>
      <c r="K53" s="19">
        <v>1.0</v>
      </c>
      <c r="L53" s="19">
        <v>0.0</v>
      </c>
      <c r="M53" s="19">
        <v>0.0</v>
      </c>
      <c r="N53" s="19">
        <v>0.0</v>
      </c>
      <c r="O53" s="19">
        <v>1.0</v>
      </c>
      <c r="P53" s="19">
        <v>1.0</v>
      </c>
      <c r="Q53" s="19">
        <v>1.0</v>
      </c>
      <c r="R53" s="19">
        <v>1.0</v>
      </c>
      <c r="S53" s="19">
        <v>1.0</v>
      </c>
      <c r="T53" s="19">
        <v>1.0</v>
      </c>
      <c r="U53" s="19">
        <v>1.0</v>
      </c>
      <c r="V53" s="19">
        <v>1.0</v>
      </c>
      <c r="W53" s="19">
        <v>1.0</v>
      </c>
      <c r="X53" s="19">
        <v>1.0</v>
      </c>
      <c r="Y53" s="19">
        <v>1.0</v>
      </c>
      <c r="Z53" s="18"/>
      <c r="AA53" s="20">
        <f t="shared" si="17"/>
        <v>19</v>
      </c>
      <c r="AB53" s="21">
        <f t="shared" si="18"/>
        <v>0.7916666667</v>
      </c>
      <c r="AC53" s="2"/>
    </row>
    <row r="54">
      <c r="A54" s="17" t="s">
        <v>41</v>
      </c>
      <c r="B54" s="19">
        <v>1.0</v>
      </c>
      <c r="C54" s="19">
        <v>1.0</v>
      </c>
      <c r="D54" s="19">
        <v>1.0</v>
      </c>
      <c r="E54" s="19">
        <v>0.0</v>
      </c>
      <c r="F54" s="19">
        <v>0.0</v>
      </c>
      <c r="G54" s="19">
        <v>0.0</v>
      </c>
      <c r="H54" s="19">
        <v>0.0</v>
      </c>
      <c r="I54" s="19">
        <v>0.0</v>
      </c>
      <c r="J54" s="19">
        <v>0.0</v>
      </c>
      <c r="K54" s="19">
        <v>0.0</v>
      </c>
      <c r="L54" s="19">
        <v>0.0</v>
      </c>
      <c r="M54" s="19">
        <v>0.0</v>
      </c>
      <c r="N54" s="19">
        <v>0.0</v>
      </c>
      <c r="O54" s="19">
        <v>0.0</v>
      </c>
      <c r="P54" s="19">
        <v>0.0</v>
      </c>
      <c r="Q54" s="19">
        <v>1.0</v>
      </c>
      <c r="R54" s="19">
        <v>1.0</v>
      </c>
      <c r="S54" s="19">
        <v>1.0</v>
      </c>
      <c r="T54" s="19">
        <v>1.0</v>
      </c>
      <c r="U54" s="19">
        <v>1.0</v>
      </c>
      <c r="V54" s="19">
        <v>1.0</v>
      </c>
      <c r="W54" s="19">
        <v>1.0</v>
      </c>
      <c r="X54" s="19">
        <v>1.0</v>
      </c>
      <c r="Y54" s="19">
        <v>1.0</v>
      </c>
      <c r="Z54" s="18"/>
      <c r="AA54" s="20">
        <f t="shared" si="17"/>
        <v>12</v>
      </c>
      <c r="AB54" s="21">
        <f t="shared" si="18"/>
        <v>0.5</v>
      </c>
      <c r="AC54" s="2"/>
    </row>
    <row r="55">
      <c r="A55" s="17" t="s">
        <v>42</v>
      </c>
      <c r="B55" s="19">
        <v>0.0</v>
      </c>
      <c r="C55" s="19">
        <v>0.0</v>
      </c>
      <c r="D55" s="19">
        <v>1.0</v>
      </c>
      <c r="E55" s="19">
        <v>0.0</v>
      </c>
      <c r="F55" s="19">
        <v>0.0</v>
      </c>
      <c r="G55" s="19">
        <v>0.0</v>
      </c>
      <c r="H55" s="19">
        <v>0.0</v>
      </c>
      <c r="I55" s="19">
        <v>0.0</v>
      </c>
      <c r="J55" s="19">
        <v>0.0</v>
      </c>
      <c r="K55" s="19">
        <v>0.0</v>
      </c>
      <c r="L55" s="19">
        <v>0.0</v>
      </c>
      <c r="M55" s="19">
        <v>0.0</v>
      </c>
      <c r="N55" s="19">
        <v>0.0</v>
      </c>
      <c r="O55" s="19">
        <v>0.0</v>
      </c>
      <c r="P55" s="19">
        <v>1.0</v>
      </c>
      <c r="Q55" s="19">
        <v>1.0</v>
      </c>
      <c r="R55" s="19">
        <v>1.0</v>
      </c>
      <c r="S55" s="19">
        <v>0.0</v>
      </c>
      <c r="T55" s="19">
        <v>1.0</v>
      </c>
      <c r="U55" s="19">
        <v>1.0</v>
      </c>
      <c r="V55" s="19">
        <v>1.0</v>
      </c>
      <c r="W55" s="19">
        <v>1.0</v>
      </c>
      <c r="X55" s="19">
        <v>1.0</v>
      </c>
      <c r="Y55" s="19">
        <v>1.0</v>
      </c>
      <c r="Z55" s="18"/>
      <c r="AA55" s="20">
        <f t="shared" si="17"/>
        <v>10</v>
      </c>
      <c r="AB55" s="21">
        <f t="shared" si="18"/>
        <v>0.4166666667</v>
      </c>
      <c r="AC55" s="2"/>
    </row>
    <row r="56">
      <c r="A56" s="17" t="s">
        <v>43</v>
      </c>
      <c r="B56" s="22">
        <f t="shared" ref="B56:Z56" si="19">SUM(B52:B55)</f>
        <v>3</v>
      </c>
      <c r="C56" s="22">
        <f t="shared" si="19"/>
        <v>3</v>
      </c>
      <c r="D56" s="22">
        <f t="shared" si="19"/>
        <v>4</v>
      </c>
      <c r="E56" s="22">
        <f t="shared" si="19"/>
        <v>1</v>
      </c>
      <c r="F56" s="22">
        <f t="shared" si="19"/>
        <v>1</v>
      </c>
      <c r="G56" s="22">
        <f t="shared" si="19"/>
        <v>1</v>
      </c>
      <c r="H56" s="22">
        <f t="shared" si="19"/>
        <v>0</v>
      </c>
      <c r="I56" s="22">
        <f t="shared" si="19"/>
        <v>0</v>
      </c>
      <c r="J56" s="22">
        <f t="shared" si="19"/>
        <v>2</v>
      </c>
      <c r="K56" s="22">
        <f t="shared" si="19"/>
        <v>2</v>
      </c>
      <c r="L56" s="22">
        <f t="shared" si="19"/>
        <v>1</v>
      </c>
      <c r="M56" s="22">
        <f t="shared" si="19"/>
        <v>0</v>
      </c>
      <c r="N56" s="22">
        <f t="shared" si="19"/>
        <v>0</v>
      </c>
      <c r="O56" s="22">
        <f t="shared" si="19"/>
        <v>1</v>
      </c>
      <c r="P56" s="22">
        <f t="shared" si="19"/>
        <v>2</v>
      </c>
      <c r="Q56" s="22">
        <f t="shared" si="19"/>
        <v>4</v>
      </c>
      <c r="R56" s="22">
        <f t="shared" si="19"/>
        <v>4</v>
      </c>
      <c r="S56" s="22">
        <f t="shared" si="19"/>
        <v>2</v>
      </c>
      <c r="T56" s="22">
        <f t="shared" si="19"/>
        <v>3</v>
      </c>
      <c r="U56" s="22">
        <f t="shared" si="19"/>
        <v>3</v>
      </c>
      <c r="V56" s="22">
        <f t="shared" si="19"/>
        <v>3</v>
      </c>
      <c r="W56" s="22">
        <f t="shared" si="19"/>
        <v>3</v>
      </c>
      <c r="X56" s="22">
        <f t="shared" si="19"/>
        <v>3</v>
      </c>
      <c r="Y56" s="22">
        <f t="shared" si="19"/>
        <v>3</v>
      </c>
      <c r="Z56" s="22">
        <f t="shared" si="19"/>
        <v>0</v>
      </c>
      <c r="AA56" s="20">
        <f t="shared" si="17"/>
        <v>49</v>
      </c>
      <c r="AB56" s="23"/>
      <c r="AC56" s="2"/>
    </row>
    <row r="57">
      <c r="A57" s="17" t="s">
        <v>38</v>
      </c>
      <c r="B57" s="24">
        <f t="shared" ref="B57:Z57" si="20">B56/(COUNT(B52:B55)*1)</f>
        <v>0.75</v>
      </c>
      <c r="C57" s="24">
        <f t="shared" si="20"/>
        <v>0.75</v>
      </c>
      <c r="D57" s="24">
        <f t="shared" si="20"/>
        <v>1</v>
      </c>
      <c r="E57" s="24">
        <f t="shared" si="20"/>
        <v>0.25</v>
      </c>
      <c r="F57" s="24">
        <f t="shared" si="20"/>
        <v>0.25</v>
      </c>
      <c r="G57" s="24">
        <f t="shared" si="20"/>
        <v>0.25</v>
      </c>
      <c r="H57" s="24">
        <f t="shared" si="20"/>
        <v>0</v>
      </c>
      <c r="I57" s="24">
        <f t="shared" si="20"/>
        <v>0</v>
      </c>
      <c r="J57" s="24">
        <f t="shared" si="20"/>
        <v>0.5</v>
      </c>
      <c r="K57" s="24">
        <f t="shared" si="20"/>
        <v>0.5</v>
      </c>
      <c r="L57" s="24">
        <f t="shared" si="20"/>
        <v>0.25</v>
      </c>
      <c r="M57" s="24">
        <f t="shared" si="20"/>
        <v>0</v>
      </c>
      <c r="N57" s="24">
        <f t="shared" si="20"/>
        <v>0</v>
      </c>
      <c r="O57" s="24">
        <f t="shared" si="20"/>
        <v>0.25</v>
      </c>
      <c r="P57" s="24">
        <f t="shared" si="20"/>
        <v>0.5</v>
      </c>
      <c r="Q57" s="24">
        <f t="shared" si="20"/>
        <v>1</v>
      </c>
      <c r="R57" s="24">
        <f t="shared" si="20"/>
        <v>1</v>
      </c>
      <c r="S57" s="24">
        <f t="shared" si="20"/>
        <v>0.5</v>
      </c>
      <c r="T57" s="24">
        <f t="shared" si="20"/>
        <v>0.75</v>
      </c>
      <c r="U57" s="24">
        <f t="shared" si="20"/>
        <v>0.75</v>
      </c>
      <c r="V57" s="24">
        <f t="shared" si="20"/>
        <v>0.75</v>
      </c>
      <c r="W57" s="24">
        <f t="shared" si="20"/>
        <v>0.75</v>
      </c>
      <c r="X57" s="24">
        <f t="shared" si="20"/>
        <v>0.75</v>
      </c>
      <c r="Y57" s="24">
        <f t="shared" si="20"/>
        <v>0.75</v>
      </c>
      <c r="Z57" s="24" t="str">
        <f t="shared" si="20"/>
        <v>#DIV/0!</v>
      </c>
      <c r="AA57" s="25"/>
      <c r="AB57" s="26">
        <f>SUM(AB52:AB55)/4</f>
        <v>0.5104166667</v>
      </c>
      <c r="AC57" s="2"/>
    </row>
    <row r="58">
      <c r="A58" s="27" t="s">
        <v>44</v>
      </c>
      <c r="B58" s="60"/>
      <c r="C58" s="61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30">
        <f t="shared" ref="AA58:AA60" si="21">SUM(B58:Z58)</f>
        <v>0</v>
      </c>
      <c r="AB58" s="31"/>
      <c r="AC58" s="2"/>
    </row>
    <row r="59">
      <c r="A59" s="32" t="s">
        <v>45</v>
      </c>
      <c r="B59" s="62"/>
      <c r="C59" s="62"/>
      <c r="D59" s="62"/>
      <c r="E59" s="128">
        <v>2.0</v>
      </c>
      <c r="F59" s="128">
        <v>4.0</v>
      </c>
      <c r="G59" s="62"/>
      <c r="H59" s="62"/>
      <c r="I59" s="128">
        <v>3.0</v>
      </c>
      <c r="J59" s="128">
        <v>3.0</v>
      </c>
      <c r="K59" s="128">
        <v>5.0</v>
      </c>
      <c r="L59" s="128">
        <v>8.0</v>
      </c>
      <c r="M59" s="128">
        <v>10.0</v>
      </c>
      <c r="N59" s="62"/>
      <c r="O59" s="62"/>
      <c r="P59" s="62"/>
      <c r="Q59" s="128">
        <v>2.0</v>
      </c>
      <c r="R59" s="62"/>
      <c r="S59" s="128">
        <v>3.0</v>
      </c>
      <c r="T59" s="128">
        <v>5.0</v>
      </c>
      <c r="U59" s="62"/>
      <c r="V59" s="60"/>
      <c r="W59" s="60"/>
      <c r="X59" s="60"/>
      <c r="Y59" s="60"/>
      <c r="Z59" s="60"/>
      <c r="AA59" s="30">
        <f t="shared" si="21"/>
        <v>45</v>
      </c>
      <c r="AB59" s="31"/>
      <c r="AC59" s="9"/>
    </row>
    <row r="60">
      <c r="A60" s="34" t="s">
        <v>46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0"/>
      <c r="W60" s="60"/>
      <c r="X60" s="60"/>
      <c r="Y60" s="60"/>
      <c r="Z60" s="60"/>
      <c r="AA60" s="30">
        <f t="shared" si="21"/>
        <v>0</v>
      </c>
      <c r="AB60" s="31"/>
      <c r="AC60" s="9"/>
    </row>
    <row r="61">
      <c r="A61" s="35" t="s">
        <v>47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7"/>
      <c r="AA61" s="38"/>
      <c r="AB61" s="39"/>
      <c r="AC61" s="2"/>
    </row>
    <row r="62">
      <c r="A62" s="40" t="s">
        <v>48</v>
      </c>
      <c r="B62" s="63"/>
      <c r="C62" s="64"/>
      <c r="D62" s="63"/>
      <c r="E62" s="65">
        <v>1.0</v>
      </c>
      <c r="F62" s="65">
        <v>1.0</v>
      </c>
      <c r="G62" s="65">
        <v>1.0</v>
      </c>
      <c r="H62" s="65">
        <v>1.0</v>
      </c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5">
        <v>1.0</v>
      </c>
      <c r="U62" s="65">
        <v>1.0</v>
      </c>
      <c r="V62" s="69">
        <v>1.0</v>
      </c>
      <c r="W62" s="69">
        <v>1.0</v>
      </c>
      <c r="X62" s="69">
        <v>1.0</v>
      </c>
      <c r="Y62" s="69">
        <v>1.0</v>
      </c>
      <c r="Z62" s="66"/>
      <c r="AA62" s="44">
        <f t="shared" ref="AA62:AA63" si="22">SUM(B62:Z62)</f>
        <v>10</v>
      </c>
      <c r="AB62" s="31"/>
      <c r="AC62" s="2"/>
    </row>
    <row r="63">
      <c r="A63" s="40" t="s">
        <v>49</v>
      </c>
      <c r="B63" s="63"/>
      <c r="C63" s="64"/>
      <c r="D63" s="63"/>
      <c r="E63" s="65">
        <v>20.0</v>
      </c>
      <c r="F63" s="65">
        <v>20.0</v>
      </c>
      <c r="G63" s="65">
        <v>20.0</v>
      </c>
      <c r="H63" s="65">
        <v>20.0</v>
      </c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5">
        <v>20.0</v>
      </c>
      <c r="U63" s="65">
        <v>20.0</v>
      </c>
      <c r="V63" s="69">
        <v>20.0</v>
      </c>
      <c r="W63" s="69">
        <v>10.0</v>
      </c>
      <c r="X63" s="69">
        <v>10.0</v>
      </c>
      <c r="Y63" s="69">
        <v>10.0</v>
      </c>
      <c r="Z63" s="66"/>
      <c r="AA63" s="44">
        <f t="shared" si="22"/>
        <v>170</v>
      </c>
      <c r="AB63" s="31"/>
      <c r="AC63" s="2"/>
    </row>
    <row r="64">
      <c r="A64" s="40" t="s">
        <v>50</v>
      </c>
      <c r="B64" s="64"/>
      <c r="C64" s="64"/>
      <c r="D64" s="63"/>
      <c r="E64" s="65">
        <v>2.0</v>
      </c>
      <c r="F64" s="65">
        <v>2.0</v>
      </c>
      <c r="G64" s="65">
        <v>2.0</v>
      </c>
      <c r="H64" s="65">
        <v>2.0</v>
      </c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5">
        <v>2.0</v>
      </c>
      <c r="U64" s="65">
        <v>2.0</v>
      </c>
      <c r="V64" s="69">
        <v>2.0</v>
      </c>
      <c r="W64" s="69">
        <v>1.0</v>
      </c>
      <c r="X64" s="69">
        <v>1.0</v>
      </c>
      <c r="Y64" s="69">
        <v>1.0</v>
      </c>
      <c r="Z64" s="66"/>
      <c r="AA64" s="44">
        <f>AVERAGE(B64:Z64)</f>
        <v>1.7</v>
      </c>
      <c r="AB64" s="31"/>
      <c r="AC64" s="2"/>
    </row>
    <row r="65">
      <c r="A65" s="45" t="s">
        <v>51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7"/>
      <c r="AA65" s="46"/>
      <c r="AB65" s="39"/>
      <c r="AC65" s="2"/>
    </row>
    <row r="66">
      <c r="A66" s="47" t="s">
        <v>48</v>
      </c>
      <c r="B66" s="48"/>
      <c r="C66" s="49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50"/>
      <c r="W66" s="50"/>
      <c r="X66" s="50"/>
      <c r="Y66" s="50"/>
      <c r="Z66" s="50"/>
      <c r="AA66" s="51">
        <f t="shared" ref="AA66:AA67" si="23">SUM(B66:Z66)</f>
        <v>0</v>
      </c>
      <c r="AB66" s="31"/>
      <c r="AC66" s="2"/>
    </row>
    <row r="67">
      <c r="A67" s="47" t="s">
        <v>49</v>
      </c>
      <c r="B67" s="48"/>
      <c r="C67" s="49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50"/>
      <c r="W67" s="50"/>
      <c r="X67" s="50"/>
      <c r="Y67" s="50"/>
      <c r="Z67" s="50"/>
      <c r="AA67" s="51">
        <f t="shared" si="23"/>
        <v>0</v>
      </c>
      <c r="AB67" s="31"/>
      <c r="AC67" s="2"/>
    </row>
    <row r="68">
      <c r="A68" s="47" t="s">
        <v>50</v>
      </c>
      <c r="B68" s="49"/>
      <c r="C68" s="49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50"/>
      <c r="W68" s="50"/>
      <c r="X68" s="50"/>
      <c r="Y68" s="50"/>
      <c r="Z68" s="50"/>
      <c r="AA68" s="51" t="str">
        <f>AVERAGE(B68:Z68)</f>
        <v>#DIV/0!</v>
      </c>
      <c r="AB68" s="31"/>
      <c r="AC68" s="2"/>
    </row>
    <row r="69">
      <c r="A69" s="52" t="s">
        <v>53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7"/>
      <c r="AA69" s="38"/>
      <c r="AB69" s="39"/>
      <c r="AC69" s="2"/>
    </row>
    <row r="70">
      <c r="A70" s="40" t="s">
        <v>48</v>
      </c>
      <c r="B70" s="41"/>
      <c r="C70" s="42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3"/>
      <c r="W70" s="43"/>
      <c r="X70" s="43"/>
      <c r="Y70" s="43"/>
      <c r="Z70" s="43"/>
      <c r="AA70" s="44">
        <f t="shared" ref="AA70:AA71" si="24">SUM(B70:Z70)</f>
        <v>0</v>
      </c>
      <c r="AB70" s="31"/>
      <c r="AC70" s="2"/>
    </row>
    <row r="71">
      <c r="A71" s="40" t="s">
        <v>49</v>
      </c>
      <c r="B71" s="41"/>
      <c r="C71" s="42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3"/>
      <c r="W71" s="43"/>
      <c r="X71" s="43"/>
      <c r="Y71" s="43"/>
      <c r="Z71" s="43"/>
      <c r="AA71" s="44">
        <f t="shared" si="24"/>
        <v>0</v>
      </c>
      <c r="AB71" s="31"/>
      <c r="AC71" s="2"/>
    </row>
    <row r="72">
      <c r="A72" s="53" t="s">
        <v>50</v>
      </c>
      <c r="B72" s="54"/>
      <c r="C72" s="54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6"/>
      <c r="W72" s="56"/>
      <c r="X72" s="56"/>
      <c r="Y72" s="56"/>
      <c r="Z72" s="56"/>
      <c r="AA72" s="57" t="str">
        <f>AVERAGE(B72:Z72)</f>
        <v>#DIV/0!</v>
      </c>
      <c r="AB72" s="58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59"/>
      <c r="AB73" s="59"/>
      <c r="AC73" s="2"/>
    </row>
    <row r="74">
      <c r="A74" s="13">
        <v>46058.0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5" t="s">
        <v>37</v>
      </c>
      <c r="AB74" s="16" t="s">
        <v>38</v>
      </c>
      <c r="AC74" s="2"/>
    </row>
    <row r="75">
      <c r="A75" s="17" t="s">
        <v>39</v>
      </c>
      <c r="B75" s="19">
        <v>1.0</v>
      </c>
      <c r="C75" s="19">
        <v>1.0</v>
      </c>
      <c r="D75" s="19">
        <v>1.0</v>
      </c>
      <c r="E75" s="19">
        <v>1.0</v>
      </c>
      <c r="F75" s="19">
        <v>0.0</v>
      </c>
      <c r="G75" s="19">
        <v>1.0</v>
      </c>
      <c r="H75" s="19">
        <v>1.0</v>
      </c>
      <c r="I75" s="19">
        <v>1.0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1.0</v>
      </c>
      <c r="P75" s="19">
        <v>1.0</v>
      </c>
      <c r="Q75" s="19">
        <v>1.0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8"/>
      <c r="Z75" s="18"/>
      <c r="AA75" s="20">
        <f t="shared" ref="AA75:AA79" si="25">SUM(B75:Z75)</f>
        <v>10</v>
      </c>
      <c r="AB75" s="21">
        <f t="shared" ref="AB75:AB78" si="26">AA75/(COUNT(B75:Z75)*1)</f>
        <v>0.4347826087</v>
      </c>
      <c r="AC75" s="2"/>
    </row>
    <row r="76">
      <c r="A76" s="17" t="s">
        <v>40</v>
      </c>
      <c r="B76" s="19">
        <v>1.0</v>
      </c>
      <c r="C76" s="19">
        <v>1.0</v>
      </c>
      <c r="D76" s="19">
        <v>1.0</v>
      </c>
      <c r="E76" s="19">
        <v>1.0</v>
      </c>
      <c r="F76" s="19">
        <v>1.0</v>
      </c>
      <c r="G76" s="19">
        <v>1.0</v>
      </c>
      <c r="H76" s="19">
        <v>1.0</v>
      </c>
      <c r="I76" s="19">
        <v>1.0</v>
      </c>
      <c r="J76" s="19">
        <v>0.0</v>
      </c>
      <c r="K76" s="19">
        <v>0.0</v>
      </c>
      <c r="L76" s="19">
        <v>1.0</v>
      </c>
      <c r="M76" s="19">
        <v>1.0</v>
      </c>
      <c r="N76" s="19">
        <v>1.0</v>
      </c>
      <c r="O76" s="19">
        <v>1.0</v>
      </c>
      <c r="P76" s="19">
        <v>1.0</v>
      </c>
      <c r="Q76" s="19">
        <v>1.0</v>
      </c>
      <c r="R76" s="19">
        <v>0.0</v>
      </c>
      <c r="S76" s="19">
        <v>1.0</v>
      </c>
      <c r="T76" s="19">
        <v>0.0</v>
      </c>
      <c r="U76" s="19">
        <v>1.0</v>
      </c>
      <c r="V76" s="19">
        <v>1.0</v>
      </c>
      <c r="W76" s="19">
        <v>1.0</v>
      </c>
      <c r="X76" s="19">
        <v>1.0</v>
      </c>
      <c r="Y76" s="18"/>
      <c r="Z76" s="18"/>
      <c r="AA76" s="20">
        <f t="shared" si="25"/>
        <v>19</v>
      </c>
      <c r="AB76" s="21">
        <f t="shared" si="26"/>
        <v>0.8260869565</v>
      </c>
      <c r="AC76" s="2"/>
    </row>
    <row r="77">
      <c r="A77" s="17" t="s">
        <v>41</v>
      </c>
      <c r="B77" s="19">
        <v>1.0</v>
      </c>
      <c r="C77" s="19">
        <v>1.0</v>
      </c>
      <c r="D77" s="19">
        <v>1.0</v>
      </c>
      <c r="E77" s="19">
        <v>1.0</v>
      </c>
      <c r="F77" s="19">
        <v>1.0</v>
      </c>
      <c r="G77" s="19">
        <v>0.0</v>
      </c>
      <c r="H77" s="19">
        <v>1.0</v>
      </c>
      <c r="I77" s="19">
        <v>1.0</v>
      </c>
      <c r="J77" s="19">
        <v>0.0</v>
      </c>
      <c r="K77" s="19">
        <v>0.0</v>
      </c>
      <c r="L77" s="19">
        <v>1.0</v>
      </c>
      <c r="M77" s="19">
        <v>1.0</v>
      </c>
      <c r="N77" s="19">
        <v>0.0</v>
      </c>
      <c r="O77" s="19">
        <v>1.0</v>
      </c>
      <c r="P77" s="19">
        <v>1.0</v>
      </c>
      <c r="Q77" s="19">
        <v>0.0</v>
      </c>
      <c r="R77" s="19">
        <v>0.0</v>
      </c>
      <c r="S77" s="19">
        <v>0.0</v>
      </c>
      <c r="T77" s="19">
        <v>0.0</v>
      </c>
      <c r="U77" s="19">
        <v>0.0</v>
      </c>
      <c r="V77" s="19">
        <v>0.0</v>
      </c>
      <c r="W77" s="19">
        <v>0.0</v>
      </c>
      <c r="X77" s="19">
        <v>1.0</v>
      </c>
      <c r="Y77" s="18"/>
      <c r="Z77" s="18"/>
      <c r="AA77" s="20">
        <f t="shared" si="25"/>
        <v>12</v>
      </c>
      <c r="AB77" s="21">
        <f t="shared" si="26"/>
        <v>0.5217391304</v>
      </c>
      <c r="AC77" s="2"/>
    </row>
    <row r="78">
      <c r="A78" s="17" t="s">
        <v>42</v>
      </c>
      <c r="B78" s="19">
        <v>1.0</v>
      </c>
      <c r="C78" s="19">
        <v>1.0</v>
      </c>
      <c r="D78" s="19">
        <v>1.0</v>
      </c>
      <c r="E78" s="19">
        <v>1.0</v>
      </c>
      <c r="F78" s="19">
        <v>1.0</v>
      </c>
      <c r="G78" s="19">
        <v>1.0</v>
      </c>
      <c r="H78" s="19">
        <v>0.0</v>
      </c>
      <c r="I78" s="19">
        <v>0.0</v>
      </c>
      <c r="J78" s="19">
        <v>0.0</v>
      </c>
      <c r="K78" s="19">
        <v>1.0</v>
      </c>
      <c r="L78" s="19">
        <v>0.0</v>
      </c>
      <c r="M78" s="19">
        <v>1.0</v>
      </c>
      <c r="N78" s="19">
        <v>1.0</v>
      </c>
      <c r="O78" s="19">
        <v>0.0</v>
      </c>
      <c r="P78" s="19">
        <v>1.0</v>
      </c>
      <c r="Q78" s="19">
        <v>0.0</v>
      </c>
      <c r="R78" s="19">
        <v>0.0</v>
      </c>
      <c r="S78" s="19">
        <v>0.0</v>
      </c>
      <c r="T78" s="19">
        <v>0.0</v>
      </c>
      <c r="U78" s="19">
        <v>1.0</v>
      </c>
      <c r="V78" s="19">
        <v>1.0</v>
      </c>
      <c r="W78" s="19">
        <v>1.0</v>
      </c>
      <c r="X78" s="19">
        <v>1.0</v>
      </c>
      <c r="Y78" s="18"/>
      <c r="Z78" s="18"/>
      <c r="AA78" s="20">
        <f t="shared" si="25"/>
        <v>14</v>
      </c>
      <c r="AB78" s="21">
        <f t="shared" si="26"/>
        <v>0.6086956522</v>
      </c>
      <c r="AC78" s="2"/>
    </row>
    <row r="79">
      <c r="A79" s="17" t="s">
        <v>43</v>
      </c>
      <c r="B79" s="22">
        <f t="shared" ref="B79:Z79" si="27">SUM(B75:B78)</f>
        <v>4</v>
      </c>
      <c r="C79" s="22">
        <f t="shared" si="27"/>
        <v>4</v>
      </c>
      <c r="D79" s="22">
        <f t="shared" si="27"/>
        <v>4</v>
      </c>
      <c r="E79" s="22">
        <f t="shared" si="27"/>
        <v>4</v>
      </c>
      <c r="F79" s="22">
        <f t="shared" si="27"/>
        <v>3</v>
      </c>
      <c r="G79" s="22">
        <f t="shared" si="27"/>
        <v>3</v>
      </c>
      <c r="H79" s="22">
        <f t="shared" si="27"/>
        <v>3</v>
      </c>
      <c r="I79" s="22">
        <f t="shared" si="27"/>
        <v>3</v>
      </c>
      <c r="J79" s="22">
        <f t="shared" si="27"/>
        <v>0</v>
      </c>
      <c r="K79" s="22">
        <f t="shared" si="27"/>
        <v>1</v>
      </c>
      <c r="L79" s="22">
        <f t="shared" si="27"/>
        <v>2</v>
      </c>
      <c r="M79" s="22">
        <f t="shared" si="27"/>
        <v>3</v>
      </c>
      <c r="N79" s="22">
        <f t="shared" si="27"/>
        <v>2</v>
      </c>
      <c r="O79" s="22">
        <f t="shared" si="27"/>
        <v>3</v>
      </c>
      <c r="P79" s="22">
        <f t="shared" si="27"/>
        <v>4</v>
      </c>
      <c r="Q79" s="22">
        <f t="shared" si="27"/>
        <v>2</v>
      </c>
      <c r="R79" s="22">
        <f t="shared" si="27"/>
        <v>0</v>
      </c>
      <c r="S79" s="22">
        <f t="shared" si="27"/>
        <v>1</v>
      </c>
      <c r="T79" s="22">
        <f t="shared" si="27"/>
        <v>0</v>
      </c>
      <c r="U79" s="22">
        <f t="shared" si="27"/>
        <v>2</v>
      </c>
      <c r="V79" s="22">
        <f t="shared" si="27"/>
        <v>2</v>
      </c>
      <c r="W79" s="22">
        <f t="shared" si="27"/>
        <v>2</v>
      </c>
      <c r="X79" s="22">
        <f t="shared" si="27"/>
        <v>3</v>
      </c>
      <c r="Y79" s="22">
        <f t="shared" si="27"/>
        <v>0</v>
      </c>
      <c r="Z79" s="22">
        <f t="shared" si="27"/>
        <v>0</v>
      </c>
      <c r="AA79" s="20">
        <f t="shared" si="25"/>
        <v>55</v>
      </c>
      <c r="AB79" s="23"/>
      <c r="AC79" s="2"/>
    </row>
    <row r="80">
      <c r="A80" s="17" t="s">
        <v>38</v>
      </c>
      <c r="B80" s="24">
        <f t="shared" ref="B80:Z80" si="28">B79/(COUNT(B75:B78)*1)</f>
        <v>1</v>
      </c>
      <c r="C80" s="24">
        <f t="shared" si="28"/>
        <v>1</v>
      </c>
      <c r="D80" s="24">
        <f t="shared" si="28"/>
        <v>1</v>
      </c>
      <c r="E80" s="24">
        <f t="shared" si="28"/>
        <v>1</v>
      </c>
      <c r="F80" s="24">
        <f t="shared" si="28"/>
        <v>0.75</v>
      </c>
      <c r="G80" s="24">
        <f t="shared" si="28"/>
        <v>0.75</v>
      </c>
      <c r="H80" s="24">
        <f t="shared" si="28"/>
        <v>0.75</v>
      </c>
      <c r="I80" s="24">
        <f t="shared" si="28"/>
        <v>0.75</v>
      </c>
      <c r="J80" s="24">
        <f t="shared" si="28"/>
        <v>0</v>
      </c>
      <c r="K80" s="24">
        <f t="shared" si="28"/>
        <v>0.25</v>
      </c>
      <c r="L80" s="24">
        <f t="shared" si="28"/>
        <v>0.5</v>
      </c>
      <c r="M80" s="24">
        <f t="shared" si="28"/>
        <v>0.75</v>
      </c>
      <c r="N80" s="24">
        <f t="shared" si="28"/>
        <v>0.5</v>
      </c>
      <c r="O80" s="24">
        <f t="shared" si="28"/>
        <v>0.75</v>
      </c>
      <c r="P80" s="24">
        <f t="shared" si="28"/>
        <v>1</v>
      </c>
      <c r="Q80" s="24">
        <f t="shared" si="28"/>
        <v>0.5</v>
      </c>
      <c r="R80" s="24">
        <f t="shared" si="28"/>
        <v>0</v>
      </c>
      <c r="S80" s="24">
        <f t="shared" si="28"/>
        <v>0.25</v>
      </c>
      <c r="T80" s="24">
        <f t="shared" si="28"/>
        <v>0</v>
      </c>
      <c r="U80" s="24">
        <f t="shared" si="28"/>
        <v>0.5</v>
      </c>
      <c r="V80" s="24">
        <f t="shared" si="28"/>
        <v>0.5</v>
      </c>
      <c r="W80" s="24">
        <f t="shared" si="28"/>
        <v>0.5</v>
      </c>
      <c r="X80" s="24">
        <f t="shared" si="28"/>
        <v>0.75</v>
      </c>
      <c r="Y80" s="24" t="str">
        <f t="shared" si="28"/>
        <v>#DIV/0!</v>
      </c>
      <c r="Z80" s="24" t="str">
        <f t="shared" si="28"/>
        <v>#DIV/0!</v>
      </c>
      <c r="AA80" s="25"/>
      <c r="AB80" s="26">
        <f>SUM(AB75:AB78)/4</f>
        <v>0.597826087</v>
      </c>
      <c r="AC80" s="2"/>
    </row>
    <row r="81">
      <c r="A81" s="27" t="s">
        <v>44</v>
      </c>
      <c r="B81" s="28"/>
      <c r="C81" s="29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30">
        <f t="shared" ref="AA81:AA83" si="29">SUM(B81:Z81)</f>
        <v>0</v>
      </c>
      <c r="AB81" s="31"/>
      <c r="AC81" s="2"/>
    </row>
    <row r="82">
      <c r="A82" s="32" t="s">
        <v>45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28"/>
      <c r="W82" s="28"/>
      <c r="X82" s="28"/>
      <c r="Y82" s="28"/>
      <c r="Z82" s="28"/>
      <c r="AA82" s="30">
        <f t="shared" si="29"/>
        <v>0</v>
      </c>
      <c r="AB82" s="31"/>
      <c r="AC82" s="9"/>
    </row>
    <row r="83">
      <c r="A83" s="34" t="s">
        <v>46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28"/>
      <c r="W83" s="28"/>
      <c r="X83" s="28"/>
      <c r="Y83" s="28"/>
      <c r="Z83" s="28"/>
      <c r="AA83" s="30">
        <f t="shared" si="29"/>
        <v>0</v>
      </c>
      <c r="AB83" s="31"/>
      <c r="AC83" s="9"/>
    </row>
    <row r="84">
      <c r="A84" s="35" t="s">
        <v>47</v>
      </c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7"/>
      <c r="AA84" s="38"/>
      <c r="AB84" s="39"/>
      <c r="AC84" s="2"/>
    </row>
    <row r="85">
      <c r="A85" s="40" t="s">
        <v>48</v>
      </c>
      <c r="B85" s="41"/>
      <c r="C85" s="42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3"/>
      <c r="W85" s="43"/>
      <c r="X85" s="43"/>
      <c r="Y85" s="43"/>
      <c r="Z85" s="43"/>
      <c r="AA85" s="44">
        <f t="shared" ref="AA85:AA86" si="30">SUM(B85:Z85)</f>
        <v>0</v>
      </c>
      <c r="AB85" s="31"/>
      <c r="AC85" s="2"/>
    </row>
    <row r="86">
      <c r="A86" s="40" t="s">
        <v>49</v>
      </c>
      <c r="B86" s="41"/>
      <c r="C86" s="42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3"/>
      <c r="W86" s="43"/>
      <c r="X86" s="43"/>
      <c r="Y86" s="43"/>
      <c r="Z86" s="43"/>
      <c r="AA86" s="44">
        <f t="shared" si="30"/>
        <v>0</v>
      </c>
      <c r="AB86" s="31"/>
      <c r="AC86" s="2"/>
    </row>
    <row r="87">
      <c r="A87" s="40" t="s">
        <v>50</v>
      </c>
      <c r="B87" s="42"/>
      <c r="C87" s="42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3"/>
      <c r="W87" s="43"/>
      <c r="X87" s="43"/>
      <c r="Y87" s="43"/>
      <c r="Z87" s="43"/>
      <c r="AA87" s="44" t="str">
        <f>AVERAGE(B87:Z87)</f>
        <v>#DIV/0!</v>
      </c>
      <c r="AB87" s="31"/>
      <c r="AC87" s="2"/>
    </row>
    <row r="88">
      <c r="A88" s="45" t="s">
        <v>51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7"/>
      <c r="AA88" s="46"/>
      <c r="AB88" s="39"/>
      <c r="AC88" s="2"/>
    </row>
    <row r="89">
      <c r="A89" s="47" t="s">
        <v>48</v>
      </c>
      <c r="B89" s="48"/>
      <c r="C89" s="49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50"/>
      <c r="W89" s="50"/>
      <c r="X89" s="50"/>
      <c r="Y89" s="50"/>
      <c r="Z89" s="50"/>
      <c r="AA89" s="51">
        <f t="shared" ref="AA89:AA90" si="31">SUM(B89:Z89)</f>
        <v>0</v>
      </c>
      <c r="AB89" s="31"/>
      <c r="AC89" s="2"/>
    </row>
    <row r="90">
      <c r="A90" s="47" t="s">
        <v>49</v>
      </c>
      <c r="B90" s="48"/>
      <c r="C90" s="49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50"/>
      <c r="W90" s="50"/>
      <c r="X90" s="50"/>
      <c r="Y90" s="50"/>
      <c r="Z90" s="50"/>
      <c r="AA90" s="51">
        <f t="shared" si="31"/>
        <v>0</v>
      </c>
      <c r="AB90" s="31"/>
      <c r="AC90" s="2"/>
    </row>
    <row r="91">
      <c r="A91" s="47" t="s">
        <v>50</v>
      </c>
      <c r="B91" s="49"/>
      <c r="C91" s="49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50"/>
      <c r="W91" s="50"/>
      <c r="X91" s="50"/>
      <c r="Y91" s="50"/>
      <c r="Z91" s="50"/>
      <c r="AA91" s="51" t="str">
        <f>AVERAGE(B91:Z91)</f>
        <v>#DIV/0!</v>
      </c>
      <c r="AB91" s="31"/>
      <c r="AC91" s="2"/>
    </row>
    <row r="92">
      <c r="A92" s="52" t="s">
        <v>53</v>
      </c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7"/>
      <c r="AA92" s="38"/>
      <c r="AB92" s="39"/>
      <c r="AC92" s="2"/>
    </row>
    <row r="93">
      <c r="A93" s="40" t="s">
        <v>48</v>
      </c>
      <c r="B93" s="41"/>
      <c r="C93" s="42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3"/>
      <c r="W93" s="43"/>
      <c r="X93" s="43"/>
      <c r="Y93" s="43"/>
      <c r="Z93" s="43"/>
      <c r="AA93" s="44">
        <f t="shared" ref="AA93:AA94" si="32">SUM(B93:Z93)</f>
        <v>0</v>
      </c>
      <c r="AB93" s="31"/>
      <c r="AC93" s="2"/>
    </row>
    <row r="94">
      <c r="A94" s="40" t="s">
        <v>49</v>
      </c>
      <c r="B94" s="41"/>
      <c r="C94" s="42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3"/>
      <c r="W94" s="43"/>
      <c r="X94" s="43"/>
      <c r="Y94" s="43"/>
      <c r="Z94" s="43"/>
      <c r="AA94" s="44">
        <f t="shared" si="32"/>
        <v>0</v>
      </c>
      <c r="AB94" s="31"/>
      <c r="AC94" s="2"/>
    </row>
    <row r="95">
      <c r="A95" s="53" t="s">
        <v>50</v>
      </c>
      <c r="B95" s="54"/>
      <c r="C95" s="54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6"/>
      <c r="W95" s="56"/>
      <c r="X95" s="56"/>
      <c r="Y95" s="56"/>
      <c r="Z95" s="56"/>
      <c r="AA95" s="57" t="str">
        <f>AVERAGE(B95:Z95)</f>
        <v>#DIV/0!</v>
      </c>
      <c r="AB95" s="58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59"/>
      <c r="AB96" s="59"/>
      <c r="AC96" s="2"/>
    </row>
    <row r="97">
      <c r="A97" s="13">
        <v>46059.0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5" t="s">
        <v>37</v>
      </c>
      <c r="AB97" s="16" t="s">
        <v>38</v>
      </c>
      <c r="AC97" s="2"/>
    </row>
    <row r="98">
      <c r="A98" s="17" t="s">
        <v>39</v>
      </c>
      <c r="B98" s="19">
        <v>1.0</v>
      </c>
      <c r="C98" s="19">
        <v>1.0</v>
      </c>
      <c r="D98" s="19">
        <v>1.0</v>
      </c>
      <c r="E98" s="19">
        <v>1.0</v>
      </c>
      <c r="F98" s="19">
        <v>1.0</v>
      </c>
      <c r="G98" s="19">
        <v>1.0</v>
      </c>
      <c r="H98" s="19">
        <v>0.0</v>
      </c>
      <c r="I98" s="19">
        <v>1.0</v>
      </c>
      <c r="J98" s="19">
        <v>0.0</v>
      </c>
      <c r="K98" s="19">
        <v>0.0</v>
      </c>
      <c r="L98" s="19">
        <v>1.0</v>
      </c>
      <c r="M98" s="19">
        <v>1.0</v>
      </c>
      <c r="N98" s="19">
        <v>1.0</v>
      </c>
      <c r="O98" s="18"/>
      <c r="P98" s="18"/>
      <c r="Q98" s="19">
        <v>1.0</v>
      </c>
      <c r="R98" s="19">
        <v>1.0</v>
      </c>
      <c r="S98" s="19">
        <v>0.0</v>
      </c>
      <c r="T98" s="19">
        <v>0.0</v>
      </c>
      <c r="U98" s="19">
        <v>0.0</v>
      </c>
      <c r="V98" s="19">
        <v>0.0</v>
      </c>
      <c r="W98" s="19">
        <v>1.0</v>
      </c>
      <c r="X98" s="19">
        <v>1.0</v>
      </c>
      <c r="Y98" s="18"/>
      <c r="Z98" s="18"/>
      <c r="AA98" s="20">
        <f t="shared" ref="AA98:AA102" si="33">SUM(B98:Z98)</f>
        <v>14</v>
      </c>
      <c r="AB98" s="21">
        <f t="shared" ref="AB98:AB101" si="34">AA98/(COUNT(B98:Z98)*1)</f>
        <v>0.6666666667</v>
      </c>
      <c r="AC98" s="2"/>
    </row>
    <row r="99">
      <c r="A99" s="17" t="s">
        <v>40</v>
      </c>
      <c r="B99" s="19">
        <v>1.0</v>
      </c>
      <c r="C99" s="19">
        <v>1.0</v>
      </c>
      <c r="D99" s="19">
        <v>1.0</v>
      </c>
      <c r="E99" s="19">
        <v>1.0</v>
      </c>
      <c r="F99" s="19">
        <v>1.0</v>
      </c>
      <c r="G99" s="19">
        <v>1.0</v>
      </c>
      <c r="H99" s="19">
        <v>1.0</v>
      </c>
      <c r="I99" s="19">
        <v>1.0</v>
      </c>
      <c r="J99" s="19">
        <v>0.0</v>
      </c>
      <c r="K99" s="19">
        <v>0.0</v>
      </c>
      <c r="L99" s="19">
        <v>1.0</v>
      </c>
      <c r="M99" s="19">
        <v>1.0</v>
      </c>
      <c r="N99" s="19">
        <v>1.0</v>
      </c>
      <c r="O99" s="18"/>
      <c r="P99" s="18"/>
      <c r="Q99" s="19">
        <v>1.0</v>
      </c>
      <c r="R99" s="19">
        <v>1.0</v>
      </c>
      <c r="S99" s="19">
        <v>0.0</v>
      </c>
      <c r="T99" s="19">
        <v>0.0</v>
      </c>
      <c r="U99" s="19">
        <v>0.0</v>
      </c>
      <c r="V99" s="19">
        <v>1.0</v>
      </c>
      <c r="W99" s="19">
        <v>1.0</v>
      </c>
      <c r="X99" s="19">
        <v>1.0</v>
      </c>
      <c r="Y99" s="18"/>
      <c r="Z99" s="18"/>
      <c r="AA99" s="20">
        <f t="shared" si="33"/>
        <v>16</v>
      </c>
      <c r="AB99" s="21">
        <f t="shared" si="34"/>
        <v>0.7619047619</v>
      </c>
      <c r="AC99" s="2"/>
    </row>
    <row r="100">
      <c r="A100" s="17" t="s">
        <v>41</v>
      </c>
      <c r="B100" s="19">
        <v>1.0</v>
      </c>
      <c r="C100" s="19">
        <v>1.0</v>
      </c>
      <c r="D100" s="19">
        <v>1.0</v>
      </c>
      <c r="E100" s="19">
        <v>1.0</v>
      </c>
      <c r="F100" s="19">
        <v>1.0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1.0</v>
      </c>
      <c r="M100" s="19">
        <v>1.0</v>
      </c>
      <c r="N100" s="19">
        <v>1.0</v>
      </c>
      <c r="O100" s="18"/>
      <c r="P100" s="18"/>
      <c r="Q100" s="19">
        <v>1.0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1.0</v>
      </c>
      <c r="X100" s="19">
        <v>1.0</v>
      </c>
      <c r="Y100" s="18"/>
      <c r="Z100" s="18"/>
      <c r="AA100" s="20">
        <f t="shared" si="33"/>
        <v>11</v>
      </c>
      <c r="AB100" s="21">
        <f t="shared" si="34"/>
        <v>0.5238095238</v>
      </c>
      <c r="AC100" s="2"/>
    </row>
    <row r="101">
      <c r="A101" s="17" t="s">
        <v>42</v>
      </c>
      <c r="B101" s="19">
        <v>1.0</v>
      </c>
      <c r="C101" s="19">
        <v>1.0</v>
      </c>
      <c r="D101" s="19">
        <v>1.0</v>
      </c>
      <c r="E101" s="19">
        <v>0.0</v>
      </c>
      <c r="F101" s="19">
        <v>1.0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1.0</v>
      </c>
      <c r="M101" s="19">
        <v>1.0</v>
      </c>
      <c r="N101" s="19">
        <v>1.0</v>
      </c>
      <c r="O101" s="18"/>
      <c r="P101" s="18"/>
      <c r="Q101" s="19">
        <v>0.0</v>
      </c>
      <c r="R101" s="19">
        <v>0.0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  <c r="X101" s="19">
        <v>1.0</v>
      </c>
      <c r="Y101" s="18"/>
      <c r="Z101" s="18"/>
      <c r="AA101" s="20">
        <f t="shared" si="33"/>
        <v>8</v>
      </c>
      <c r="AB101" s="21">
        <f t="shared" si="34"/>
        <v>0.380952381</v>
      </c>
      <c r="AC101" s="2"/>
    </row>
    <row r="102">
      <c r="A102" s="17" t="s">
        <v>43</v>
      </c>
      <c r="B102" s="22">
        <f t="shared" ref="B102:Z102" si="35">SUM(B98:B101)</f>
        <v>4</v>
      </c>
      <c r="C102" s="22">
        <f t="shared" si="35"/>
        <v>4</v>
      </c>
      <c r="D102" s="22">
        <f t="shared" si="35"/>
        <v>4</v>
      </c>
      <c r="E102" s="22">
        <f t="shared" si="35"/>
        <v>3</v>
      </c>
      <c r="F102" s="22">
        <f t="shared" si="35"/>
        <v>4</v>
      </c>
      <c r="G102" s="22">
        <f t="shared" si="35"/>
        <v>2</v>
      </c>
      <c r="H102" s="22">
        <f t="shared" si="35"/>
        <v>1</v>
      </c>
      <c r="I102" s="22">
        <f t="shared" si="35"/>
        <v>2</v>
      </c>
      <c r="J102" s="22">
        <f t="shared" si="35"/>
        <v>0</v>
      </c>
      <c r="K102" s="22">
        <f t="shared" si="35"/>
        <v>0</v>
      </c>
      <c r="L102" s="22">
        <f t="shared" si="35"/>
        <v>4</v>
      </c>
      <c r="M102" s="22">
        <f t="shared" si="35"/>
        <v>4</v>
      </c>
      <c r="N102" s="22">
        <f t="shared" si="35"/>
        <v>4</v>
      </c>
      <c r="O102" s="22">
        <f t="shared" si="35"/>
        <v>0</v>
      </c>
      <c r="P102" s="22">
        <f t="shared" si="35"/>
        <v>0</v>
      </c>
      <c r="Q102" s="22">
        <f t="shared" si="35"/>
        <v>3</v>
      </c>
      <c r="R102" s="22">
        <f t="shared" si="35"/>
        <v>2</v>
      </c>
      <c r="S102" s="22">
        <f t="shared" si="35"/>
        <v>0</v>
      </c>
      <c r="T102" s="22">
        <f t="shared" si="35"/>
        <v>0</v>
      </c>
      <c r="U102" s="22">
        <f t="shared" si="35"/>
        <v>0</v>
      </c>
      <c r="V102" s="22">
        <f t="shared" si="35"/>
        <v>1</v>
      </c>
      <c r="W102" s="22">
        <f t="shared" si="35"/>
        <v>3</v>
      </c>
      <c r="X102" s="22">
        <f t="shared" si="35"/>
        <v>4</v>
      </c>
      <c r="Y102" s="22">
        <f t="shared" si="35"/>
        <v>0</v>
      </c>
      <c r="Z102" s="22">
        <f t="shared" si="35"/>
        <v>0</v>
      </c>
      <c r="AA102" s="20">
        <f t="shared" si="33"/>
        <v>49</v>
      </c>
      <c r="AB102" s="23"/>
      <c r="AC102" s="2"/>
    </row>
    <row r="103">
      <c r="A103" s="17" t="s">
        <v>38</v>
      </c>
      <c r="B103" s="24">
        <f t="shared" ref="B103:Z103" si="36">B102/(COUNT(B98:B101)*1)</f>
        <v>1</v>
      </c>
      <c r="C103" s="24">
        <f t="shared" si="36"/>
        <v>1</v>
      </c>
      <c r="D103" s="24">
        <f t="shared" si="36"/>
        <v>1</v>
      </c>
      <c r="E103" s="24">
        <f t="shared" si="36"/>
        <v>0.75</v>
      </c>
      <c r="F103" s="24">
        <f t="shared" si="36"/>
        <v>1</v>
      </c>
      <c r="G103" s="24">
        <f t="shared" si="36"/>
        <v>0.5</v>
      </c>
      <c r="H103" s="24">
        <f t="shared" si="36"/>
        <v>0.25</v>
      </c>
      <c r="I103" s="24">
        <f t="shared" si="36"/>
        <v>0.5</v>
      </c>
      <c r="J103" s="24">
        <f t="shared" si="36"/>
        <v>0</v>
      </c>
      <c r="K103" s="24">
        <f t="shared" si="36"/>
        <v>0</v>
      </c>
      <c r="L103" s="24">
        <f t="shared" si="36"/>
        <v>1</v>
      </c>
      <c r="M103" s="24">
        <f t="shared" si="36"/>
        <v>1</v>
      </c>
      <c r="N103" s="24">
        <f t="shared" si="36"/>
        <v>1</v>
      </c>
      <c r="O103" s="24" t="str">
        <f t="shared" si="36"/>
        <v>#DIV/0!</v>
      </c>
      <c r="P103" s="24" t="str">
        <f t="shared" si="36"/>
        <v>#DIV/0!</v>
      </c>
      <c r="Q103" s="24">
        <f t="shared" si="36"/>
        <v>0.75</v>
      </c>
      <c r="R103" s="24">
        <f t="shared" si="36"/>
        <v>0.5</v>
      </c>
      <c r="S103" s="24">
        <f t="shared" si="36"/>
        <v>0</v>
      </c>
      <c r="T103" s="24">
        <f t="shared" si="36"/>
        <v>0</v>
      </c>
      <c r="U103" s="24">
        <f t="shared" si="36"/>
        <v>0</v>
      </c>
      <c r="V103" s="24">
        <f t="shared" si="36"/>
        <v>0.25</v>
      </c>
      <c r="W103" s="24">
        <f t="shared" si="36"/>
        <v>0.75</v>
      </c>
      <c r="X103" s="24">
        <f t="shared" si="36"/>
        <v>1</v>
      </c>
      <c r="Y103" s="24" t="str">
        <f t="shared" si="36"/>
        <v>#DIV/0!</v>
      </c>
      <c r="Z103" s="24" t="str">
        <f t="shared" si="36"/>
        <v>#DIV/0!</v>
      </c>
      <c r="AA103" s="25"/>
      <c r="AB103" s="26">
        <f>SUM(AB98:AB101)/4</f>
        <v>0.5833333333</v>
      </c>
      <c r="AC103" s="2"/>
    </row>
    <row r="104">
      <c r="A104" s="27" t="s">
        <v>44</v>
      </c>
      <c r="B104" s="28"/>
      <c r="C104" s="2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30">
        <f t="shared" ref="AA104:AA106" si="37">SUM(B104:Z104)</f>
        <v>0</v>
      </c>
      <c r="AB104" s="31"/>
      <c r="AC104" s="2"/>
    </row>
    <row r="105">
      <c r="A105" s="32" t="s">
        <v>45</v>
      </c>
      <c r="B105" s="33"/>
      <c r="C105" s="33"/>
      <c r="D105" s="33"/>
      <c r="E105" s="129">
        <v>1.0</v>
      </c>
      <c r="F105" s="33"/>
      <c r="G105" s="129">
        <v>2.0</v>
      </c>
      <c r="H105" s="129">
        <v>1.0</v>
      </c>
      <c r="I105" s="129">
        <v>3.0</v>
      </c>
      <c r="J105" s="129">
        <v>5.0</v>
      </c>
      <c r="K105" s="129">
        <v>6.0</v>
      </c>
      <c r="L105" s="33"/>
      <c r="M105" s="33"/>
      <c r="N105" s="33"/>
      <c r="O105" s="33"/>
      <c r="P105" s="33"/>
      <c r="Q105" s="33"/>
      <c r="R105" s="33"/>
      <c r="S105" s="129">
        <v>5.0</v>
      </c>
      <c r="T105" s="129">
        <v>3.0</v>
      </c>
      <c r="U105" s="129">
        <v>4.0</v>
      </c>
      <c r="V105" s="28"/>
      <c r="W105" s="28"/>
      <c r="X105" s="28"/>
      <c r="Y105" s="28"/>
      <c r="Z105" s="28"/>
      <c r="AA105" s="30">
        <f t="shared" si="37"/>
        <v>30</v>
      </c>
      <c r="AB105" s="31"/>
      <c r="AC105" s="9"/>
    </row>
    <row r="106">
      <c r="A106" s="34" t="s">
        <v>46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28"/>
      <c r="W106" s="28"/>
      <c r="X106" s="28"/>
      <c r="Y106" s="28"/>
      <c r="Z106" s="28"/>
      <c r="AA106" s="30">
        <f t="shared" si="37"/>
        <v>0</v>
      </c>
      <c r="AB106" s="31"/>
      <c r="AC106" s="9"/>
    </row>
    <row r="107">
      <c r="A107" s="35" t="s">
        <v>47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7"/>
      <c r="AA107" s="38"/>
      <c r="AB107" s="39"/>
      <c r="AC107" s="2"/>
    </row>
    <row r="108">
      <c r="A108" s="40" t="s">
        <v>48</v>
      </c>
      <c r="B108" s="63"/>
      <c r="C108" s="64"/>
      <c r="D108" s="63"/>
      <c r="E108" s="63"/>
      <c r="F108" s="63"/>
      <c r="G108" s="63"/>
      <c r="H108" s="65">
        <v>1.0</v>
      </c>
      <c r="I108" s="63"/>
      <c r="J108" s="65">
        <v>1.0</v>
      </c>
      <c r="K108" s="65">
        <v>1.0</v>
      </c>
      <c r="L108" s="63"/>
      <c r="M108" s="63"/>
      <c r="N108" s="63"/>
      <c r="O108" s="63"/>
      <c r="P108" s="63"/>
      <c r="Q108" s="63"/>
      <c r="R108" s="63"/>
      <c r="S108" s="65">
        <v>1.0</v>
      </c>
      <c r="T108" s="63"/>
      <c r="U108" s="63"/>
      <c r="V108" s="69">
        <v>1.0</v>
      </c>
      <c r="W108" s="66"/>
      <c r="X108" s="66"/>
      <c r="Y108" s="66"/>
      <c r="Z108" s="66"/>
      <c r="AA108" s="44">
        <f t="shared" ref="AA108:AA109" si="38">SUM(B108:Z108)</f>
        <v>5</v>
      </c>
      <c r="AB108" s="31"/>
      <c r="AC108" s="2"/>
    </row>
    <row r="109">
      <c r="A109" s="40" t="s">
        <v>49</v>
      </c>
      <c r="B109" s="63"/>
      <c r="C109" s="64"/>
      <c r="D109" s="63"/>
      <c r="E109" s="63"/>
      <c r="F109" s="63"/>
      <c r="G109" s="63"/>
      <c r="H109" s="65">
        <v>20.0</v>
      </c>
      <c r="I109" s="63"/>
      <c r="J109" s="65">
        <v>20.0</v>
      </c>
      <c r="K109" s="65">
        <v>20.0</v>
      </c>
      <c r="L109" s="63"/>
      <c r="M109" s="63"/>
      <c r="N109" s="63"/>
      <c r="O109" s="63"/>
      <c r="P109" s="63"/>
      <c r="Q109" s="63"/>
      <c r="R109" s="63"/>
      <c r="S109" s="65">
        <v>20.0</v>
      </c>
      <c r="T109" s="65">
        <v>20.0</v>
      </c>
      <c r="U109" s="65">
        <v>20.0</v>
      </c>
      <c r="V109" s="69">
        <v>20.0</v>
      </c>
      <c r="W109" s="66"/>
      <c r="X109" s="66"/>
      <c r="Y109" s="66"/>
      <c r="Z109" s="66"/>
      <c r="AA109" s="44">
        <f t="shared" si="38"/>
        <v>140</v>
      </c>
      <c r="AB109" s="31"/>
      <c r="AC109" s="2"/>
    </row>
    <row r="110">
      <c r="A110" s="40" t="s">
        <v>50</v>
      </c>
      <c r="B110" s="64"/>
      <c r="C110" s="64"/>
      <c r="D110" s="63"/>
      <c r="E110" s="63"/>
      <c r="F110" s="63"/>
      <c r="G110" s="63"/>
      <c r="H110" s="65">
        <v>2.0</v>
      </c>
      <c r="I110" s="63"/>
      <c r="J110" s="65">
        <v>3.0</v>
      </c>
      <c r="K110" s="65">
        <v>3.0</v>
      </c>
      <c r="L110" s="63"/>
      <c r="M110" s="63"/>
      <c r="N110" s="63"/>
      <c r="O110" s="63"/>
      <c r="P110" s="63"/>
      <c r="Q110" s="63"/>
      <c r="R110" s="63"/>
      <c r="S110" s="65">
        <v>3.0</v>
      </c>
      <c r="T110" s="65">
        <v>2.0</v>
      </c>
      <c r="U110" s="65">
        <v>2.0</v>
      </c>
      <c r="V110" s="69">
        <v>1.0</v>
      </c>
      <c r="W110" s="66"/>
      <c r="X110" s="66"/>
      <c r="Y110" s="66"/>
      <c r="Z110" s="66"/>
      <c r="AA110" s="44">
        <f>AVERAGE(B110:Z110)</f>
        <v>2.285714286</v>
      </c>
      <c r="AB110" s="31"/>
      <c r="AC110" s="2"/>
    </row>
    <row r="111">
      <c r="A111" s="45" t="s">
        <v>51</v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7"/>
      <c r="AA111" s="46"/>
      <c r="AB111" s="39"/>
      <c r="AC111" s="2"/>
    </row>
    <row r="112">
      <c r="A112" s="47" t="s">
        <v>48</v>
      </c>
      <c r="B112" s="48"/>
      <c r="C112" s="49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50"/>
      <c r="W112" s="50"/>
      <c r="X112" s="50"/>
      <c r="Y112" s="50"/>
      <c r="Z112" s="50"/>
      <c r="AA112" s="51">
        <f t="shared" ref="AA112:AA113" si="39">SUM(B112:Z112)</f>
        <v>0</v>
      </c>
      <c r="AB112" s="31"/>
      <c r="AC112" s="2"/>
    </row>
    <row r="113">
      <c r="A113" s="47" t="s">
        <v>49</v>
      </c>
      <c r="B113" s="48"/>
      <c r="C113" s="49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50"/>
      <c r="W113" s="50"/>
      <c r="X113" s="50"/>
      <c r="Y113" s="50"/>
      <c r="Z113" s="50"/>
      <c r="AA113" s="51">
        <f t="shared" si="39"/>
        <v>0</v>
      </c>
      <c r="AB113" s="31"/>
      <c r="AC113" s="2"/>
    </row>
    <row r="114">
      <c r="A114" s="47" t="s">
        <v>50</v>
      </c>
      <c r="B114" s="49"/>
      <c r="C114" s="49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50"/>
      <c r="W114" s="50"/>
      <c r="X114" s="50"/>
      <c r="Y114" s="50"/>
      <c r="Z114" s="50"/>
      <c r="AA114" s="51" t="str">
        <f>AVERAGE(B114:Z114)</f>
        <v>#DIV/0!</v>
      </c>
      <c r="AB114" s="31"/>
      <c r="AC114" s="2"/>
    </row>
    <row r="115">
      <c r="A115" s="52" t="s">
        <v>53</v>
      </c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7"/>
      <c r="AA115" s="38"/>
      <c r="AB115" s="39"/>
      <c r="AC115" s="2"/>
    </row>
    <row r="116">
      <c r="A116" s="40" t="s">
        <v>48</v>
      </c>
      <c r="B116" s="41"/>
      <c r="C116" s="42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3"/>
      <c r="W116" s="43"/>
      <c r="X116" s="43"/>
      <c r="Y116" s="43"/>
      <c r="Z116" s="43"/>
      <c r="AA116" s="44">
        <f t="shared" ref="AA116:AA117" si="40">SUM(B116:Z116)</f>
        <v>0</v>
      </c>
      <c r="AB116" s="31"/>
      <c r="AC116" s="2"/>
    </row>
    <row r="117">
      <c r="A117" s="40" t="s">
        <v>49</v>
      </c>
      <c r="B117" s="41"/>
      <c r="C117" s="42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3"/>
      <c r="W117" s="43"/>
      <c r="X117" s="43"/>
      <c r="Y117" s="43"/>
      <c r="Z117" s="43"/>
      <c r="AA117" s="44">
        <f t="shared" si="40"/>
        <v>0</v>
      </c>
      <c r="AB117" s="31"/>
      <c r="AC117" s="2"/>
    </row>
    <row r="118">
      <c r="A118" s="53" t="s">
        <v>50</v>
      </c>
      <c r="B118" s="54"/>
      <c r="C118" s="54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6"/>
      <c r="W118" s="56"/>
      <c r="X118" s="56"/>
      <c r="Y118" s="56"/>
      <c r="Z118" s="56"/>
      <c r="AA118" s="57" t="str">
        <f>AVERAGE(B118:Z118)</f>
        <v>#DIV/0!</v>
      </c>
      <c r="AB118" s="58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59"/>
      <c r="AB119" s="59"/>
      <c r="AC119" s="2"/>
    </row>
    <row r="120">
      <c r="A120" s="13">
        <v>46366.0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 t="s">
        <v>37</v>
      </c>
      <c r="AB120" s="16" t="s">
        <v>38</v>
      </c>
      <c r="AC120" s="2"/>
    </row>
    <row r="121">
      <c r="A121" s="17" t="s">
        <v>39</v>
      </c>
      <c r="B121" s="19">
        <v>1.0</v>
      </c>
      <c r="C121" s="19">
        <v>1.0</v>
      </c>
      <c r="D121" s="19">
        <v>1.0</v>
      </c>
      <c r="E121" s="19">
        <v>1.0</v>
      </c>
      <c r="F121" s="19">
        <v>1.0</v>
      </c>
      <c r="G121" s="19">
        <v>1.0</v>
      </c>
      <c r="H121" s="19">
        <v>1.0</v>
      </c>
      <c r="I121" s="19">
        <v>1.0</v>
      </c>
      <c r="J121" s="19">
        <v>1.0</v>
      </c>
      <c r="K121" s="19">
        <v>0.0</v>
      </c>
      <c r="L121" s="19">
        <v>0.0</v>
      </c>
      <c r="M121" s="19">
        <v>0.0</v>
      </c>
      <c r="N121" s="19">
        <v>0.0</v>
      </c>
      <c r="O121" s="19">
        <v>1.0</v>
      </c>
      <c r="P121" s="19">
        <v>1.0</v>
      </c>
      <c r="Q121" s="19">
        <v>0.0</v>
      </c>
      <c r="R121" s="19">
        <v>0.0</v>
      </c>
      <c r="S121" s="19">
        <v>1.0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8"/>
      <c r="Z121" s="18"/>
      <c r="AA121" s="20">
        <f t="shared" ref="AA121:AA125" si="41">SUM(B121:Z121)</f>
        <v>12</v>
      </c>
      <c r="AB121" s="21">
        <f t="shared" ref="AB121:AB124" si="42">AA121/(COUNT(B121:Z121)*1)</f>
        <v>0.5217391304</v>
      </c>
      <c r="AC121" s="2"/>
    </row>
    <row r="122">
      <c r="A122" s="17" t="s">
        <v>40</v>
      </c>
      <c r="B122" s="19">
        <v>1.0</v>
      </c>
      <c r="C122" s="19">
        <v>1.0</v>
      </c>
      <c r="D122" s="19">
        <v>1.0</v>
      </c>
      <c r="E122" s="19">
        <v>1.0</v>
      </c>
      <c r="F122" s="19">
        <v>0.0</v>
      </c>
      <c r="G122" s="19">
        <v>1.0</v>
      </c>
      <c r="H122" s="19">
        <v>1.0</v>
      </c>
      <c r="I122" s="19">
        <v>1.0</v>
      </c>
      <c r="J122" s="19">
        <v>1.0</v>
      </c>
      <c r="K122" s="19">
        <v>1.0</v>
      </c>
      <c r="L122" s="19">
        <v>1.0</v>
      </c>
      <c r="M122" s="19">
        <v>0.0</v>
      </c>
      <c r="N122" s="19">
        <v>0.0</v>
      </c>
      <c r="O122" s="19">
        <v>1.0</v>
      </c>
      <c r="P122" s="19">
        <v>1.0</v>
      </c>
      <c r="Q122" s="19">
        <v>1.0</v>
      </c>
      <c r="R122" s="19">
        <v>1.0</v>
      </c>
      <c r="S122" s="19">
        <v>1.0</v>
      </c>
      <c r="T122" s="19">
        <v>1.0</v>
      </c>
      <c r="U122" s="19">
        <v>1.0</v>
      </c>
      <c r="V122" s="19">
        <v>1.0</v>
      </c>
      <c r="W122" s="19">
        <v>1.0</v>
      </c>
      <c r="X122" s="19">
        <v>1.0</v>
      </c>
      <c r="Y122" s="18"/>
      <c r="Z122" s="18"/>
      <c r="AA122" s="20">
        <f t="shared" si="41"/>
        <v>20</v>
      </c>
      <c r="AB122" s="21">
        <f t="shared" si="42"/>
        <v>0.8695652174</v>
      </c>
      <c r="AC122" s="2"/>
    </row>
    <row r="123">
      <c r="A123" s="17" t="s">
        <v>41</v>
      </c>
      <c r="B123" s="19">
        <v>0.0</v>
      </c>
      <c r="C123" s="19">
        <v>0.0</v>
      </c>
      <c r="D123" s="19">
        <v>0.0</v>
      </c>
      <c r="E123" s="19">
        <v>0.0</v>
      </c>
      <c r="F123" s="19">
        <v>0.0</v>
      </c>
      <c r="G123" s="19">
        <v>1.0</v>
      </c>
      <c r="H123" s="19">
        <v>1.0</v>
      </c>
      <c r="I123" s="19">
        <v>0.0</v>
      </c>
      <c r="J123" s="19">
        <v>1.0</v>
      </c>
      <c r="K123" s="19">
        <v>1.0</v>
      </c>
      <c r="L123" s="19">
        <v>0.0</v>
      </c>
      <c r="M123" s="19">
        <v>0.0</v>
      </c>
      <c r="N123" s="19">
        <v>0.0</v>
      </c>
      <c r="O123" s="19">
        <v>1.0</v>
      </c>
      <c r="P123" s="19">
        <v>1.0</v>
      </c>
      <c r="Q123" s="19">
        <v>0.0</v>
      </c>
      <c r="R123" s="19">
        <v>0.0</v>
      </c>
      <c r="S123" s="19">
        <v>0.0</v>
      </c>
      <c r="T123" s="19">
        <v>1.0</v>
      </c>
      <c r="U123" s="19">
        <v>1.0</v>
      </c>
      <c r="V123" s="19">
        <v>0.0</v>
      </c>
      <c r="W123" s="19">
        <v>1.0</v>
      </c>
      <c r="X123" s="19">
        <v>0.0</v>
      </c>
      <c r="Y123" s="18"/>
      <c r="Z123" s="18"/>
      <c r="AA123" s="20">
        <f t="shared" si="41"/>
        <v>9</v>
      </c>
      <c r="AB123" s="21">
        <f t="shared" si="42"/>
        <v>0.3913043478</v>
      </c>
      <c r="AC123" s="2"/>
    </row>
    <row r="124">
      <c r="A124" s="17" t="s">
        <v>42</v>
      </c>
      <c r="B124" s="19">
        <v>0.0</v>
      </c>
      <c r="C124" s="19">
        <v>0.0</v>
      </c>
      <c r="D124" s="19">
        <v>0.0</v>
      </c>
      <c r="E124" s="19">
        <v>0.0</v>
      </c>
      <c r="F124" s="19">
        <v>0.0</v>
      </c>
      <c r="G124" s="19">
        <v>1.0</v>
      </c>
      <c r="H124" s="19">
        <v>1.0</v>
      </c>
      <c r="I124" s="19">
        <v>1.0</v>
      </c>
      <c r="J124" s="19">
        <v>1.0</v>
      </c>
      <c r="K124" s="19">
        <v>0.0</v>
      </c>
      <c r="L124" s="19">
        <v>1.0</v>
      </c>
      <c r="M124" s="19">
        <v>0.0</v>
      </c>
      <c r="N124" s="19">
        <v>0.0</v>
      </c>
      <c r="O124" s="19">
        <v>1.0</v>
      </c>
      <c r="P124" s="19">
        <v>1.0</v>
      </c>
      <c r="Q124" s="19">
        <v>1.0</v>
      </c>
      <c r="R124" s="19">
        <v>1.0</v>
      </c>
      <c r="S124" s="19">
        <v>0.0</v>
      </c>
      <c r="T124" s="19">
        <v>0.0</v>
      </c>
      <c r="U124" s="19">
        <v>1.0</v>
      </c>
      <c r="V124" s="19">
        <v>1.0</v>
      </c>
      <c r="W124" s="19">
        <v>0.0</v>
      </c>
      <c r="X124" s="19">
        <v>0.0</v>
      </c>
      <c r="Y124" s="18"/>
      <c r="Z124" s="18"/>
      <c r="AA124" s="20">
        <f t="shared" si="41"/>
        <v>11</v>
      </c>
      <c r="AB124" s="21">
        <f t="shared" si="42"/>
        <v>0.4782608696</v>
      </c>
      <c r="AC124" s="2"/>
    </row>
    <row r="125">
      <c r="A125" s="17" t="s">
        <v>43</v>
      </c>
      <c r="B125" s="22">
        <f t="shared" ref="B125:Z125" si="43">SUM(B121:B124)</f>
        <v>2</v>
      </c>
      <c r="C125" s="22">
        <f t="shared" si="43"/>
        <v>2</v>
      </c>
      <c r="D125" s="22">
        <f t="shared" si="43"/>
        <v>2</v>
      </c>
      <c r="E125" s="22">
        <f t="shared" si="43"/>
        <v>2</v>
      </c>
      <c r="F125" s="22">
        <f t="shared" si="43"/>
        <v>1</v>
      </c>
      <c r="G125" s="22">
        <f t="shared" si="43"/>
        <v>4</v>
      </c>
      <c r="H125" s="22">
        <f t="shared" si="43"/>
        <v>4</v>
      </c>
      <c r="I125" s="22">
        <f t="shared" si="43"/>
        <v>3</v>
      </c>
      <c r="J125" s="22">
        <f t="shared" si="43"/>
        <v>4</v>
      </c>
      <c r="K125" s="22">
        <f t="shared" si="43"/>
        <v>2</v>
      </c>
      <c r="L125" s="22">
        <f t="shared" si="43"/>
        <v>2</v>
      </c>
      <c r="M125" s="22">
        <f t="shared" si="43"/>
        <v>0</v>
      </c>
      <c r="N125" s="22">
        <f t="shared" si="43"/>
        <v>0</v>
      </c>
      <c r="O125" s="22">
        <f t="shared" si="43"/>
        <v>4</v>
      </c>
      <c r="P125" s="22">
        <f t="shared" si="43"/>
        <v>4</v>
      </c>
      <c r="Q125" s="22">
        <f t="shared" si="43"/>
        <v>2</v>
      </c>
      <c r="R125" s="22">
        <f t="shared" si="43"/>
        <v>2</v>
      </c>
      <c r="S125" s="22">
        <f t="shared" si="43"/>
        <v>2</v>
      </c>
      <c r="T125" s="22">
        <f t="shared" si="43"/>
        <v>2</v>
      </c>
      <c r="U125" s="22">
        <f t="shared" si="43"/>
        <v>3</v>
      </c>
      <c r="V125" s="22">
        <f t="shared" si="43"/>
        <v>2</v>
      </c>
      <c r="W125" s="22">
        <f t="shared" si="43"/>
        <v>2</v>
      </c>
      <c r="X125" s="22">
        <f t="shared" si="43"/>
        <v>1</v>
      </c>
      <c r="Y125" s="22">
        <f t="shared" si="43"/>
        <v>0</v>
      </c>
      <c r="Z125" s="22">
        <f t="shared" si="43"/>
        <v>0</v>
      </c>
      <c r="AA125" s="20">
        <f t="shared" si="41"/>
        <v>52</v>
      </c>
      <c r="AB125" s="23"/>
      <c r="AC125" s="2"/>
    </row>
    <row r="126">
      <c r="A126" s="17" t="s">
        <v>38</v>
      </c>
      <c r="B126" s="24">
        <f t="shared" ref="B126:Z126" si="44">B125/(COUNT(B121:B124)*1)</f>
        <v>0.5</v>
      </c>
      <c r="C126" s="24">
        <f t="shared" si="44"/>
        <v>0.5</v>
      </c>
      <c r="D126" s="24">
        <f t="shared" si="44"/>
        <v>0.5</v>
      </c>
      <c r="E126" s="24">
        <f t="shared" si="44"/>
        <v>0.5</v>
      </c>
      <c r="F126" s="24">
        <f t="shared" si="44"/>
        <v>0.25</v>
      </c>
      <c r="G126" s="24">
        <f t="shared" si="44"/>
        <v>1</v>
      </c>
      <c r="H126" s="24">
        <f t="shared" si="44"/>
        <v>1</v>
      </c>
      <c r="I126" s="24">
        <f t="shared" si="44"/>
        <v>0.75</v>
      </c>
      <c r="J126" s="24">
        <f t="shared" si="44"/>
        <v>1</v>
      </c>
      <c r="K126" s="24">
        <f t="shared" si="44"/>
        <v>0.5</v>
      </c>
      <c r="L126" s="24">
        <f t="shared" si="44"/>
        <v>0.5</v>
      </c>
      <c r="M126" s="24">
        <f t="shared" si="44"/>
        <v>0</v>
      </c>
      <c r="N126" s="24">
        <f t="shared" si="44"/>
        <v>0</v>
      </c>
      <c r="O126" s="24">
        <f t="shared" si="44"/>
        <v>1</v>
      </c>
      <c r="P126" s="24">
        <f t="shared" si="44"/>
        <v>1</v>
      </c>
      <c r="Q126" s="24">
        <f t="shared" si="44"/>
        <v>0.5</v>
      </c>
      <c r="R126" s="24">
        <f t="shared" si="44"/>
        <v>0.5</v>
      </c>
      <c r="S126" s="24">
        <f t="shared" si="44"/>
        <v>0.5</v>
      </c>
      <c r="T126" s="24">
        <f t="shared" si="44"/>
        <v>0.5</v>
      </c>
      <c r="U126" s="24">
        <f t="shared" si="44"/>
        <v>0.75</v>
      </c>
      <c r="V126" s="24">
        <f t="shared" si="44"/>
        <v>0.5</v>
      </c>
      <c r="W126" s="24">
        <f t="shared" si="44"/>
        <v>0.5</v>
      </c>
      <c r="X126" s="24">
        <f t="shared" si="44"/>
        <v>0.25</v>
      </c>
      <c r="Y126" s="24" t="str">
        <f t="shared" si="44"/>
        <v>#DIV/0!</v>
      </c>
      <c r="Z126" s="24" t="str">
        <f t="shared" si="44"/>
        <v>#DIV/0!</v>
      </c>
      <c r="AA126" s="25"/>
      <c r="AB126" s="26">
        <f>SUM(AB121:AB124)/4</f>
        <v>0.5652173913</v>
      </c>
      <c r="AC126" s="2"/>
    </row>
    <row r="127">
      <c r="A127" s="27" t="s">
        <v>44</v>
      </c>
      <c r="B127" s="60"/>
      <c r="C127" s="61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8"/>
      <c r="Q127" s="68">
        <v>20.0</v>
      </c>
      <c r="R127" s="68">
        <v>20.0</v>
      </c>
      <c r="S127" s="68"/>
      <c r="T127" s="68">
        <v>15.0</v>
      </c>
      <c r="U127" s="68">
        <v>20.0</v>
      </c>
      <c r="V127" s="68">
        <v>20.0</v>
      </c>
      <c r="W127" s="60"/>
      <c r="X127" s="60"/>
      <c r="Y127" s="60"/>
      <c r="Z127" s="60"/>
      <c r="AA127" s="30">
        <f t="shared" ref="AA127:AA129" si="45">SUM(B127:Z127)</f>
        <v>95</v>
      </c>
      <c r="AB127" s="31"/>
      <c r="AC127" s="2"/>
    </row>
    <row r="128">
      <c r="A128" s="32" t="s">
        <v>45</v>
      </c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128"/>
      <c r="T128" s="128">
        <v>3.0</v>
      </c>
      <c r="U128" s="62"/>
      <c r="V128" s="60"/>
      <c r="W128" s="60"/>
      <c r="X128" s="60"/>
      <c r="Y128" s="60"/>
      <c r="Z128" s="60"/>
      <c r="AA128" s="30">
        <f t="shared" si="45"/>
        <v>3</v>
      </c>
      <c r="AB128" s="31"/>
      <c r="AC128" s="9"/>
    </row>
    <row r="129">
      <c r="A129" s="34" t="s">
        <v>46</v>
      </c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0"/>
      <c r="W129" s="60"/>
      <c r="X129" s="60"/>
      <c r="Y129" s="60"/>
      <c r="Z129" s="60"/>
      <c r="AA129" s="30">
        <f t="shared" si="45"/>
        <v>0</v>
      </c>
      <c r="AB129" s="31"/>
      <c r="AC129" s="9"/>
    </row>
    <row r="130">
      <c r="A130" s="35" t="s">
        <v>47</v>
      </c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7"/>
      <c r="AA130" s="38"/>
      <c r="AB130" s="39"/>
      <c r="AC130" s="2"/>
    </row>
    <row r="131">
      <c r="A131" s="40" t="s">
        <v>48</v>
      </c>
      <c r="B131" s="63"/>
      <c r="C131" s="64"/>
      <c r="D131" s="63"/>
      <c r="E131" s="63"/>
      <c r="F131" s="63"/>
      <c r="G131" s="63"/>
      <c r="H131" s="63"/>
      <c r="I131" s="63"/>
      <c r="J131" s="63"/>
      <c r="K131" s="65">
        <v>1.0</v>
      </c>
      <c r="L131" s="65">
        <v>1.0</v>
      </c>
      <c r="M131" s="65">
        <v>1.0</v>
      </c>
      <c r="N131" s="65">
        <v>1.0</v>
      </c>
      <c r="O131" s="63"/>
      <c r="P131" s="63"/>
      <c r="Q131" s="65">
        <v>1.0</v>
      </c>
      <c r="R131" s="65">
        <v>1.0</v>
      </c>
      <c r="S131" s="63"/>
      <c r="T131" s="65">
        <v>1.0</v>
      </c>
      <c r="U131" s="65">
        <v>1.0</v>
      </c>
      <c r="V131" s="69">
        <v>1.0</v>
      </c>
      <c r="W131" s="66"/>
      <c r="X131" s="66"/>
      <c r="Y131" s="66"/>
      <c r="Z131" s="66"/>
      <c r="AA131" s="44">
        <f t="shared" ref="AA131:AA132" si="46">SUM(B131:Z131)</f>
        <v>9</v>
      </c>
      <c r="AB131" s="31"/>
      <c r="AC131" s="2"/>
    </row>
    <row r="132">
      <c r="A132" s="40" t="s">
        <v>49</v>
      </c>
      <c r="B132" s="63"/>
      <c r="C132" s="64"/>
      <c r="D132" s="63"/>
      <c r="E132" s="63"/>
      <c r="F132" s="63"/>
      <c r="G132" s="63"/>
      <c r="H132" s="63"/>
      <c r="I132" s="63"/>
      <c r="J132" s="63"/>
      <c r="K132" s="65">
        <v>20.0</v>
      </c>
      <c r="L132" s="65">
        <v>20.0</v>
      </c>
      <c r="M132" s="65">
        <v>20.0</v>
      </c>
      <c r="N132" s="65">
        <v>20.0</v>
      </c>
      <c r="O132" s="63"/>
      <c r="P132" s="63"/>
      <c r="Q132" s="65">
        <v>20.0</v>
      </c>
      <c r="R132" s="65">
        <v>20.0</v>
      </c>
      <c r="S132" s="63"/>
      <c r="T132" s="65">
        <v>20.0</v>
      </c>
      <c r="U132" s="65">
        <v>20.0</v>
      </c>
      <c r="V132" s="69">
        <v>20.0</v>
      </c>
      <c r="W132" s="66"/>
      <c r="X132" s="66"/>
      <c r="Y132" s="66"/>
      <c r="Z132" s="66"/>
      <c r="AA132" s="44">
        <f t="shared" si="46"/>
        <v>180</v>
      </c>
      <c r="AB132" s="31"/>
      <c r="AC132" s="2"/>
    </row>
    <row r="133">
      <c r="A133" s="40" t="s">
        <v>50</v>
      </c>
      <c r="B133" s="64"/>
      <c r="C133" s="64"/>
      <c r="D133" s="63"/>
      <c r="E133" s="63"/>
      <c r="F133" s="63"/>
      <c r="G133" s="63"/>
      <c r="H133" s="63"/>
      <c r="I133" s="63"/>
      <c r="J133" s="63"/>
      <c r="K133" s="65">
        <v>2.0</v>
      </c>
      <c r="L133" s="65">
        <v>2.0</v>
      </c>
      <c r="M133" s="65">
        <v>2.0</v>
      </c>
      <c r="N133" s="65">
        <v>2.0</v>
      </c>
      <c r="O133" s="63"/>
      <c r="P133" s="63"/>
      <c r="Q133" s="65">
        <v>2.0</v>
      </c>
      <c r="R133" s="65">
        <v>2.0</v>
      </c>
      <c r="S133" s="63"/>
      <c r="T133" s="65">
        <v>2.0</v>
      </c>
      <c r="U133" s="65">
        <v>2.0</v>
      </c>
      <c r="V133" s="69">
        <v>2.0</v>
      </c>
      <c r="W133" s="66"/>
      <c r="X133" s="66"/>
      <c r="Y133" s="66"/>
      <c r="Z133" s="66"/>
      <c r="AA133" s="44">
        <f>AVERAGE(B133:Z133)</f>
        <v>2</v>
      </c>
      <c r="AB133" s="31"/>
      <c r="AC133" s="2"/>
    </row>
    <row r="134">
      <c r="A134" s="45" t="s">
        <v>51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7"/>
      <c r="AA134" s="46"/>
      <c r="AB134" s="39"/>
      <c r="AC134" s="2"/>
    </row>
    <row r="135">
      <c r="A135" s="47" t="s">
        <v>48</v>
      </c>
      <c r="B135" s="48"/>
      <c r="C135" s="49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50"/>
      <c r="W135" s="50"/>
      <c r="X135" s="50"/>
      <c r="Y135" s="50"/>
      <c r="Z135" s="50"/>
      <c r="AA135" s="51">
        <f t="shared" ref="AA135:AA136" si="47">SUM(B135:Z135)</f>
        <v>0</v>
      </c>
      <c r="AB135" s="31"/>
      <c r="AC135" s="2"/>
    </row>
    <row r="136">
      <c r="A136" s="47" t="s">
        <v>49</v>
      </c>
      <c r="B136" s="48"/>
      <c r="C136" s="49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50"/>
      <c r="W136" s="50"/>
      <c r="X136" s="50"/>
      <c r="Y136" s="50"/>
      <c r="Z136" s="50"/>
      <c r="AA136" s="51">
        <f t="shared" si="47"/>
        <v>0</v>
      </c>
      <c r="AB136" s="31"/>
      <c r="AC136" s="2"/>
    </row>
    <row r="137">
      <c r="A137" s="47" t="s">
        <v>50</v>
      </c>
      <c r="B137" s="49"/>
      <c r="C137" s="49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50"/>
      <c r="W137" s="50"/>
      <c r="X137" s="50"/>
      <c r="Y137" s="50"/>
      <c r="Z137" s="50"/>
      <c r="AA137" s="51" t="str">
        <f>AVERAGE(B137:Z137)</f>
        <v>#DIV/0!</v>
      </c>
      <c r="AB137" s="31"/>
      <c r="AC137" s="2"/>
    </row>
    <row r="138">
      <c r="A138" s="52" t="s">
        <v>53</v>
      </c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7"/>
      <c r="AA138" s="38"/>
      <c r="AB138" s="39"/>
      <c r="AC138" s="2"/>
    </row>
    <row r="139">
      <c r="A139" s="40" t="s">
        <v>48</v>
      </c>
      <c r="B139" s="41"/>
      <c r="C139" s="42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3"/>
      <c r="W139" s="43"/>
      <c r="X139" s="43"/>
      <c r="Y139" s="43"/>
      <c r="Z139" s="43"/>
      <c r="AA139" s="44">
        <f t="shared" ref="AA139:AA140" si="48">SUM(B139:Z139)</f>
        <v>0</v>
      </c>
      <c r="AB139" s="31"/>
      <c r="AC139" s="2"/>
    </row>
    <row r="140">
      <c r="A140" s="40" t="s">
        <v>49</v>
      </c>
      <c r="B140" s="41"/>
      <c r="C140" s="42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3"/>
      <c r="W140" s="43"/>
      <c r="X140" s="43"/>
      <c r="Y140" s="43"/>
      <c r="Z140" s="43"/>
      <c r="AA140" s="44">
        <f t="shared" si="48"/>
        <v>0</v>
      </c>
      <c r="AB140" s="31"/>
      <c r="AC140" s="2"/>
    </row>
    <row r="141">
      <c r="A141" s="53" t="s">
        <v>50</v>
      </c>
      <c r="B141" s="54"/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6"/>
      <c r="W141" s="56"/>
      <c r="X141" s="56"/>
      <c r="Y141" s="56"/>
      <c r="Z141" s="56"/>
      <c r="AA141" s="57" t="str">
        <f>AVERAGE(B141:Z141)</f>
        <v>#DIV/0!</v>
      </c>
      <c r="AB141" s="58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59"/>
      <c r="AB142" s="59"/>
      <c r="AC142" s="2"/>
    </row>
    <row r="143">
      <c r="A143" s="13">
        <v>46367.0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 t="s">
        <v>37</v>
      </c>
      <c r="AB143" s="16" t="s">
        <v>38</v>
      </c>
      <c r="AC143" s="2"/>
    </row>
    <row r="144">
      <c r="A144" s="17" t="s">
        <v>39</v>
      </c>
      <c r="B144" s="19">
        <v>1.0</v>
      </c>
      <c r="C144" s="19">
        <v>1.0</v>
      </c>
      <c r="D144" s="19">
        <v>1.0</v>
      </c>
      <c r="E144" s="19">
        <v>1.0</v>
      </c>
      <c r="F144" s="19">
        <v>1.0</v>
      </c>
      <c r="G144" s="19">
        <v>1.0</v>
      </c>
      <c r="H144" s="19">
        <v>1.0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1.0</v>
      </c>
      <c r="P144" s="19">
        <v>1.0</v>
      </c>
      <c r="Q144" s="19">
        <v>1.0</v>
      </c>
      <c r="R144" s="19">
        <v>1.0</v>
      </c>
      <c r="S144" s="19">
        <v>0.0</v>
      </c>
      <c r="T144" s="19">
        <v>0.0</v>
      </c>
      <c r="U144" s="19">
        <v>1.0</v>
      </c>
      <c r="V144" s="19">
        <v>1.0</v>
      </c>
      <c r="W144" s="19">
        <v>0.0</v>
      </c>
      <c r="X144" s="19">
        <v>0.0</v>
      </c>
      <c r="Y144" s="19"/>
      <c r="Z144" s="19"/>
      <c r="AA144" s="20">
        <f t="shared" ref="AA144:AA148" si="49">SUM(B144:Z144)</f>
        <v>13</v>
      </c>
      <c r="AB144" s="21">
        <f t="shared" ref="AB144:AB147" si="50">AA144/(COUNT(B144:Z144)*1)</f>
        <v>0.5652173913</v>
      </c>
      <c r="AC144" s="2"/>
    </row>
    <row r="145">
      <c r="A145" s="17" t="s">
        <v>40</v>
      </c>
      <c r="B145" s="19">
        <v>1.0</v>
      </c>
      <c r="C145" s="19">
        <v>1.0</v>
      </c>
      <c r="D145" s="19">
        <v>1.0</v>
      </c>
      <c r="E145" s="19">
        <v>1.0</v>
      </c>
      <c r="F145" s="19">
        <v>1.0</v>
      </c>
      <c r="G145" s="19">
        <v>0.0</v>
      </c>
      <c r="H145" s="19">
        <v>0.0</v>
      </c>
      <c r="I145" s="19">
        <v>1.0</v>
      </c>
      <c r="J145" s="19">
        <v>1.0</v>
      </c>
      <c r="K145" s="19">
        <v>1.0</v>
      </c>
      <c r="L145" s="19">
        <v>0.0</v>
      </c>
      <c r="M145" s="19">
        <v>1.0</v>
      </c>
      <c r="N145" s="19">
        <v>0.0</v>
      </c>
      <c r="O145" s="19">
        <v>1.0</v>
      </c>
      <c r="P145" s="19">
        <v>1.0</v>
      </c>
      <c r="Q145" s="19">
        <v>1.0</v>
      </c>
      <c r="R145" s="19">
        <v>1.0</v>
      </c>
      <c r="S145" s="19">
        <v>1.0</v>
      </c>
      <c r="T145" s="19">
        <v>0.0</v>
      </c>
      <c r="U145" s="19">
        <v>0.0</v>
      </c>
      <c r="V145" s="19">
        <v>1.0</v>
      </c>
      <c r="W145" s="19">
        <v>0.0</v>
      </c>
      <c r="X145" s="19">
        <v>1.0</v>
      </c>
      <c r="Y145" s="19"/>
      <c r="Z145" s="19"/>
      <c r="AA145" s="20">
        <f t="shared" si="49"/>
        <v>16</v>
      </c>
      <c r="AB145" s="21">
        <f t="shared" si="50"/>
        <v>0.6956521739</v>
      </c>
      <c r="AC145" s="2"/>
    </row>
    <row r="146">
      <c r="A146" s="17" t="s">
        <v>41</v>
      </c>
      <c r="B146" s="19">
        <v>1.0</v>
      </c>
      <c r="C146" s="19">
        <v>0.0</v>
      </c>
      <c r="D146" s="19">
        <v>0.0</v>
      </c>
      <c r="E146" s="19">
        <v>1.0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1.0</v>
      </c>
      <c r="P146" s="19">
        <v>1.0</v>
      </c>
      <c r="Q146" s="19">
        <v>1.0</v>
      </c>
      <c r="R146" s="19">
        <v>1.0</v>
      </c>
      <c r="S146" s="19">
        <v>1.0</v>
      </c>
      <c r="T146" s="19">
        <v>1.0</v>
      </c>
      <c r="U146" s="19">
        <v>0.0</v>
      </c>
      <c r="V146" s="19">
        <v>1.0</v>
      </c>
      <c r="W146" s="19">
        <v>0.0</v>
      </c>
      <c r="X146" s="19">
        <v>0.0</v>
      </c>
      <c r="Y146" s="19"/>
      <c r="Z146" s="19"/>
      <c r="AA146" s="20">
        <f t="shared" si="49"/>
        <v>9</v>
      </c>
      <c r="AB146" s="21">
        <f t="shared" si="50"/>
        <v>0.3913043478</v>
      </c>
      <c r="AC146" s="2"/>
    </row>
    <row r="147">
      <c r="A147" s="17" t="s">
        <v>42</v>
      </c>
      <c r="B147" s="19">
        <v>1.0</v>
      </c>
      <c r="C147" s="19">
        <v>1.0</v>
      </c>
      <c r="D147" s="19">
        <v>1.0</v>
      </c>
      <c r="E147" s="19">
        <v>1.0</v>
      </c>
      <c r="F147" s="19">
        <v>0.0</v>
      </c>
      <c r="G147" s="19">
        <v>0.0</v>
      </c>
      <c r="H147" s="19">
        <v>0.0</v>
      </c>
      <c r="I147" s="19">
        <v>1.0</v>
      </c>
      <c r="J147" s="19">
        <v>1.0</v>
      </c>
      <c r="K147" s="19">
        <v>1.0</v>
      </c>
      <c r="L147" s="19">
        <v>1.0</v>
      </c>
      <c r="M147" s="19">
        <v>1.0</v>
      </c>
      <c r="N147" s="19">
        <v>1.0</v>
      </c>
      <c r="O147" s="19">
        <v>1.0</v>
      </c>
      <c r="P147" s="19">
        <v>1.0</v>
      </c>
      <c r="Q147" s="19">
        <v>1.0</v>
      </c>
      <c r="R147" s="19">
        <v>1.0</v>
      </c>
      <c r="S147" s="19">
        <v>1.0</v>
      </c>
      <c r="T147" s="19">
        <v>1.0</v>
      </c>
      <c r="U147" s="19">
        <v>0.0</v>
      </c>
      <c r="V147" s="19">
        <v>0.0</v>
      </c>
      <c r="W147" s="19">
        <v>0.0</v>
      </c>
      <c r="X147" s="19">
        <v>0.0</v>
      </c>
      <c r="Y147" s="19"/>
      <c r="Z147" s="19"/>
      <c r="AA147" s="20">
        <f t="shared" si="49"/>
        <v>16</v>
      </c>
      <c r="AB147" s="21">
        <f t="shared" si="50"/>
        <v>0.6956521739</v>
      </c>
      <c r="AC147" s="2"/>
    </row>
    <row r="148">
      <c r="A148" s="17" t="s">
        <v>43</v>
      </c>
      <c r="B148" s="22">
        <f t="shared" ref="B148:Z148" si="51">SUM(B144:B147)</f>
        <v>4</v>
      </c>
      <c r="C148" s="22">
        <f t="shared" si="51"/>
        <v>3</v>
      </c>
      <c r="D148" s="22">
        <f t="shared" si="51"/>
        <v>3</v>
      </c>
      <c r="E148" s="22">
        <f t="shared" si="51"/>
        <v>4</v>
      </c>
      <c r="F148" s="22">
        <f t="shared" si="51"/>
        <v>2</v>
      </c>
      <c r="G148" s="22">
        <f t="shared" si="51"/>
        <v>1</v>
      </c>
      <c r="H148" s="22">
        <f t="shared" si="51"/>
        <v>1</v>
      </c>
      <c r="I148" s="22">
        <f t="shared" si="51"/>
        <v>2</v>
      </c>
      <c r="J148" s="22">
        <f t="shared" si="51"/>
        <v>2</v>
      </c>
      <c r="K148" s="22">
        <f t="shared" si="51"/>
        <v>2</v>
      </c>
      <c r="L148" s="22">
        <f t="shared" si="51"/>
        <v>1</v>
      </c>
      <c r="M148" s="22">
        <f t="shared" si="51"/>
        <v>2</v>
      </c>
      <c r="N148" s="22">
        <f t="shared" si="51"/>
        <v>1</v>
      </c>
      <c r="O148" s="22">
        <f t="shared" si="51"/>
        <v>4</v>
      </c>
      <c r="P148" s="22">
        <f t="shared" si="51"/>
        <v>4</v>
      </c>
      <c r="Q148" s="22">
        <f t="shared" si="51"/>
        <v>4</v>
      </c>
      <c r="R148" s="22">
        <f t="shared" si="51"/>
        <v>4</v>
      </c>
      <c r="S148" s="22">
        <f t="shared" si="51"/>
        <v>3</v>
      </c>
      <c r="T148" s="22">
        <f t="shared" si="51"/>
        <v>2</v>
      </c>
      <c r="U148" s="22">
        <f t="shared" si="51"/>
        <v>1</v>
      </c>
      <c r="V148" s="22">
        <f t="shared" si="51"/>
        <v>3</v>
      </c>
      <c r="W148" s="22">
        <f t="shared" si="51"/>
        <v>0</v>
      </c>
      <c r="X148" s="22">
        <f t="shared" si="51"/>
        <v>1</v>
      </c>
      <c r="Y148" s="22">
        <f t="shared" si="51"/>
        <v>0</v>
      </c>
      <c r="Z148" s="22">
        <f t="shared" si="51"/>
        <v>0</v>
      </c>
      <c r="AA148" s="20">
        <f t="shared" si="49"/>
        <v>54</v>
      </c>
      <c r="AB148" s="23"/>
      <c r="AC148" s="2"/>
    </row>
    <row r="149">
      <c r="A149" s="17" t="s">
        <v>38</v>
      </c>
      <c r="B149" s="24">
        <f t="shared" ref="B149:Z149" si="52">B148/(COUNT(B144:B147)*1)</f>
        <v>1</v>
      </c>
      <c r="C149" s="24">
        <f t="shared" si="52"/>
        <v>0.75</v>
      </c>
      <c r="D149" s="24">
        <f t="shared" si="52"/>
        <v>0.75</v>
      </c>
      <c r="E149" s="24">
        <f t="shared" si="52"/>
        <v>1</v>
      </c>
      <c r="F149" s="24">
        <f t="shared" si="52"/>
        <v>0.5</v>
      </c>
      <c r="G149" s="24">
        <f t="shared" si="52"/>
        <v>0.25</v>
      </c>
      <c r="H149" s="24">
        <f t="shared" si="52"/>
        <v>0.25</v>
      </c>
      <c r="I149" s="24">
        <f t="shared" si="52"/>
        <v>0.5</v>
      </c>
      <c r="J149" s="24">
        <f t="shared" si="52"/>
        <v>0.5</v>
      </c>
      <c r="K149" s="24">
        <f t="shared" si="52"/>
        <v>0.5</v>
      </c>
      <c r="L149" s="24">
        <f t="shared" si="52"/>
        <v>0.25</v>
      </c>
      <c r="M149" s="24">
        <f t="shared" si="52"/>
        <v>0.5</v>
      </c>
      <c r="N149" s="24">
        <f t="shared" si="52"/>
        <v>0.25</v>
      </c>
      <c r="O149" s="24">
        <f t="shared" si="52"/>
        <v>1</v>
      </c>
      <c r="P149" s="24">
        <f t="shared" si="52"/>
        <v>1</v>
      </c>
      <c r="Q149" s="24">
        <f t="shared" si="52"/>
        <v>1</v>
      </c>
      <c r="R149" s="24">
        <f t="shared" si="52"/>
        <v>1</v>
      </c>
      <c r="S149" s="24">
        <f t="shared" si="52"/>
        <v>0.75</v>
      </c>
      <c r="T149" s="24">
        <f t="shared" si="52"/>
        <v>0.5</v>
      </c>
      <c r="U149" s="24">
        <f t="shared" si="52"/>
        <v>0.25</v>
      </c>
      <c r="V149" s="24">
        <f t="shared" si="52"/>
        <v>0.75</v>
      </c>
      <c r="W149" s="24">
        <f t="shared" si="52"/>
        <v>0</v>
      </c>
      <c r="X149" s="24">
        <f t="shared" si="52"/>
        <v>0.25</v>
      </c>
      <c r="Y149" s="24" t="str">
        <f t="shared" si="52"/>
        <v>#DIV/0!</v>
      </c>
      <c r="Z149" s="24" t="str">
        <f t="shared" si="52"/>
        <v>#DIV/0!</v>
      </c>
      <c r="AA149" s="25"/>
      <c r="AB149" s="26">
        <f>SUM(AB144:AB147)/4</f>
        <v>0.5869565217</v>
      </c>
      <c r="AC149" s="2"/>
    </row>
    <row r="150">
      <c r="A150" s="27" t="s">
        <v>44</v>
      </c>
      <c r="B150" s="60"/>
      <c r="C150" s="61"/>
      <c r="D150" s="60"/>
      <c r="E150" s="60"/>
      <c r="F150" s="60"/>
      <c r="G150" s="60"/>
      <c r="H150" s="60"/>
      <c r="I150" s="68">
        <v>1.0</v>
      </c>
      <c r="J150" s="68">
        <v>1.0</v>
      </c>
      <c r="K150" s="68">
        <v>1.0</v>
      </c>
      <c r="L150" s="68">
        <v>1.0</v>
      </c>
      <c r="M150" s="68">
        <v>1.0</v>
      </c>
      <c r="N150" s="68">
        <v>1.0</v>
      </c>
      <c r="O150" s="60"/>
      <c r="P150" s="60"/>
      <c r="Q150" s="60"/>
      <c r="R150" s="60"/>
      <c r="S150" s="68">
        <v>1.0</v>
      </c>
      <c r="T150" s="68">
        <v>1.0</v>
      </c>
      <c r="U150" s="60"/>
      <c r="V150" s="60"/>
      <c r="W150" s="68">
        <v>1.0</v>
      </c>
      <c r="X150" s="60"/>
      <c r="Y150" s="60"/>
      <c r="Z150" s="60"/>
      <c r="AA150" s="30">
        <f t="shared" ref="AA150:AA152" si="53">SUM(B150:Z150)</f>
        <v>9</v>
      </c>
      <c r="AB150" s="31"/>
      <c r="AC150" s="2"/>
    </row>
    <row r="151">
      <c r="A151" s="32" t="s">
        <v>45</v>
      </c>
      <c r="B151" s="62"/>
      <c r="C151" s="62"/>
      <c r="D151" s="62"/>
      <c r="E151" s="62"/>
      <c r="F151" s="62"/>
      <c r="G151" s="62"/>
      <c r="H151" s="62"/>
      <c r="I151" s="128">
        <v>20.0</v>
      </c>
      <c r="J151" s="128">
        <v>20.0</v>
      </c>
      <c r="K151" s="128">
        <v>20.0</v>
      </c>
      <c r="L151" s="128">
        <v>20.0</v>
      </c>
      <c r="M151" s="128">
        <v>15.0</v>
      </c>
      <c r="N151" s="128">
        <v>15.0</v>
      </c>
      <c r="O151" s="62"/>
      <c r="P151" s="62"/>
      <c r="Q151" s="62"/>
      <c r="R151" s="62"/>
      <c r="S151" s="128">
        <v>20.0</v>
      </c>
      <c r="T151" s="128">
        <v>20.0</v>
      </c>
      <c r="U151" s="62"/>
      <c r="V151" s="60"/>
      <c r="W151" s="68">
        <v>20.0</v>
      </c>
      <c r="X151" s="60"/>
      <c r="Y151" s="60"/>
      <c r="Z151" s="60"/>
      <c r="AA151" s="30">
        <f t="shared" si="53"/>
        <v>170</v>
      </c>
      <c r="AB151" s="31"/>
      <c r="AC151" s="9"/>
    </row>
    <row r="152">
      <c r="A152" s="34" t="s">
        <v>46</v>
      </c>
      <c r="B152" s="62"/>
      <c r="C152" s="62"/>
      <c r="D152" s="62"/>
      <c r="E152" s="62"/>
      <c r="F152" s="62"/>
      <c r="G152" s="62"/>
      <c r="H152" s="62"/>
      <c r="I152" s="128">
        <v>2.0</v>
      </c>
      <c r="J152" s="128">
        <v>2.0</v>
      </c>
      <c r="K152" s="128">
        <v>2.0</v>
      </c>
      <c r="L152" s="128">
        <v>2.0</v>
      </c>
      <c r="M152" s="128">
        <v>2.0</v>
      </c>
      <c r="N152" s="128">
        <v>2.0</v>
      </c>
      <c r="O152" s="62"/>
      <c r="P152" s="62"/>
      <c r="Q152" s="62"/>
      <c r="R152" s="62"/>
      <c r="S152" s="128">
        <v>2.0</v>
      </c>
      <c r="T152" s="128">
        <v>2.0</v>
      </c>
      <c r="U152" s="62"/>
      <c r="V152" s="60"/>
      <c r="W152" s="68">
        <v>2.0</v>
      </c>
      <c r="X152" s="60"/>
      <c r="Y152" s="60"/>
      <c r="Z152" s="60"/>
      <c r="AA152" s="30">
        <f t="shared" si="53"/>
        <v>18</v>
      </c>
      <c r="AB152" s="31"/>
      <c r="AC152" s="9"/>
    </row>
    <row r="153">
      <c r="A153" s="35" t="s">
        <v>47</v>
      </c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7"/>
      <c r="AA153" s="38"/>
      <c r="AB153" s="39"/>
      <c r="AC153" s="2"/>
    </row>
    <row r="154">
      <c r="A154" s="40" t="s">
        <v>48</v>
      </c>
      <c r="B154" s="63"/>
      <c r="C154" s="64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6"/>
      <c r="W154" s="66"/>
      <c r="X154" s="66"/>
      <c r="Y154" s="66"/>
      <c r="Z154" s="66"/>
      <c r="AA154" s="44">
        <f t="shared" ref="AA154:AA155" si="54">SUM(B154:Z154)</f>
        <v>0</v>
      </c>
      <c r="AB154" s="31"/>
      <c r="AC154" s="2"/>
    </row>
    <row r="155">
      <c r="A155" s="40" t="s">
        <v>49</v>
      </c>
      <c r="B155" s="63"/>
      <c r="C155" s="64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6"/>
      <c r="W155" s="66"/>
      <c r="X155" s="66"/>
      <c r="Y155" s="66"/>
      <c r="Z155" s="66"/>
      <c r="AA155" s="44">
        <f t="shared" si="54"/>
        <v>0</v>
      </c>
      <c r="AB155" s="31"/>
      <c r="AC155" s="2"/>
    </row>
    <row r="156">
      <c r="A156" s="40" t="s">
        <v>50</v>
      </c>
      <c r="B156" s="64"/>
      <c r="C156" s="64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6"/>
      <c r="W156" s="66"/>
      <c r="X156" s="66"/>
      <c r="Y156" s="66"/>
      <c r="Z156" s="66"/>
      <c r="AA156" s="44" t="str">
        <f>AVERAGE(B156:Z156)</f>
        <v>#DIV/0!</v>
      </c>
      <c r="AB156" s="31"/>
      <c r="AC156" s="2"/>
    </row>
    <row r="157">
      <c r="A157" s="45" t="s">
        <v>51</v>
      </c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7"/>
      <c r="AA157" s="46"/>
      <c r="AB157" s="39"/>
      <c r="AC157" s="2"/>
    </row>
    <row r="158">
      <c r="A158" s="47" t="s">
        <v>48</v>
      </c>
      <c r="B158" s="48"/>
      <c r="C158" s="49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50"/>
      <c r="W158" s="50"/>
      <c r="X158" s="50"/>
      <c r="Y158" s="50"/>
      <c r="Z158" s="50"/>
      <c r="AA158" s="51">
        <f t="shared" ref="AA158:AA159" si="55">SUM(B158:Z158)</f>
        <v>0</v>
      </c>
      <c r="AB158" s="31"/>
      <c r="AC158" s="2"/>
    </row>
    <row r="159">
      <c r="A159" s="47" t="s">
        <v>49</v>
      </c>
      <c r="B159" s="48"/>
      <c r="C159" s="49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50"/>
      <c r="W159" s="50"/>
      <c r="X159" s="50"/>
      <c r="Y159" s="50"/>
      <c r="Z159" s="50"/>
      <c r="AA159" s="51">
        <f t="shared" si="55"/>
        <v>0</v>
      </c>
      <c r="AB159" s="31"/>
      <c r="AC159" s="2"/>
    </row>
    <row r="160">
      <c r="A160" s="47" t="s">
        <v>50</v>
      </c>
      <c r="B160" s="49"/>
      <c r="C160" s="49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50"/>
      <c r="W160" s="50"/>
      <c r="X160" s="50"/>
      <c r="Y160" s="50"/>
      <c r="Z160" s="50"/>
      <c r="AA160" s="51" t="str">
        <f>AVERAGE(B160:Z160)</f>
        <v>#DIV/0!</v>
      </c>
      <c r="AB160" s="31"/>
      <c r="AC160" s="2"/>
    </row>
    <row r="161">
      <c r="A161" s="52" t="s">
        <v>53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7"/>
      <c r="AA161" s="38"/>
      <c r="AB161" s="39"/>
      <c r="AC161" s="2"/>
    </row>
    <row r="162">
      <c r="A162" s="40" t="s">
        <v>48</v>
      </c>
      <c r="B162" s="41"/>
      <c r="C162" s="42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3"/>
      <c r="W162" s="43"/>
      <c r="X162" s="43"/>
      <c r="Y162" s="43"/>
      <c r="Z162" s="43"/>
      <c r="AA162" s="44">
        <f t="shared" ref="AA162:AA163" si="56">SUM(B162:Z162)</f>
        <v>0</v>
      </c>
      <c r="AB162" s="31"/>
      <c r="AC162" s="2"/>
    </row>
    <row r="163">
      <c r="A163" s="40" t="s">
        <v>49</v>
      </c>
      <c r="B163" s="41"/>
      <c r="C163" s="42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3"/>
      <c r="W163" s="43"/>
      <c r="X163" s="43"/>
      <c r="Y163" s="43"/>
      <c r="Z163" s="43"/>
      <c r="AA163" s="44">
        <f t="shared" si="56"/>
        <v>0</v>
      </c>
      <c r="AB163" s="31"/>
      <c r="AC163" s="2"/>
    </row>
    <row r="164">
      <c r="A164" s="53" t="s">
        <v>50</v>
      </c>
      <c r="B164" s="54"/>
      <c r="C164" s="54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6"/>
      <c r="W164" s="56"/>
      <c r="X164" s="56"/>
      <c r="Y164" s="56"/>
      <c r="Z164" s="56"/>
      <c r="AA164" s="57" t="str">
        <f>AVERAGE(B164:Z164)</f>
        <v>#DIV/0!</v>
      </c>
      <c r="AB164" s="58"/>
      <c r="AC164" s="2"/>
    </row>
    <row r="165">
      <c r="A165" s="9"/>
      <c r="B165" s="9"/>
      <c r="C165" s="9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13">
        <v>46065.0</v>
      </c>
      <c r="B166" s="14"/>
      <c r="C166" s="14"/>
      <c r="D166" s="70"/>
      <c r="E166" s="70"/>
      <c r="F166" s="14"/>
      <c r="G166" s="14"/>
      <c r="H166" s="14"/>
      <c r="I166" s="14"/>
      <c r="J166" s="14"/>
      <c r="K166" s="70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5" t="s">
        <v>37</v>
      </c>
      <c r="AB166" s="16" t="s">
        <v>38</v>
      </c>
      <c r="AC166" s="2"/>
    </row>
    <row r="167">
      <c r="A167" s="17" t="s">
        <v>39</v>
      </c>
      <c r="B167" s="19">
        <v>1.0</v>
      </c>
      <c r="C167" s="19">
        <v>1.0</v>
      </c>
      <c r="D167" s="19">
        <v>1.0</v>
      </c>
      <c r="E167" s="19">
        <v>0.0</v>
      </c>
      <c r="F167" s="19">
        <v>0.0</v>
      </c>
      <c r="G167" s="19">
        <v>1.0</v>
      </c>
      <c r="H167" s="19">
        <v>1.0</v>
      </c>
      <c r="I167" s="19">
        <v>1.0</v>
      </c>
      <c r="J167" s="19">
        <v>1.0</v>
      </c>
      <c r="K167" s="19">
        <v>1.0</v>
      </c>
      <c r="L167" s="19">
        <v>1.0</v>
      </c>
      <c r="M167" s="19">
        <v>0.0</v>
      </c>
      <c r="N167" s="19">
        <v>0.0</v>
      </c>
      <c r="O167" s="19">
        <v>1.0</v>
      </c>
      <c r="P167" s="19">
        <v>1.0</v>
      </c>
      <c r="Q167" s="19">
        <v>0.0</v>
      </c>
      <c r="R167" s="19">
        <v>1.0</v>
      </c>
      <c r="S167" s="19">
        <v>0.0</v>
      </c>
      <c r="T167" s="19">
        <v>0.0</v>
      </c>
      <c r="U167" s="19">
        <v>1.0</v>
      </c>
      <c r="V167" s="19">
        <v>1.0</v>
      </c>
      <c r="W167" s="19">
        <v>1.0</v>
      </c>
      <c r="X167" s="19">
        <v>1.0</v>
      </c>
      <c r="Y167" s="18"/>
      <c r="Z167" s="18"/>
      <c r="AA167" s="20">
        <f t="shared" ref="AA167:AA171" si="57">SUM(B167:Z167)</f>
        <v>16</v>
      </c>
      <c r="AB167" s="21">
        <f t="shared" ref="AB167:AB170" si="58">AA167/(COUNT(B167:Z167)*1)</f>
        <v>0.6956521739</v>
      </c>
      <c r="AC167" s="2"/>
    </row>
    <row r="168">
      <c r="A168" s="17" t="s">
        <v>40</v>
      </c>
      <c r="B168" s="19">
        <v>1.0</v>
      </c>
      <c r="C168" s="19">
        <v>1.0</v>
      </c>
      <c r="D168" s="19">
        <v>1.0</v>
      </c>
      <c r="E168" s="19">
        <v>1.0</v>
      </c>
      <c r="F168" s="19">
        <v>1.0</v>
      </c>
      <c r="G168" s="19">
        <v>1.0</v>
      </c>
      <c r="H168" s="19">
        <v>1.0</v>
      </c>
      <c r="I168" s="19">
        <v>1.0</v>
      </c>
      <c r="J168" s="19">
        <v>0.0</v>
      </c>
      <c r="K168" s="19">
        <v>0.0</v>
      </c>
      <c r="L168" s="19">
        <v>1.0</v>
      </c>
      <c r="M168" s="19">
        <v>1.0</v>
      </c>
      <c r="N168" s="19">
        <v>1.0</v>
      </c>
      <c r="O168" s="19">
        <v>0.0</v>
      </c>
      <c r="P168" s="19">
        <v>1.0</v>
      </c>
      <c r="Q168" s="19">
        <v>1.0</v>
      </c>
      <c r="R168" s="19">
        <v>1.0</v>
      </c>
      <c r="S168" s="19">
        <v>1.0</v>
      </c>
      <c r="T168" s="19">
        <v>1.0</v>
      </c>
      <c r="U168" s="19">
        <v>1.0</v>
      </c>
      <c r="V168" s="19">
        <v>1.0</v>
      </c>
      <c r="W168" s="19">
        <v>1.0</v>
      </c>
      <c r="X168" s="19">
        <v>1.0</v>
      </c>
      <c r="Y168" s="18"/>
      <c r="Z168" s="18"/>
      <c r="AA168" s="20">
        <f t="shared" si="57"/>
        <v>20</v>
      </c>
      <c r="AB168" s="21">
        <f t="shared" si="58"/>
        <v>0.8695652174</v>
      </c>
      <c r="AC168" s="2"/>
    </row>
    <row r="169">
      <c r="A169" s="17" t="s">
        <v>41</v>
      </c>
      <c r="B169" s="19">
        <v>1.0</v>
      </c>
      <c r="C169" s="19">
        <v>1.0</v>
      </c>
      <c r="D169" s="19">
        <v>1.0</v>
      </c>
      <c r="E169" s="19">
        <v>1.0</v>
      </c>
      <c r="F169" s="19">
        <v>1.0</v>
      </c>
      <c r="G169" s="19">
        <v>1.0</v>
      </c>
      <c r="H169" s="19">
        <v>1.0</v>
      </c>
      <c r="I169" s="19">
        <v>1.0</v>
      </c>
      <c r="J169" s="19">
        <v>0.0</v>
      </c>
      <c r="K169" s="19">
        <v>0.0</v>
      </c>
      <c r="L169" s="19">
        <v>1.0</v>
      </c>
      <c r="M169" s="19">
        <v>0.0</v>
      </c>
      <c r="N169" s="19">
        <v>0.0</v>
      </c>
      <c r="O169" s="19">
        <v>0.0</v>
      </c>
      <c r="P169" s="19">
        <v>1.0</v>
      </c>
      <c r="Q169" s="19">
        <v>1.0</v>
      </c>
      <c r="R169" s="19">
        <v>1.0</v>
      </c>
      <c r="S169" s="19">
        <v>0.0</v>
      </c>
      <c r="T169" s="19">
        <v>1.0</v>
      </c>
      <c r="U169" s="19">
        <v>1.0</v>
      </c>
      <c r="V169" s="19">
        <v>1.0</v>
      </c>
      <c r="W169" s="19">
        <v>1.0</v>
      </c>
      <c r="X169" s="19">
        <v>1.0</v>
      </c>
      <c r="Y169" s="18"/>
      <c r="Z169" s="18"/>
      <c r="AA169" s="20">
        <f t="shared" si="57"/>
        <v>17</v>
      </c>
      <c r="AB169" s="21">
        <f t="shared" si="58"/>
        <v>0.7391304348</v>
      </c>
      <c r="AC169" s="2"/>
    </row>
    <row r="170">
      <c r="A170" s="17" t="s">
        <v>42</v>
      </c>
      <c r="B170" s="19">
        <v>1.0</v>
      </c>
      <c r="C170" s="19">
        <v>1.0</v>
      </c>
      <c r="D170" s="19">
        <v>1.0</v>
      </c>
      <c r="E170" s="19">
        <v>1.0</v>
      </c>
      <c r="F170" s="19">
        <v>1.0</v>
      </c>
      <c r="G170" s="19">
        <v>1.0</v>
      </c>
      <c r="H170" s="19">
        <v>1.0</v>
      </c>
      <c r="I170" s="19">
        <v>1.0</v>
      </c>
      <c r="J170" s="19">
        <v>1.0</v>
      </c>
      <c r="K170" s="19">
        <v>0.0</v>
      </c>
      <c r="L170" s="19">
        <v>1.0</v>
      </c>
      <c r="M170" s="19">
        <v>1.0</v>
      </c>
      <c r="N170" s="19">
        <v>1.0</v>
      </c>
      <c r="O170" s="19">
        <v>1.0</v>
      </c>
      <c r="P170" s="19">
        <v>1.0</v>
      </c>
      <c r="Q170" s="19">
        <v>1.0</v>
      </c>
      <c r="R170" s="19">
        <v>1.0</v>
      </c>
      <c r="S170" s="19">
        <v>1.0</v>
      </c>
      <c r="T170" s="19">
        <v>1.0</v>
      </c>
      <c r="U170" s="19">
        <v>1.0</v>
      </c>
      <c r="V170" s="19">
        <v>1.0</v>
      </c>
      <c r="W170" s="19">
        <v>1.0</v>
      </c>
      <c r="X170" s="19">
        <v>1.0</v>
      </c>
      <c r="Y170" s="18"/>
      <c r="Z170" s="18"/>
      <c r="AA170" s="20">
        <f t="shared" si="57"/>
        <v>22</v>
      </c>
      <c r="AB170" s="21">
        <f t="shared" si="58"/>
        <v>0.9565217391</v>
      </c>
      <c r="AC170" s="2"/>
    </row>
    <row r="171">
      <c r="A171" s="17" t="s">
        <v>43</v>
      </c>
      <c r="B171" s="22">
        <f t="shared" ref="B171:Z171" si="59">SUM(B167:B170)</f>
        <v>4</v>
      </c>
      <c r="C171" s="22">
        <f t="shared" si="59"/>
        <v>4</v>
      </c>
      <c r="D171" s="22">
        <f t="shared" si="59"/>
        <v>4</v>
      </c>
      <c r="E171" s="22">
        <f t="shared" si="59"/>
        <v>3</v>
      </c>
      <c r="F171" s="22">
        <f t="shared" si="59"/>
        <v>3</v>
      </c>
      <c r="G171" s="22">
        <f t="shared" si="59"/>
        <v>4</v>
      </c>
      <c r="H171" s="22">
        <f t="shared" si="59"/>
        <v>4</v>
      </c>
      <c r="I171" s="22">
        <f t="shared" si="59"/>
        <v>4</v>
      </c>
      <c r="J171" s="22">
        <f t="shared" si="59"/>
        <v>2</v>
      </c>
      <c r="K171" s="22">
        <f t="shared" si="59"/>
        <v>1</v>
      </c>
      <c r="L171" s="22">
        <f t="shared" si="59"/>
        <v>4</v>
      </c>
      <c r="M171" s="22">
        <f t="shared" si="59"/>
        <v>2</v>
      </c>
      <c r="N171" s="22">
        <f t="shared" si="59"/>
        <v>2</v>
      </c>
      <c r="O171" s="22">
        <f t="shared" si="59"/>
        <v>2</v>
      </c>
      <c r="P171" s="22">
        <f t="shared" si="59"/>
        <v>4</v>
      </c>
      <c r="Q171" s="22">
        <f t="shared" si="59"/>
        <v>3</v>
      </c>
      <c r="R171" s="22">
        <f t="shared" si="59"/>
        <v>4</v>
      </c>
      <c r="S171" s="22">
        <f t="shared" si="59"/>
        <v>2</v>
      </c>
      <c r="T171" s="22">
        <f t="shared" si="59"/>
        <v>3</v>
      </c>
      <c r="U171" s="22">
        <f t="shared" si="59"/>
        <v>4</v>
      </c>
      <c r="V171" s="22">
        <f t="shared" si="59"/>
        <v>4</v>
      </c>
      <c r="W171" s="22">
        <f t="shared" si="59"/>
        <v>4</v>
      </c>
      <c r="X171" s="22">
        <f t="shared" si="59"/>
        <v>4</v>
      </c>
      <c r="Y171" s="22">
        <f t="shared" si="59"/>
        <v>0</v>
      </c>
      <c r="Z171" s="22">
        <f t="shared" si="59"/>
        <v>0</v>
      </c>
      <c r="AA171" s="20">
        <f t="shared" si="57"/>
        <v>75</v>
      </c>
      <c r="AB171" s="23"/>
      <c r="AC171" s="2"/>
    </row>
    <row r="172">
      <c r="A172" s="17" t="s">
        <v>38</v>
      </c>
      <c r="B172" s="24">
        <f t="shared" ref="B172:Z172" si="60">B171/(COUNT(B167:B170)*1)</f>
        <v>1</v>
      </c>
      <c r="C172" s="24">
        <f t="shared" si="60"/>
        <v>1</v>
      </c>
      <c r="D172" s="24">
        <f t="shared" si="60"/>
        <v>1</v>
      </c>
      <c r="E172" s="24">
        <f t="shared" si="60"/>
        <v>0.75</v>
      </c>
      <c r="F172" s="24">
        <f t="shared" si="60"/>
        <v>0.75</v>
      </c>
      <c r="G172" s="24">
        <f t="shared" si="60"/>
        <v>1</v>
      </c>
      <c r="H172" s="24">
        <f t="shared" si="60"/>
        <v>1</v>
      </c>
      <c r="I172" s="24">
        <f t="shared" si="60"/>
        <v>1</v>
      </c>
      <c r="J172" s="24">
        <f t="shared" si="60"/>
        <v>0.5</v>
      </c>
      <c r="K172" s="24">
        <f t="shared" si="60"/>
        <v>0.25</v>
      </c>
      <c r="L172" s="24">
        <f t="shared" si="60"/>
        <v>1</v>
      </c>
      <c r="M172" s="24">
        <f t="shared" si="60"/>
        <v>0.5</v>
      </c>
      <c r="N172" s="24">
        <f t="shared" si="60"/>
        <v>0.5</v>
      </c>
      <c r="O172" s="24">
        <f t="shared" si="60"/>
        <v>0.5</v>
      </c>
      <c r="P172" s="24">
        <f t="shared" si="60"/>
        <v>1</v>
      </c>
      <c r="Q172" s="24">
        <f t="shared" si="60"/>
        <v>0.75</v>
      </c>
      <c r="R172" s="24">
        <f t="shared" si="60"/>
        <v>1</v>
      </c>
      <c r="S172" s="24">
        <f t="shared" si="60"/>
        <v>0.5</v>
      </c>
      <c r="T172" s="24">
        <f t="shared" si="60"/>
        <v>0.75</v>
      </c>
      <c r="U172" s="24">
        <f t="shared" si="60"/>
        <v>1</v>
      </c>
      <c r="V172" s="24">
        <f t="shared" si="60"/>
        <v>1</v>
      </c>
      <c r="W172" s="24">
        <f t="shared" si="60"/>
        <v>1</v>
      </c>
      <c r="X172" s="24">
        <f t="shared" si="60"/>
        <v>1</v>
      </c>
      <c r="Y172" s="24" t="str">
        <f t="shared" si="60"/>
        <v>#DIV/0!</v>
      </c>
      <c r="Z172" s="24" t="str">
        <f t="shared" si="60"/>
        <v>#DIV/0!</v>
      </c>
      <c r="AA172" s="25"/>
      <c r="AB172" s="26">
        <f>SUM(AB167:AB170)/4</f>
        <v>0.8152173913</v>
      </c>
      <c r="AC172" s="2"/>
    </row>
    <row r="173">
      <c r="A173" s="27" t="s">
        <v>44</v>
      </c>
      <c r="B173" s="60"/>
      <c r="C173" s="61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30">
        <f t="shared" ref="AA173:AA175" si="61">SUM(B173:Z173)</f>
        <v>0</v>
      </c>
      <c r="AB173" s="31"/>
      <c r="AC173" s="2"/>
    </row>
    <row r="174">
      <c r="A174" s="32" t="s">
        <v>45</v>
      </c>
      <c r="B174" s="62"/>
      <c r="C174" s="62"/>
      <c r="D174" s="62"/>
      <c r="E174" s="62"/>
      <c r="F174" s="62"/>
      <c r="G174" s="62"/>
      <c r="H174" s="62"/>
      <c r="I174" s="62"/>
      <c r="J174" s="62"/>
      <c r="K174" s="128">
        <v>3.0</v>
      </c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0"/>
      <c r="W174" s="60"/>
      <c r="X174" s="60"/>
      <c r="Y174" s="60"/>
      <c r="Z174" s="60"/>
      <c r="AA174" s="30">
        <f t="shared" si="61"/>
        <v>3</v>
      </c>
      <c r="AB174" s="31"/>
      <c r="AC174" s="9"/>
    </row>
    <row r="175">
      <c r="A175" s="34" t="s">
        <v>46</v>
      </c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0"/>
      <c r="W175" s="60"/>
      <c r="X175" s="60"/>
      <c r="Y175" s="60"/>
      <c r="Z175" s="60"/>
      <c r="AA175" s="30">
        <f t="shared" si="61"/>
        <v>0</v>
      </c>
      <c r="AB175" s="31"/>
      <c r="AC175" s="9"/>
    </row>
    <row r="176">
      <c r="A176" s="35" t="s">
        <v>47</v>
      </c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7"/>
      <c r="AA176" s="38"/>
      <c r="AB176" s="39"/>
      <c r="AC176" s="2"/>
    </row>
    <row r="177">
      <c r="A177" s="40" t="s">
        <v>48</v>
      </c>
      <c r="B177" s="63"/>
      <c r="C177" s="64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5">
        <v>1.0</v>
      </c>
      <c r="T177" s="65">
        <v>1.0</v>
      </c>
      <c r="U177" s="63"/>
      <c r="V177" s="66"/>
      <c r="W177" s="66"/>
      <c r="X177" s="66"/>
      <c r="Y177" s="66"/>
      <c r="Z177" s="66"/>
      <c r="AA177" s="44">
        <f t="shared" ref="AA177:AA178" si="62">SUM(B177:Z177)</f>
        <v>2</v>
      </c>
      <c r="AB177" s="31"/>
      <c r="AC177" s="2"/>
    </row>
    <row r="178">
      <c r="A178" s="40" t="s">
        <v>49</v>
      </c>
      <c r="B178" s="63"/>
      <c r="C178" s="64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5">
        <v>20.0</v>
      </c>
      <c r="T178" s="65">
        <v>20.0</v>
      </c>
      <c r="U178" s="63"/>
      <c r="V178" s="66"/>
      <c r="W178" s="66"/>
      <c r="X178" s="66"/>
      <c r="Y178" s="66"/>
      <c r="Z178" s="66"/>
      <c r="AA178" s="44">
        <f t="shared" si="62"/>
        <v>40</v>
      </c>
      <c r="AB178" s="31"/>
      <c r="AC178" s="2"/>
    </row>
    <row r="179">
      <c r="A179" s="40" t="s">
        <v>50</v>
      </c>
      <c r="B179" s="64"/>
      <c r="C179" s="64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5">
        <v>2.0</v>
      </c>
      <c r="T179" s="65">
        <v>2.0</v>
      </c>
      <c r="U179" s="63"/>
      <c r="V179" s="66"/>
      <c r="W179" s="66"/>
      <c r="X179" s="66"/>
      <c r="Y179" s="66"/>
      <c r="Z179" s="66"/>
      <c r="AA179" s="44">
        <f>AVERAGE(B179:Z179)</f>
        <v>2</v>
      </c>
      <c r="AB179" s="31"/>
      <c r="AC179" s="2"/>
    </row>
    <row r="180">
      <c r="A180" s="45" t="s">
        <v>51</v>
      </c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7"/>
      <c r="AA180" s="46"/>
      <c r="AB180" s="39"/>
      <c r="AC180" s="2"/>
    </row>
    <row r="181">
      <c r="A181" s="47" t="s">
        <v>48</v>
      </c>
      <c r="B181" s="48"/>
      <c r="C181" s="49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50"/>
      <c r="W181" s="50"/>
      <c r="X181" s="50"/>
      <c r="Y181" s="50"/>
      <c r="Z181" s="50"/>
      <c r="AA181" s="51">
        <f t="shared" ref="AA181:AA182" si="63">SUM(B181:Z181)</f>
        <v>0</v>
      </c>
      <c r="AB181" s="31"/>
      <c r="AC181" s="2"/>
    </row>
    <row r="182">
      <c r="A182" s="47" t="s">
        <v>49</v>
      </c>
      <c r="B182" s="48"/>
      <c r="C182" s="49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50"/>
      <c r="W182" s="50"/>
      <c r="X182" s="50"/>
      <c r="Y182" s="50"/>
      <c r="Z182" s="50"/>
      <c r="AA182" s="51">
        <f t="shared" si="63"/>
        <v>0</v>
      </c>
      <c r="AB182" s="31"/>
      <c r="AC182" s="2"/>
    </row>
    <row r="183">
      <c r="A183" s="47" t="s">
        <v>50</v>
      </c>
      <c r="B183" s="49"/>
      <c r="C183" s="49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50"/>
      <c r="W183" s="50"/>
      <c r="X183" s="50"/>
      <c r="Y183" s="50"/>
      <c r="Z183" s="50"/>
      <c r="AA183" s="51" t="str">
        <f>AVERAGE(B183:Z183)</f>
        <v>#DIV/0!</v>
      </c>
      <c r="AB183" s="31"/>
      <c r="AC183" s="2"/>
    </row>
    <row r="184">
      <c r="A184" s="52" t="s">
        <v>53</v>
      </c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7"/>
      <c r="AA184" s="38"/>
      <c r="AB184" s="39"/>
      <c r="AC184" s="2"/>
    </row>
    <row r="185">
      <c r="A185" s="40" t="s">
        <v>48</v>
      </c>
      <c r="B185" s="41"/>
      <c r="C185" s="42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3"/>
      <c r="W185" s="43"/>
      <c r="X185" s="43"/>
      <c r="Y185" s="43"/>
      <c r="Z185" s="43"/>
      <c r="AA185" s="44">
        <f t="shared" ref="AA185:AA186" si="64">SUM(B185:Z185)</f>
        <v>0</v>
      </c>
      <c r="AB185" s="31"/>
      <c r="AC185" s="2"/>
    </row>
    <row r="186">
      <c r="A186" s="40" t="s">
        <v>49</v>
      </c>
      <c r="B186" s="41"/>
      <c r="C186" s="42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3"/>
      <c r="W186" s="43"/>
      <c r="X186" s="43"/>
      <c r="Y186" s="43"/>
      <c r="Z186" s="43"/>
      <c r="AA186" s="44">
        <f t="shared" si="64"/>
        <v>0</v>
      </c>
      <c r="AB186" s="31"/>
      <c r="AC186" s="2"/>
    </row>
    <row r="187">
      <c r="A187" s="53" t="s">
        <v>50</v>
      </c>
      <c r="B187" s="54"/>
      <c r="C187" s="54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6"/>
      <c r="W187" s="56"/>
      <c r="X187" s="56"/>
      <c r="Y187" s="56"/>
      <c r="Z187" s="56"/>
      <c r="AA187" s="57" t="str">
        <f>AVERAGE(B187:Z187)</f>
        <v>#DIV/0!</v>
      </c>
      <c r="AB187" s="58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59"/>
      <c r="AB188" s="59"/>
      <c r="AC188" s="2"/>
    </row>
    <row r="189">
      <c r="A189" s="13">
        <v>46066.0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5" t="s">
        <v>37</v>
      </c>
      <c r="AB189" s="16" t="s">
        <v>38</v>
      </c>
      <c r="AC189" s="2"/>
    </row>
    <row r="190">
      <c r="A190" s="17" t="s">
        <v>39</v>
      </c>
      <c r="B190" s="19">
        <v>1.0</v>
      </c>
      <c r="C190" s="19">
        <v>1.0</v>
      </c>
      <c r="D190" s="19">
        <v>1.0</v>
      </c>
      <c r="E190" s="19">
        <v>1.0</v>
      </c>
      <c r="F190" s="19">
        <v>1.0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20">
        <f t="shared" ref="AA190:AA194" si="65">SUM(B190:Z190)</f>
        <v>5</v>
      </c>
      <c r="AB190" s="21">
        <f t="shared" ref="AB190:AB193" si="66">AA190/(COUNT(B190:Z190)*1)</f>
        <v>0.4166666667</v>
      </c>
      <c r="AC190" s="2"/>
    </row>
    <row r="191">
      <c r="A191" s="17" t="s">
        <v>40</v>
      </c>
      <c r="B191" s="19">
        <v>1.0</v>
      </c>
      <c r="C191" s="19">
        <v>1.0</v>
      </c>
      <c r="D191" s="19">
        <v>1.0</v>
      </c>
      <c r="E191" s="19">
        <v>0.0</v>
      </c>
      <c r="F191" s="19">
        <v>1.0</v>
      </c>
      <c r="G191" s="19">
        <v>0.0</v>
      </c>
      <c r="H191" s="19">
        <v>0.0</v>
      </c>
      <c r="I191" s="19">
        <v>1.0</v>
      </c>
      <c r="J191" s="19">
        <v>0.0</v>
      </c>
      <c r="K191" s="19">
        <v>0.0</v>
      </c>
      <c r="L191" s="19">
        <v>0.0</v>
      </c>
      <c r="M191" s="19">
        <v>0.0</v>
      </c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20">
        <f t="shared" si="65"/>
        <v>5</v>
      </c>
      <c r="AB191" s="21">
        <f t="shared" si="66"/>
        <v>0.4166666667</v>
      </c>
      <c r="AC191" s="2"/>
    </row>
    <row r="192">
      <c r="A192" s="17" t="s">
        <v>41</v>
      </c>
      <c r="B192" s="19">
        <v>0.0</v>
      </c>
      <c r="C192" s="19">
        <v>0.0</v>
      </c>
      <c r="D192" s="19">
        <v>0.0</v>
      </c>
      <c r="E192" s="19">
        <v>0.0</v>
      </c>
      <c r="F192" s="19">
        <v>1.0</v>
      </c>
      <c r="G192" s="19">
        <v>0.0</v>
      </c>
      <c r="H192" s="19">
        <v>0.0</v>
      </c>
      <c r="I192" s="19">
        <v>0.0</v>
      </c>
      <c r="J192" s="19">
        <v>1.0</v>
      </c>
      <c r="K192" s="19">
        <v>0.0</v>
      </c>
      <c r="L192" s="19">
        <v>1.0</v>
      </c>
      <c r="M192" s="19">
        <v>1.0</v>
      </c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20">
        <f t="shared" si="65"/>
        <v>4</v>
      </c>
      <c r="AB192" s="21">
        <f t="shared" si="66"/>
        <v>0.3333333333</v>
      </c>
      <c r="AC192" s="2"/>
    </row>
    <row r="193">
      <c r="A193" s="17" t="s">
        <v>42</v>
      </c>
      <c r="B193" s="19">
        <v>0.0</v>
      </c>
      <c r="C193" s="19">
        <v>0.0</v>
      </c>
      <c r="D193" s="19">
        <v>0.0</v>
      </c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1.0</v>
      </c>
      <c r="M193" s="19">
        <v>1.0</v>
      </c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20">
        <f t="shared" si="65"/>
        <v>2</v>
      </c>
      <c r="AB193" s="21">
        <f t="shared" si="66"/>
        <v>0.1666666667</v>
      </c>
      <c r="AC193" s="2"/>
    </row>
    <row r="194">
      <c r="A194" s="17" t="s">
        <v>43</v>
      </c>
      <c r="B194" s="22">
        <f t="shared" ref="B194:Z194" si="67">SUM(B190:B193)</f>
        <v>2</v>
      </c>
      <c r="C194" s="22">
        <f t="shared" si="67"/>
        <v>2</v>
      </c>
      <c r="D194" s="22">
        <f t="shared" si="67"/>
        <v>2</v>
      </c>
      <c r="E194" s="22">
        <f t="shared" si="67"/>
        <v>1</v>
      </c>
      <c r="F194" s="22">
        <f t="shared" si="67"/>
        <v>3</v>
      </c>
      <c r="G194" s="22">
        <f t="shared" si="67"/>
        <v>0</v>
      </c>
      <c r="H194" s="22">
        <f t="shared" si="67"/>
        <v>0</v>
      </c>
      <c r="I194" s="22">
        <f t="shared" si="67"/>
        <v>1</v>
      </c>
      <c r="J194" s="22">
        <f t="shared" si="67"/>
        <v>1</v>
      </c>
      <c r="K194" s="22">
        <f t="shared" si="67"/>
        <v>0</v>
      </c>
      <c r="L194" s="22">
        <f t="shared" si="67"/>
        <v>2</v>
      </c>
      <c r="M194" s="22">
        <f t="shared" si="67"/>
        <v>2</v>
      </c>
      <c r="N194" s="22">
        <f t="shared" si="67"/>
        <v>0</v>
      </c>
      <c r="O194" s="22">
        <f t="shared" si="67"/>
        <v>0</v>
      </c>
      <c r="P194" s="22">
        <f t="shared" si="67"/>
        <v>0</v>
      </c>
      <c r="Q194" s="22">
        <f t="shared" si="67"/>
        <v>0</v>
      </c>
      <c r="R194" s="22">
        <f t="shared" si="67"/>
        <v>0</v>
      </c>
      <c r="S194" s="22">
        <f t="shared" si="67"/>
        <v>0</v>
      </c>
      <c r="T194" s="22">
        <f t="shared" si="67"/>
        <v>0</v>
      </c>
      <c r="U194" s="22">
        <f t="shared" si="67"/>
        <v>0</v>
      </c>
      <c r="V194" s="22">
        <f t="shared" si="67"/>
        <v>0</v>
      </c>
      <c r="W194" s="22">
        <f t="shared" si="67"/>
        <v>0</v>
      </c>
      <c r="X194" s="22">
        <f t="shared" si="67"/>
        <v>0</v>
      </c>
      <c r="Y194" s="22">
        <f t="shared" si="67"/>
        <v>0</v>
      </c>
      <c r="Z194" s="22">
        <f t="shared" si="67"/>
        <v>0</v>
      </c>
      <c r="AA194" s="20">
        <f t="shared" si="65"/>
        <v>16</v>
      </c>
      <c r="AB194" s="23"/>
      <c r="AC194" s="2"/>
    </row>
    <row r="195">
      <c r="A195" s="17" t="s">
        <v>38</v>
      </c>
      <c r="B195" s="24">
        <f t="shared" ref="B195:Z195" si="68">B194/(COUNT(B190:B193)*1)</f>
        <v>0.5</v>
      </c>
      <c r="C195" s="24">
        <f t="shared" si="68"/>
        <v>0.5</v>
      </c>
      <c r="D195" s="24">
        <f t="shared" si="68"/>
        <v>0.5</v>
      </c>
      <c r="E195" s="24">
        <f t="shared" si="68"/>
        <v>0.25</v>
      </c>
      <c r="F195" s="24">
        <f t="shared" si="68"/>
        <v>0.75</v>
      </c>
      <c r="G195" s="24">
        <f t="shared" si="68"/>
        <v>0</v>
      </c>
      <c r="H195" s="24">
        <f t="shared" si="68"/>
        <v>0</v>
      </c>
      <c r="I195" s="24">
        <f t="shared" si="68"/>
        <v>0.25</v>
      </c>
      <c r="J195" s="24">
        <f t="shared" si="68"/>
        <v>0.25</v>
      </c>
      <c r="K195" s="24">
        <f t="shared" si="68"/>
        <v>0</v>
      </c>
      <c r="L195" s="24">
        <f t="shared" si="68"/>
        <v>0.5</v>
      </c>
      <c r="M195" s="24">
        <f t="shared" si="68"/>
        <v>0.5</v>
      </c>
      <c r="N195" s="24" t="str">
        <f t="shared" si="68"/>
        <v>#DIV/0!</v>
      </c>
      <c r="O195" s="24" t="str">
        <f t="shared" si="68"/>
        <v>#DIV/0!</v>
      </c>
      <c r="P195" s="24" t="str">
        <f t="shared" si="68"/>
        <v>#DIV/0!</v>
      </c>
      <c r="Q195" s="24" t="str">
        <f t="shared" si="68"/>
        <v>#DIV/0!</v>
      </c>
      <c r="R195" s="24" t="str">
        <f t="shared" si="68"/>
        <v>#DIV/0!</v>
      </c>
      <c r="S195" s="24" t="str">
        <f t="shared" si="68"/>
        <v>#DIV/0!</v>
      </c>
      <c r="T195" s="24" t="str">
        <f t="shared" si="68"/>
        <v>#DIV/0!</v>
      </c>
      <c r="U195" s="24" t="str">
        <f t="shared" si="68"/>
        <v>#DIV/0!</v>
      </c>
      <c r="V195" s="24" t="str">
        <f t="shared" si="68"/>
        <v>#DIV/0!</v>
      </c>
      <c r="W195" s="24" t="str">
        <f t="shared" si="68"/>
        <v>#DIV/0!</v>
      </c>
      <c r="X195" s="24" t="str">
        <f t="shared" si="68"/>
        <v>#DIV/0!</v>
      </c>
      <c r="Y195" s="24" t="str">
        <f t="shared" si="68"/>
        <v>#DIV/0!</v>
      </c>
      <c r="Z195" s="24" t="str">
        <f t="shared" si="68"/>
        <v>#DIV/0!</v>
      </c>
      <c r="AA195" s="25"/>
      <c r="AB195" s="26">
        <f>SUM(AB190:AB193)/4</f>
        <v>0.3333333333</v>
      </c>
      <c r="AC195" s="2"/>
    </row>
    <row r="196">
      <c r="A196" s="27" t="s">
        <v>44</v>
      </c>
      <c r="B196" s="60"/>
      <c r="C196" s="61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30">
        <f t="shared" ref="AA196:AA198" si="69">SUM(B196:Z196)</f>
        <v>0</v>
      </c>
      <c r="AB196" s="31"/>
      <c r="AC196" s="2"/>
    </row>
    <row r="197">
      <c r="A197" s="32" t="s">
        <v>45</v>
      </c>
      <c r="B197" s="62"/>
      <c r="C197" s="62"/>
      <c r="D197" s="62"/>
      <c r="E197" s="128">
        <v>2.0</v>
      </c>
      <c r="F197" s="62"/>
      <c r="G197" s="128">
        <v>3.0</v>
      </c>
      <c r="H197" s="128">
        <v>3.0</v>
      </c>
      <c r="I197" s="62"/>
      <c r="J197" s="128">
        <v>4.0</v>
      </c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0"/>
      <c r="W197" s="60"/>
      <c r="X197" s="60"/>
      <c r="Y197" s="60"/>
      <c r="Z197" s="60"/>
      <c r="AA197" s="30">
        <f t="shared" si="69"/>
        <v>12</v>
      </c>
      <c r="AB197" s="31"/>
      <c r="AC197" s="9"/>
    </row>
    <row r="198">
      <c r="A198" s="34" t="s">
        <v>46</v>
      </c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0"/>
      <c r="W198" s="60"/>
      <c r="X198" s="60"/>
      <c r="Y198" s="60"/>
      <c r="Z198" s="60"/>
      <c r="AA198" s="30">
        <f t="shared" si="69"/>
        <v>0</v>
      </c>
      <c r="AB198" s="31"/>
      <c r="AC198" s="9"/>
    </row>
    <row r="199">
      <c r="A199" s="35" t="s">
        <v>47</v>
      </c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7"/>
      <c r="AA199" s="38"/>
      <c r="AB199" s="39"/>
      <c r="AC199" s="2"/>
    </row>
    <row r="200">
      <c r="A200" s="40" t="s">
        <v>48</v>
      </c>
      <c r="B200" s="63"/>
      <c r="C200" s="64"/>
      <c r="D200" s="63"/>
      <c r="E200" s="63"/>
      <c r="F200" s="63"/>
      <c r="G200" s="65">
        <v>1.0</v>
      </c>
      <c r="H200" s="65">
        <v>1.0</v>
      </c>
      <c r="I200" s="65">
        <v>1.0</v>
      </c>
      <c r="J200" s="65">
        <v>1.0</v>
      </c>
      <c r="K200" s="65">
        <v>1.0</v>
      </c>
      <c r="L200" s="65">
        <v>1.0</v>
      </c>
      <c r="M200" s="65">
        <v>1.0</v>
      </c>
      <c r="N200" s="63"/>
      <c r="O200" s="63"/>
      <c r="P200" s="63"/>
      <c r="Q200" s="63"/>
      <c r="R200" s="63"/>
      <c r="S200" s="63"/>
      <c r="T200" s="63"/>
      <c r="U200" s="63"/>
      <c r="V200" s="66"/>
      <c r="W200" s="66"/>
      <c r="X200" s="66"/>
      <c r="Y200" s="66"/>
      <c r="Z200" s="66"/>
      <c r="AA200" s="44">
        <f t="shared" ref="AA200:AA201" si="70">SUM(B200:Z200)</f>
        <v>7</v>
      </c>
      <c r="AB200" s="31"/>
      <c r="AC200" s="2"/>
    </row>
    <row r="201">
      <c r="A201" s="40" t="s">
        <v>49</v>
      </c>
      <c r="B201" s="63"/>
      <c r="C201" s="64"/>
      <c r="D201" s="63"/>
      <c r="E201" s="63"/>
      <c r="F201" s="63"/>
      <c r="G201" s="65">
        <v>20.0</v>
      </c>
      <c r="H201" s="65">
        <v>20.0</v>
      </c>
      <c r="I201" s="65">
        <v>20.0</v>
      </c>
      <c r="J201" s="65">
        <v>20.0</v>
      </c>
      <c r="K201" s="65">
        <v>20.0</v>
      </c>
      <c r="L201" s="65">
        <v>20.0</v>
      </c>
      <c r="M201" s="65">
        <v>15.0</v>
      </c>
      <c r="N201" s="63"/>
      <c r="O201" s="63"/>
      <c r="P201" s="63"/>
      <c r="Q201" s="63"/>
      <c r="R201" s="63"/>
      <c r="S201" s="63"/>
      <c r="T201" s="63"/>
      <c r="U201" s="63"/>
      <c r="V201" s="66"/>
      <c r="W201" s="66"/>
      <c r="X201" s="66"/>
      <c r="Y201" s="66"/>
      <c r="Z201" s="66"/>
      <c r="AA201" s="44">
        <f t="shared" si="70"/>
        <v>135</v>
      </c>
      <c r="AB201" s="31"/>
      <c r="AC201" s="2"/>
    </row>
    <row r="202">
      <c r="A202" s="40" t="s">
        <v>50</v>
      </c>
      <c r="B202" s="64"/>
      <c r="C202" s="64"/>
      <c r="D202" s="63"/>
      <c r="E202" s="63"/>
      <c r="F202" s="63"/>
      <c r="G202" s="65">
        <v>2.0</v>
      </c>
      <c r="H202" s="65">
        <v>2.0</v>
      </c>
      <c r="I202" s="65">
        <v>2.0</v>
      </c>
      <c r="J202" s="65">
        <v>2.0</v>
      </c>
      <c r="K202" s="65">
        <v>2.0</v>
      </c>
      <c r="L202" s="65">
        <v>2.0</v>
      </c>
      <c r="M202" s="65">
        <v>2.0</v>
      </c>
      <c r="N202" s="63"/>
      <c r="O202" s="63"/>
      <c r="P202" s="63"/>
      <c r="Q202" s="63"/>
      <c r="R202" s="63"/>
      <c r="S202" s="63"/>
      <c r="T202" s="63"/>
      <c r="U202" s="63"/>
      <c r="V202" s="66"/>
      <c r="W202" s="66"/>
      <c r="X202" s="66"/>
      <c r="Y202" s="66"/>
      <c r="Z202" s="66"/>
      <c r="AA202" s="44">
        <f>AVERAGE(B202:Z202)</f>
        <v>2</v>
      </c>
      <c r="AB202" s="31"/>
      <c r="AC202" s="2"/>
    </row>
    <row r="203">
      <c r="A203" s="45" t="s">
        <v>51</v>
      </c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7"/>
      <c r="AA203" s="46"/>
      <c r="AB203" s="39"/>
      <c r="AC203" s="2"/>
    </row>
    <row r="204">
      <c r="A204" s="47" t="s">
        <v>48</v>
      </c>
      <c r="B204" s="48"/>
      <c r="C204" s="49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50"/>
      <c r="W204" s="50"/>
      <c r="X204" s="50"/>
      <c r="Y204" s="50"/>
      <c r="Z204" s="50"/>
      <c r="AA204" s="51">
        <f t="shared" ref="AA204:AA205" si="71">SUM(B204:Z204)</f>
        <v>0</v>
      </c>
      <c r="AB204" s="31"/>
      <c r="AC204" s="2"/>
    </row>
    <row r="205">
      <c r="A205" s="47" t="s">
        <v>49</v>
      </c>
      <c r="B205" s="48"/>
      <c r="C205" s="49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50"/>
      <c r="W205" s="50"/>
      <c r="X205" s="50"/>
      <c r="Y205" s="50"/>
      <c r="Z205" s="50"/>
      <c r="AA205" s="51">
        <f t="shared" si="71"/>
        <v>0</v>
      </c>
      <c r="AB205" s="31"/>
      <c r="AC205" s="2"/>
    </row>
    <row r="206">
      <c r="A206" s="47" t="s">
        <v>50</v>
      </c>
      <c r="B206" s="49"/>
      <c r="C206" s="49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50"/>
      <c r="W206" s="50"/>
      <c r="X206" s="50"/>
      <c r="Y206" s="50"/>
      <c r="Z206" s="50"/>
      <c r="AA206" s="51" t="str">
        <f>AVERAGE(B206:Z206)</f>
        <v>#DIV/0!</v>
      </c>
      <c r="AB206" s="31"/>
      <c r="AC206" s="2"/>
    </row>
    <row r="207">
      <c r="A207" s="52" t="s">
        <v>53</v>
      </c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7"/>
      <c r="AA207" s="38"/>
      <c r="AB207" s="39"/>
      <c r="AC207" s="2"/>
    </row>
    <row r="208">
      <c r="A208" s="40" t="s">
        <v>48</v>
      </c>
      <c r="B208" s="41"/>
      <c r="C208" s="42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3"/>
      <c r="W208" s="43"/>
      <c r="X208" s="43"/>
      <c r="Y208" s="43"/>
      <c r="Z208" s="43"/>
      <c r="AA208" s="44">
        <f t="shared" ref="AA208:AA209" si="72">SUM(B208:Z208)</f>
        <v>0</v>
      </c>
      <c r="AB208" s="31"/>
      <c r="AC208" s="2"/>
    </row>
    <row r="209">
      <c r="A209" s="40" t="s">
        <v>49</v>
      </c>
      <c r="B209" s="41"/>
      <c r="C209" s="42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3"/>
      <c r="W209" s="43"/>
      <c r="X209" s="43"/>
      <c r="Y209" s="43"/>
      <c r="Z209" s="43"/>
      <c r="AA209" s="44">
        <f t="shared" si="72"/>
        <v>0</v>
      </c>
      <c r="AB209" s="31"/>
      <c r="AC209" s="2"/>
    </row>
    <row r="210">
      <c r="A210" s="53" t="s">
        <v>50</v>
      </c>
      <c r="B210" s="54"/>
      <c r="C210" s="54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6"/>
      <c r="W210" s="56"/>
      <c r="X210" s="56"/>
      <c r="Y210" s="56"/>
      <c r="Z210" s="56"/>
      <c r="AA210" s="57" t="str">
        <f>AVERAGE(B210:Z210)</f>
        <v>#DIV/0!</v>
      </c>
      <c r="AB210" s="58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59"/>
      <c r="AB211" s="59"/>
      <c r="AC211" s="2"/>
    </row>
    <row r="212">
      <c r="A212" s="13">
        <v>46070.0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5" t="s">
        <v>37</v>
      </c>
      <c r="AB212" s="16" t="s">
        <v>38</v>
      </c>
      <c r="AC212" s="2"/>
    </row>
    <row r="213">
      <c r="A213" s="17" t="s">
        <v>39</v>
      </c>
      <c r="B213" s="19">
        <v>1.0</v>
      </c>
      <c r="C213" s="19">
        <v>1.0</v>
      </c>
      <c r="D213" s="19">
        <v>1.0</v>
      </c>
      <c r="E213" s="19">
        <v>0.0</v>
      </c>
      <c r="F213" s="19">
        <v>0.0</v>
      </c>
      <c r="G213" s="19">
        <v>1.0</v>
      </c>
      <c r="H213" s="19">
        <v>1.0</v>
      </c>
      <c r="I213" s="19">
        <v>1.0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1.0</v>
      </c>
      <c r="P213" s="19">
        <v>1.0</v>
      </c>
      <c r="Q213" s="19">
        <v>1.0</v>
      </c>
      <c r="R213" s="19">
        <v>0.0</v>
      </c>
      <c r="S213" s="19">
        <v>1.0</v>
      </c>
      <c r="T213" s="19">
        <v>0.0</v>
      </c>
      <c r="U213" s="19">
        <v>1.0</v>
      </c>
      <c r="V213" s="19">
        <v>0.0</v>
      </c>
      <c r="W213" s="19">
        <v>0.0</v>
      </c>
      <c r="X213" s="19">
        <v>0.0</v>
      </c>
      <c r="Y213" s="19"/>
      <c r="Z213" s="19"/>
      <c r="AA213" s="20">
        <f t="shared" ref="AA213:AA217" si="73">SUM(B213:Z213)</f>
        <v>11</v>
      </c>
      <c r="AB213" s="21">
        <f t="shared" ref="AB213:AB216" si="74">AA213/(COUNT(B213:Z213)*1)</f>
        <v>0.4782608696</v>
      </c>
      <c r="AC213" s="2"/>
    </row>
    <row r="214">
      <c r="A214" s="17" t="s">
        <v>40</v>
      </c>
      <c r="B214" s="19">
        <v>1.0</v>
      </c>
      <c r="C214" s="19">
        <v>1.0</v>
      </c>
      <c r="D214" s="19">
        <v>1.0</v>
      </c>
      <c r="E214" s="19">
        <v>0.0</v>
      </c>
      <c r="F214" s="19">
        <v>1.0</v>
      </c>
      <c r="G214" s="19">
        <v>1.0</v>
      </c>
      <c r="H214" s="19">
        <v>1.0</v>
      </c>
      <c r="I214" s="19">
        <v>0.0</v>
      </c>
      <c r="J214" s="19">
        <v>1.0</v>
      </c>
      <c r="K214" s="19">
        <v>0.0</v>
      </c>
      <c r="L214" s="19">
        <v>1.0</v>
      </c>
      <c r="M214" s="19">
        <v>1.0</v>
      </c>
      <c r="N214" s="19">
        <v>1.0</v>
      </c>
      <c r="O214" s="19">
        <v>1.0</v>
      </c>
      <c r="P214" s="19">
        <v>0.0</v>
      </c>
      <c r="Q214" s="19">
        <v>0.0</v>
      </c>
      <c r="R214" s="19">
        <v>1.0</v>
      </c>
      <c r="S214" s="19">
        <v>1.0</v>
      </c>
      <c r="T214" s="19">
        <v>0.0</v>
      </c>
      <c r="U214" s="19">
        <v>1.0</v>
      </c>
      <c r="V214" s="19">
        <v>1.0</v>
      </c>
      <c r="W214" s="19">
        <v>1.0</v>
      </c>
      <c r="X214" s="19">
        <v>1.0</v>
      </c>
      <c r="Y214" s="19"/>
      <c r="Z214" s="19"/>
      <c r="AA214" s="20">
        <f t="shared" si="73"/>
        <v>17</v>
      </c>
      <c r="AB214" s="21">
        <f t="shared" si="74"/>
        <v>0.7391304348</v>
      </c>
      <c r="AC214" s="2"/>
    </row>
    <row r="215">
      <c r="A215" s="17" t="s">
        <v>41</v>
      </c>
      <c r="B215" s="19">
        <v>0.0</v>
      </c>
      <c r="C215" s="19">
        <v>0.0</v>
      </c>
      <c r="D215" s="19">
        <v>0.0</v>
      </c>
      <c r="E215" s="19">
        <v>0.0</v>
      </c>
      <c r="F215" s="19">
        <v>1.0</v>
      </c>
      <c r="G215" s="19">
        <v>1.0</v>
      </c>
      <c r="H215" s="19">
        <v>1.0</v>
      </c>
      <c r="I215" s="19">
        <v>1.0</v>
      </c>
      <c r="J215" s="19">
        <v>0.0</v>
      </c>
      <c r="K215" s="19">
        <v>0.0</v>
      </c>
      <c r="L215" s="19">
        <v>1.0</v>
      </c>
      <c r="M215" s="19">
        <v>1.0</v>
      </c>
      <c r="N215" s="19">
        <v>0.0</v>
      </c>
      <c r="O215" s="19">
        <v>1.0</v>
      </c>
      <c r="P215" s="19">
        <v>0.0</v>
      </c>
      <c r="Q215" s="19">
        <v>0.0</v>
      </c>
      <c r="R215" s="19">
        <v>1.0</v>
      </c>
      <c r="S215" s="19">
        <v>1.0</v>
      </c>
      <c r="T215" s="19">
        <v>1.0</v>
      </c>
      <c r="U215" s="19">
        <v>1.0</v>
      </c>
      <c r="V215" s="19">
        <v>0.0</v>
      </c>
      <c r="W215" s="19">
        <v>1.0</v>
      </c>
      <c r="X215" s="19">
        <v>1.0</v>
      </c>
      <c r="Y215" s="19"/>
      <c r="Z215" s="19"/>
      <c r="AA215" s="20">
        <f t="shared" si="73"/>
        <v>13</v>
      </c>
      <c r="AB215" s="21">
        <f t="shared" si="74"/>
        <v>0.5652173913</v>
      </c>
      <c r="AC215" s="2"/>
    </row>
    <row r="216">
      <c r="A216" s="17" t="s">
        <v>42</v>
      </c>
      <c r="B216" s="19">
        <v>1.0</v>
      </c>
      <c r="C216" s="19">
        <v>1.0</v>
      </c>
      <c r="D216" s="19">
        <v>0.0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1.0</v>
      </c>
      <c r="P216" s="19">
        <v>0.0</v>
      </c>
      <c r="Q216" s="19">
        <v>0.0</v>
      </c>
      <c r="R216" s="19">
        <v>0.0</v>
      </c>
      <c r="S216" s="19">
        <v>1.0</v>
      </c>
      <c r="T216" s="19">
        <v>1.0</v>
      </c>
      <c r="U216" s="19">
        <v>1.0</v>
      </c>
      <c r="V216" s="19">
        <v>0.0</v>
      </c>
      <c r="W216" s="19">
        <v>1.0</v>
      </c>
      <c r="X216" s="19">
        <v>1.0</v>
      </c>
      <c r="Y216" s="19"/>
      <c r="Z216" s="19"/>
      <c r="AA216" s="20">
        <f t="shared" si="73"/>
        <v>8</v>
      </c>
      <c r="AB216" s="21">
        <f t="shared" si="74"/>
        <v>0.347826087</v>
      </c>
      <c r="AC216" s="2"/>
    </row>
    <row r="217">
      <c r="A217" s="17" t="s">
        <v>43</v>
      </c>
      <c r="B217" s="22">
        <f t="shared" ref="B217:Z217" si="75">SUM(B213:B216)</f>
        <v>3</v>
      </c>
      <c r="C217" s="22">
        <f t="shared" si="75"/>
        <v>3</v>
      </c>
      <c r="D217" s="22">
        <f t="shared" si="75"/>
        <v>2</v>
      </c>
      <c r="E217" s="22">
        <f t="shared" si="75"/>
        <v>0</v>
      </c>
      <c r="F217" s="22">
        <f t="shared" si="75"/>
        <v>2</v>
      </c>
      <c r="G217" s="22">
        <f t="shared" si="75"/>
        <v>3</v>
      </c>
      <c r="H217" s="22">
        <f t="shared" si="75"/>
        <v>3</v>
      </c>
      <c r="I217" s="22">
        <f t="shared" si="75"/>
        <v>2</v>
      </c>
      <c r="J217" s="22">
        <f t="shared" si="75"/>
        <v>1</v>
      </c>
      <c r="K217" s="22">
        <f t="shared" si="75"/>
        <v>0</v>
      </c>
      <c r="L217" s="22">
        <f t="shared" si="75"/>
        <v>2</v>
      </c>
      <c r="M217" s="22">
        <f t="shared" si="75"/>
        <v>2</v>
      </c>
      <c r="N217" s="22">
        <f t="shared" si="75"/>
        <v>1</v>
      </c>
      <c r="O217" s="22">
        <f t="shared" si="75"/>
        <v>4</v>
      </c>
      <c r="P217" s="22">
        <f t="shared" si="75"/>
        <v>1</v>
      </c>
      <c r="Q217" s="22">
        <f t="shared" si="75"/>
        <v>1</v>
      </c>
      <c r="R217" s="22">
        <f t="shared" si="75"/>
        <v>2</v>
      </c>
      <c r="S217" s="22">
        <f t="shared" si="75"/>
        <v>4</v>
      </c>
      <c r="T217" s="22">
        <f t="shared" si="75"/>
        <v>2</v>
      </c>
      <c r="U217" s="22">
        <f t="shared" si="75"/>
        <v>4</v>
      </c>
      <c r="V217" s="22">
        <f t="shared" si="75"/>
        <v>1</v>
      </c>
      <c r="W217" s="22">
        <f t="shared" si="75"/>
        <v>3</v>
      </c>
      <c r="X217" s="22">
        <f t="shared" si="75"/>
        <v>3</v>
      </c>
      <c r="Y217" s="22">
        <f t="shared" si="75"/>
        <v>0</v>
      </c>
      <c r="Z217" s="22">
        <f t="shared" si="75"/>
        <v>0</v>
      </c>
      <c r="AA217" s="20">
        <f t="shared" si="73"/>
        <v>49</v>
      </c>
      <c r="AB217" s="23"/>
      <c r="AC217" s="2"/>
    </row>
    <row r="218">
      <c r="A218" s="17" t="s">
        <v>38</v>
      </c>
      <c r="B218" s="24">
        <f t="shared" ref="B218:Z218" si="76">B217/(COUNT(B213:B216)*1)</f>
        <v>0.75</v>
      </c>
      <c r="C218" s="24">
        <f t="shared" si="76"/>
        <v>0.75</v>
      </c>
      <c r="D218" s="24">
        <f t="shared" si="76"/>
        <v>0.5</v>
      </c>
      <c r="E218" s="24">
        <f t="shared" si="76"/>
        <v>0</v>
      </c>
      <c r="F218" s="24">
        <f t="shared" si="76"/>
        <v>0.5</v>
      </c>
      <c r="G218" s="24">
        <f t="shared" si="76"/>
        <v>0.75</v>
      </c>
      <c r="H218" s="24">
        <f t="shared" si="76"/>
        <v>0.75</v>
      </c>
      <c r="I218" s="24">
        <f t="shared" si="76"/>
        <v>0.5</v>
      </c>
      <c r="J218" s="24">
        <f t="shared" si="76"/>
        <v>0.25</v>
      </c>
      <c r="K218" s="24">
        <f t="shared" si="76"/>
        <v>0</v>
      </c>
      <c r="L218" s="24">
        <f t="shared" si="76"/>
        <v>0.5</v>
      </c>
      <c r="M218" s="24">
        <f t="shared" si="76"/>
        <v>0.5</v>
      </c>
      <c r="N218" s="24">
        <f t="shared" si="76"/>
        <v>0.25</v>
      </c>
      <c r="O218" s="24">
        <f t="shared" si="76"/>
        <v>1</v>
      </c>
      <c r="P218" s="24">
        <f t="shared" si="76"/>
        <v>0.25</v>
      </c>
      <c r="Q218" s="24">
        <f t="shared" si="76"/>
        <v>0.25</v>
      </c>
      <c r="R218" s="24">
        <f t="shared" si="76"/>
        <v>0.5</v>
      </c>
      <c r="S218" s="24">
        <f t="shared" si="76"/>
        <v>1</v>
      </c>
      <c r="T218" s="24">
        <f t="shared" si="76"/>
        <v>0.5</v>
      </c>
      <c r="U218" s="24">
        <f t="shared" si="76"/>
        <v>1</v>
      </c>
      <c r="V218" s="24">
        <f t="shared" si="76"/>
        <v>0.25</v>
      </c>
      <c r="W218" s="24">
        <f t="shared" si="76"/>
        <v>0.75</v>
      </c>
      <c r="X218" s="24">
        <f t="shared" si="76"/>
        <v>0.75</v>
      </c>
      <c r="Y218" s="24" t="str">
        <f t="shared" si="76"/>
        <v>#DIV/0!</v>
      </c>
      <c r="Z218" s="24" t="str">
        <f t="shared" si="76"/>
        <v>#DIV/0!</v>
      </c>
      <c r="AA218" s="25"/>
      <c r="AB218" s="26">
        <f>SUM(AB213:AB216)/4</f>
        <v>0.5326086957</v>
      </c>
      <c r="AC218" s="2"/>
    </row>
    <row r="219">
      <c r="A219" s="27" t="s">
        <v>44</v>
      </c>
      <c r="B219" s="60"/>
      <c r="C219" s="61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30">
        <f t="shared" ref="AA219:AA221" si="77">SUM(B219:Z219)</f>
        <v>0</v>
      </c>
      <c r="AB219" s="31"/>
      <c r="AC219" s="2"/>
    </row>
    <row r="220">
      <c r="A220" s="32" t="s">
        <v>45</v>
      </c>
      <c r="B220" s="62"/>
      <c r="C220" s="62"/>
      <c r="D220" s="62"/>
      <c r="E220" s="128">
        <v>5.0</v>
      </c>
      <c r="F220" s="62"/>
      <c r="G220" s="62"/>
      <c r="H220" s="62"/>
      <c r="I220" s="62"/>
      <c r="J220" s="128">
        <v>4.0</v>
      </c>
      <c r="K220" s="128">
        <v>6.0</v>
      </c>
      <c r="L220" s="128">
        <v>3.0</v>
      </c>
      <c r="M220" s="128">
        <v>12.0</v>
      </c>
      <c r="N220" s="62"/>
      <c r="O220" s="62"/>
      <c r="P220" s="62"/>
      <c r="Q220" s="62"/>
      <c r="R220" s="128">
        <v>3.0</v>
      </c>
      <c r="S220" s="62"/>
      <c r="T220" s="62"/>
      <c r="U220" s="62"/>
      <c r="V220" s="68">
        <v>3.0</v>
      </c>
      <c r="W220" s="68"/>
      <c r="X220" s="68"/>
      <c r="Y220" s="60"/>
      <c r="Z220" s="60"/>
      <c r="AA220" s="30">
        <f t="shared" si="77"/>
        <v>36</v>
      </c>
      <c r="AB220" s="31"/>
      <c r="AC220" s="9"/>
    </row>
    <row r="221">
      <c r="A221" s="34" t="s">
        <v>46</v>
      </c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0"/>
      <c r="W221" s="60"/>
      <c r="X221" s="60"/>
      <c r="Y221" s="60"/>
      <c r="Z221" s="60"/>
      <c r="AA221" s="30">
        <f t="shared" si="77"/>
        <v>0</v>
      </c>
      <c r="AB221" s="31"/>
      <c r="AC221" s="9"/>
    </row>
    <row r="222">
      <c r="A222" s="35" t="s">
        <v>47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7"/>
      <c r="AA222" s="38"/>
      <c r="AB222" s="39"/>
      <c r="AC222" s="2"/>
    </row>
    <row r="223">
      <c r="A223" s="40" t="s">
        <v>48</v>
      </c>
      <c r="B223" s="63"/>
      <c r="C223" s="64"/>
      <c r="D223" s="63"/>
      <c r="E223" s="65">
        <v>1.0</v>
      </c>
      <c r="F223" s="63"/>
      <c r="G223" s="63"/>
      <c r="H223" s="63"/>
      <c r="I223" s="63"/>
      <c r="J223" s="65">
        <v>1.0</v>
      </c>
      <c r="K223" s="65">
        <v>1.0</v>
      </c>
      <c r="L223" s="65">
        <v>1.0</v>
      </c>
      <c r="M223" s="65">
        <v>1.0</v>
      </c>
      <c r="N223" s="63"/>
      <c r="O223" s="63"/>
      <c r="P223" s="63"/>
      <c r="Q223" s="63"/>
      <c r="R223" s="65">
        <v>1.0</v>
      </c>
      <c r="S223" s="63"/>
      <c r="T223" s="63"/>
      <c r="U223" s="63"/>
      <c r="V223" s="69">
        <v>1.0</v>
      </c>
      <c r="W223" s="69">
        <v>1.0</v>
      </c>
      <c r="X223" s="69">
        <v>1.0</v>
      </c>
      <c r="Y223" s="66"/>
      <c r="Z223" s="66"/>
      <c r="AA223" s="44">
        <f t="shared" ref="AA223:AA224" si="78">SUM(B223:Z223)</f>
        <v>9</v>
      </c>
      <c r="AB223" s="31"/>
      <c r="AC223" s="2"/>
    </row>
    <row r="224">
      <c r="A224" s="40" t="s">
        <v>49</v>
      </c>
      <c r="B224" s="63"/>
      <c r="C224" s="64"/>
      <c r="D224" s="63"/>
      <c r="E224" s="65">
        <v>20.0</v>
      </c>
      <c r="F224" s="63"/>
      <c r="G224" s="63"/>
      <c r="H224" s="63"/>
      <c r="I224" s="63"/>
      <c r="J224" s="65">
        <v>15.0</v>
      </c>
      <c r="K224" s="65">
        <v>20.0</v>
      </c>
      <c r="L224" s="65">
        <v>5.0</v>
      </c>
      <c r="M224" s="65">
        <v>20.0</v>
      </c>
      <c r="N224" s="63"/>
      <c r="O224" s="63"/>
      <c r="P224" s="63"/>
      <c r="Q224" s="63"/>
      <c r="R224" s="65">
        <v>5.0</v>
      </c>
      <c r="S224" s="63"/>
      <c r="T224" s="63"/>
      <c r="U224" s="63"/>
      <c r="V224" s="69">
        <v>20.0</v>
      </c>
      <c r="W224" s="69">
        <v>10.0</v>
      </c>
      <c r="X224" s="69">
        <v>10.0</v>
      </c>
      <c r="Y224" s="66"/>
      <c r="Z224" s="66"/>
      <c r="AA224" s="44">
        <f t="shared" si="78"/>
        <v>125</v>
      </c>
      <c r="AB224" s="31"/>
      <c r="AC224" s="2"/>
    </row>
    <row r="225">
      <c r="A225" s="40" t="s">
        <v>50</v>
      </c>
      <c r="B225" s="64"/>
      <c r="C225" s="64"/>
      <c r="D225" s="63"/>
      <c r="E225" s="65">
        <v>2.0</v>
      </c>
      <c r="F225" s="63"/>
      <c r="G225" s="63"/>
      <c r="H225" s="63"/>
      <c r="I225" s="63"/>
      <c r="J225" s="65">
        <v>2.0</v>
      </c>
      <c r="K225" s="65">
        <v>2.0</v>
      </c>
      <c r="L225" s="65">
        <v>2.0</v>
      </c>
      <c r="M225" s="65">
        <v>2.0</v>
      </c>
      <c r="N225" s="63"/>
      <c r="O225" s="63"/>
      <c r="P225" s="63"/>
      <c r="Q225" s="63"/>
      <c r="R225" s="65">
        <v>2.0</v>
      </c>
      <c r="S225" s="63"/>
      <c r="T225" s="63"/>
      <c r="U225" s="63"/>
      <c r="V225" s="69">
        <v>2.0</v>
      </c>
      <c r="W225" s="69">
        <v>2.0</v>
      </c>
      <c r="X225" s="69">
        <v>2.0</v>
      </c>
      <c r="Y225" s="66"/>
      <c r="Z225" s="66"/>
      <c r="AA225" s="44">
        <f>AVERAGE(B225:Z225)</f>
        <v>2</v>
      </c>
      <c r="AB225" s="31"/>
      <c r="AC225" s="2"/>
    </row>
    <row r="226">
      <c r="A226" s="45" t="s">
        <v>51</v>
      </c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7"/>
      <c r="AA226" s="46"/>
      <c r="AB226" s="39"/>
      <c r="AC226" s="2"/>
    </row>
    <row r="227">
      <c r="A227" s="47" t="s">
        <v>48</v>
      </c>
      <c r="B227" s="48"/>
      <c r="C227" s="49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50"/>
      <c r="W227" s="50"/>
      <c r="X227" s="50"/>
      <c r="Y227" s="50"/>
      <c r="Z227" s="50"/>
      <c r="AA227" s="51">
        <f t="shared" ref="AA227:AA228" si="79">SUM(B227:Z227)</f>
        <v>0</v>
      </c>
      <c r="AB227" s="31"/>
      <c r="AC227" s="2"/>
    </row>
    <row r="228">
      <c r="A228" s="47" t="s">
        <v>49</v>
      </c>
      <c r="B228" s="48"/>
      <c r="C228" s="49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50"/>
      <c r="W228" s="50"/>
      <c r="X228" s="50"/>
      <c r="Y228" s="50"/>
      <c r="Z228" s="50"/>
      <c r="AA228" s="51">
        <f t="shared" si="79"/>
        <v>0</v>
      </c>
      <c r="AB228" s="31"/>
      <c r="AC228" s="2"/>
    </row>
    <row r="229">
      <c r="A229" s="47" t="s">
        <v>50</v>
      </c>
      <c r="B229" s="49"/>
      <c r="C229" s="49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50"/>
      <c r="W229" s="50"/>
      <c r="X229" s="50"/>
      <c r="Y229" s="50"/>
      <c r="Z229" s="50"/>
      <c r="AA229" s="51" t="str">
        <f>AVERAGE(B29:Z229)</f>
        <v>#DIV/0!</v>
      </c>
      <c r="AB229" s="31"/>
      <c r="AC229" s="2"/>
    </row>
    <row r="230">
      <c r="A230" s="52" t="s">
        <v>53</v>
      </c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7"/>
      <c r="AA230" s="38"/>
      <c r="AB230" s="39"/>
      <c r="AC230" s="2"/>
    </row>
    <row r="231">
      <c r="A231" s="40" t="s">
        <v>48</v>
      </c>
      <c r="B231" s="41"/>
      <c r="C231" s="42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3"/>
      <c r="W231" s="43"/>
      <c r="X231" s="43"/>
      <c r="Y231" s="43"/>
      <c r="Z231" s="43"/>
      <c r="AA231" s="44">
        <f t="shared" ref="AA231:AA232" si="80">SUM(B231:Z231)</f>
        <v>0</v>
      </c>
      <c r="AB231" s="31"/>
      <c r="AC231" s="2"/>
    </row>
    <row r="232">
      <c r="A232" s="40" t="s">
        <v>49</v>
      </c>
      <c r="B232" s="41"/>
      <c r="C232" s="42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3"/>
      <c r="W232" s="43"/>
      <c r="X232" s="43"/>
      <c r="Y232" s="43"/>
      <c r="Z232" s="43"/>
      <c r="AA232" s="44">
        <f t="shared" si="80"/>
        <v>0</v>
      </c>
      <c r="AB232" s="31"/>
      <c r="AC232" s="2"/>
    </row>
    <row r="233">
      <c r="A233" s="53" t="s">
        <v>50</v>
      </c>
      <c r="B233" s="54"/>
      <c r="C233" s="54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6"/>
      <c r="W233" s="56"/>
      <c r="X233" s="56"/>
      <c r="Y233" s="56"/>
      <c r="Z233" s="56"/>
      <c r="AA233" s="57" t="str">
        <f>AVERAGE(B233:Z233)</f>
        <v>#DIV/0!</v>
      </c>
      <c r="AB233" s="58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59"/>
      <c r="AB234" s="59"/>
      <c r="AC234" s="2"/>
    </row>
    <row r="235">
      <c r="A235" s="13">
        <v>46071.0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 t="s">
        <v>37</v>
      </c>
      <c r="AB235" s="16" t="s">
        <v>38</v>
      </c>
      <c r="AC235" s="2"/>
    </row>
    <row r="236">
      <c r="A236" s="17" t="s">
        <v>39</v>
      </c>
      <c r="B236" s="19">
        <v>1.0</v>
      </c>
      <c r="C236" s="19">
        <v>1.0</v>
      </c>
      <c r="D236" s="19">
        <v>1.0</v>
      </c>
      <c r="E236" s="19">
        <v>0.0</v>
      </c>
      <c r="F236" s="19">
        <v>0.0</v>
      </c>
      <c r="G236" s="19">
        <v>1.0</v>
      </c>
      <c r="H236" s="19">
        <v>1.0</v>
      </c>
      <c r="I236" s="19">
        <v>1.0</v>
      </c>
      <c r="J236" s="19">
        <v>1.0</v>
      </c>
      <c r="K236" s="19">
        <v>0.0</v>
      </c>
      <c r="L236" s="19">
        <v>0.0</v>
      </c>
      <c r="M236" s="19">
        <v>1.0</v>
      </c>
      <c r="N236" s="19">
        <v>0.0</v>
      </c>
      <c r="O236" s="19">
        <v>1.0</v>
      </c>
      <c r="P236" s="19">
        <v>1.0</v>
      </c>
      <c r="Q236" s="19">
        <v>1.0</v>
      </c>
      <c r="R236" s="19">
        <v>1.0</v>
      </c>
      <c r="S236" s="19">
        <v>0.0</v>
      </c>
      <c r="T236" s="19">
        <v>0.0</v>
      </c>
      <c r="U236" s="19">
        <v>0.0</v>
      </c>
      <c r="V236" s="19">
        <v>1.0</v>
      </c>
      <c r="W236" s="19">
        <v>0.0</v>
      </c>
      <c r="X236" s="19">
        <v>0.0</v>
      </c>
      <c r="Y236" s="18"/>
      <c r="Z236" s="18"/>
      <c r="AA236" s="20">
        <f t="shared" ref="AA236:AA240" si="81">SUM(B236:Z236)</f>
        <v>13</v>
      </c>
      <c r="AB236" s="21">
        <f t="shared" ref="AB236:AB239" si="82">AA236/(COUNT(B236:Z236)*1)</f>
        <v>0.5652173913</v>
      </c>
      <c r="AC236" s="2"/>
    </row>
    <row r="237">
      <c r="A237" s="17" t="s">
        <v>40</v>
      </c>
      <c r="B237" s="19">
        <v>1.0</v>
      </c>
      <c r="C237" s="19">
        <v>1.0</v>
      </c>
      <c r="D237" s="19">
        <v>1.0</v>
      </c>
      <c r="E237" s="19">
        <v>1.0</v>
      </c>
      <c r="F237" s="19">
        <v>1.0</v>
      </c>
      <c r="G237" s="19">
        <v>1.0</v>
      </c>
      <c r="H237" s="19">
        <v>1.0</v>
      </c>
      <c r="I237" s="19">
        <v>1.0</v>
      </c>
      <c r="J237" s="19">
        <v>1.0</v>
      </c>
      <c r="K237" s="19">
        <v>1.0</v>
      </c>
      <c r="L237" s="19">
        <v>1.0</v>
      </c>
      <c r="M237" s="19">
        <v>1.0</v>
      </c>
      <c r="N237" s="19">
        <v>1.0</v>
      </c>
      <c r="O237" s="19">
        <v>1.0</v>
      </c>
      <c r="P237" s="19">
        <v>1.0</v>
      </c>
      <c r="Q237" s="19">
        <v>1.0</v>
      </c>
      <c r="R237" s="19">
        <v>1.0</v>
      </c>
      <c r="S237" s="19">
        <v>1.0</v>
      </c>
      <c r="T237" s="19">
        <v>1.0</v>
      </c>
      <c r="U237" s="19">
        <v>1.0</v>
      </c>
      <c r="V237" s="19">
        <v>1.0</v>
      </c>
      <c r="W237" s="19">
        <v>1.0</v>
      </c>
      <c r="X237" s="19">
        <v>1.0</v>
      </c>
      <c r="Y237" s="18"/>
      <c r="Z237" s="18"/>
      <c r="AA237" s="20">
        <f t="shared" si="81"/>
        <v>23</v>
      </c>
      <c r="AB237" s="21">
        <f t="shared" si="82"/>
        <v>1</v>
      </c>
      <c r="AC237" s="2"/>
    </row>
    <row r="238">
      <c r="A238" s="17" t="s">
        <v>41</v>
      </c>
      <c r="B238" s="19">
        <v>1.0</v>
      </c>
      <c r="C238" s="19">
        <v>1.0</v>
      </c>
      <c r="D238" s="19">
        <v>1.0</v>
      </c>
      <c r="E238" s="19">
        <v>1.0</v>
      </c>
      <c r="F238" s="19">
        <v>1.0</v>
      </c>
      <c r="G238" s="19">
        <v>1.0</v>
      </c>
      <c r="H238" s="19">
        <v>1.0</v>
      </c>
      <c r="I238" s="19">
        <v>1.0</v>
      </c>
      <c r="J238" s="19">
        <v>0.0</v>
      </c>
      <c r="K238" s="19">
        <v>1.0</v>
      </c>
      <c r="L238" s="19">
        <v>1.0</v>
      </c>
      <c r="M238" s="19">
        <v>1.0</v>
      </c>
      <c r="N238" s="19">
        <v>1.0</v>
      </c>
      <c r="O238" s="19">
        <v>1.0</v>
      </c>
      <c r="P238" s="19">
        <v>1.0</v>
      </c>
      <c r="Q238" s="19">
        <v>1.0</v>
      </c>
      <c r="R238" s="19">
        <v>1.0</v>
      </c>
      <c r="S238" s="19">
        <v>0.0</v>
      </c>
      <c r="T238" s="19">
        <v>1.0</v>
      </c>
      <c r="U238" s="19">
        <v>1.0</v>
      </c>
      <c r="V238" s="19">
        <v>1.0</v>
      </c>
      <c r="W238" s="19">
        <v>1.0</v>
      </c>
      <c r="X238" s="19">
        <v>1.0</v>
      </c>
      <c r="Y238" s="18"/>
      <c r="Z238" s="18"/>
      <c r="AA238" s="20">
        <f t="shared" si="81"/>
        <v>21</v>
      </c>
      <c r="AB238" s="21">
        <f t="shared" si="82"/>
        <v>0.9130434783</v>
      </c>
      <c r="AC238" s="2"/>
    </row>
    <row r="239">
      <c r="A239" s="17" t="s">
        <v>42</v>
      </c>
      <c r="B239" s="19">
        <v>1.0</v>
      </c>
      <c r="C239" s="19">
        <v>1.0</v>
      </c>
      <c r="D239" s="19">
        <v>1.0</v>
      </c>
      <c r="E239" s="19">
        <v>1.0</v>
      </c>
      <c r="F239" s="19">
        <v>1.0</v>
      </c>
      <c r="G239" s="19">
        <v>1.0</v>
      </c>
      <c r="H239" s="19">
        <v>0.0</v>
      </c>
      <c r="I239" s="19">
        <v>0.0</v>
      </c>
      <c r="J239" s="19">
        <v>0.0</v>
      </c>
      <c r="K239" s="19">
        <v>1.0</v>
      </c>
      <c r="L239" s="19">
        <v>0.0</v>
      </c>
      <c r="M239" s="19">
        <v>0.0</v>
      </c>
      <c r="N239" s="19">
        <v>0.0</v>
      </c>
      <c r="O239" s="19">
        <v>0.0</v>
      </c>
      <c r="P239" s="19">
        <v>1.0</v>
      </c>
      <c r="Q239" s="19">
        <v>1.0</v>
      </c>
      <c r="R239" s="19">
        <v>1.0</v>
      </c>
      <c r="S239" s="19">
        <v>1.0</v>
      </c>
      <c r="T239" s="19">
        <v>1.0</v>
      </c>
      <c r="U239" s="19">
        <v>1.0</v>
      </c>
      <c r="V239" s="19">
        <v>0.0</v>
      </c>
      <c r="W239" s="19">
        <v>1.0</v>
      </c>
      <c r="X239" s="19">
        <v>1.0</v>
      </c>
      <c r="Y239" s="18"/>
      <c r="Z239" s="18"/>
      <c r="AA239" s="20">
        <f t="shared" si="81"/>
        <v>15</v>
      </c>
      <c r="AB239" s="21">
        <f t="shared" si="82"/>
        <v>0.652173913</v>
      </c>
      <c r="AC239" s="2"/>
    </row>
    <row r="240">
      <c r="A240" s="17" t="s">
        <v>43</v>
      </c>
      <c r="B240" s="22">
        <f t="shared" ref="B240:Z240" si="83">SUM(B236:B239)</f>
        <v>4</v>
      </c>
      <c r="C240" s="22">
        <f t="shared" si="83"/>
        <v>4</v>
      </c>
      <c r="D240" s="22">
        <f t="shared" si="83"/>
        <v>4</v>
      </c>
      <c r="E240" s="22">
        <f t="shared" si="83"/>
        <v>3</v>
      </c>
      <c r="F240" s="22">
        <f t="shared" si="83"/>
        <v>3</v>
      </c>
      <c r="G240" s="22">
        <f t="shared" si="83"/>
        <v>4</v>
      </c>
      <c r="H240" s="22">
        <f t="shared" si="83"/>
        <v>3</v>
      </c>
      <c r="I240" s="22">
        <f t="shared" si="83"/>
        <v>3</v>
      </c>
      <c r="J240" s="22">
        <f t="shared" si="83"/>
        <v>2</v>
      </c>
      <c r="K240" s="22">
        <f t="shared" si="83"/>
        <v>3</v>
      </c>
      <c r="L240" s="22">
        <f t="shared" si="83"/>
        <v>2</v>
      </c>
      <c r="M240" s="22">
        <f t="shared" si="83"/>
        <v>3</v>
      </c>
      <c r="N240" s="22">
        <f t="shared" si="83"/>
        <v>2</v>
      </c>
      <c r="O240" s="22">
        <f t="shared" si="83"/>
        <v>3</v>
      </c>
      <c r="P240" s="22">
        <f t="shared" si="83"/>
        <v>4</v>
      </c>
      <c r="Q240" s="22">
        <f t="shared" si="83"/>
        <v>4</v>
      </c>
      <c r="R240" s="22">
        <f t="shared" si="83"/>
        <v>4</v>
      </c>
      <c r="S240" s="22">
        <f t="shared" si="83"/>
        <v>2</v>
      </c>
      <c r="T240" s="22">
        <f t="shared" si="83"/>
        <v>3</v>
      </c>
      <c r="U240" s="22">
        <f t="shared" si="83"/>
        <v>3</v>
      </c>
      <c r="V240" s="22">
        <f t="shared" si="83"/>
        <v>3</v>
      </c>
      <c r="W240" s="22">
        <f t="shared" si="83"/>
        <v>3</v>
      </c>
      <c r="X240" s="22">
        <f t="shared" si="83"/>
        <v>3</v>
      </c>
      <c r="Y240" s="22">
        <f t="shared" si="83"/>
        <v>0</v>
      </c>
      <c r="Z240" s="22">
        <f t="shared" si="83"/>
        <v>0</v>
      </c>
      <c r="AA240" s="20">
        <f t="shared" si="81"/>
        <v>72</v>
      </c>
      <c r="AB240" s="23"/>
      <c r="AC240" s="2"/>
    </row>
    <row r="241">
      <c r="A241" s="17" t="s">
        <v>38</v>
      </c>
      <c r="B241" s="24">
        <f t="shared" ref="B241:Z241" si="84">B240/(COUNT(B236:B239)*1)</f>
        <v>1</v>
      </c>
      <c r="C241" s="24">
        <f t="shared" si="84"/>
        <v>1</v>
      </c>
      <c r="D241" s="24">
        <f t="shared" si="84"/>
        <v>1</v>
      </c>
      <c r="E241" s="24">
        <f t="shared" si="84"/>
        <v>0.75</v>
      </c>
      <c r="F241" s="24">
        <f t="shared" si="84"/>
        <v>0.75</v>
      </c>
      <c r="G241" s="24">
        <f t="shared" si="84"/>
        <v>1</v>
      </c>
      <c r="H241" s="24">
        <f t="shared" si="84"/>
        <v>0.75</v>
      </c>
      <c r="I241" s="24">
        <f t="shared" si="84"/>
        <v>0.75</v>
      </c>
      <c r="J241" s="24">
        <f t="shared" si="84"/>
        <v>0.5</v>
      </c>
      <c r="K241" s="24">
        <f t="shared" si="84"/>
        <v>0.75</v>
      </c>
      <c r="L241" s="24">
        <f t="shared" si="84"/>
        <v>0.5</v>
      </c>
      <c r="M241" s="24">
        <f t="shared" si="84"/>
        <v>0.75</v>
      </c>
      <c r="N241" s="24">
        <f t="shared" si="84"/>
        <v>0.5</v>
      </c>
      <c r="O241" s="24">
        <f t="shared" si="84"/>
        <v>0.75</v>
      </c>
      <c r="P241" s="24">
        <f t="shared" si="84"/>
        <v>1</v>
      </c>
      <c r="Q241" s="24">
        <f t="shared" si="84"/>
        <v>1</v>
      </c>
      <c r="R241" s="24">
        <f t="shared" si="84"/>
        <v>1</v>
      </c>
      <c r="S241" s="24">
        <f t="shared" si="84"/>
        <v>0.5</v>
      </c>
      <c r="T241" s="24">
        <f t="shared" si="84"/>
        <v>0.75</v>
      </c>
      <c r="U241" s="24">
        <f t="shared" si="84"/>
        <v>0.75</v>
      </c>
      <c r="V241" s="24">
        <f t="shared" si="84"/>
        <v>0.75</v>
      </c>
      <c r="W241" s="24">
        <f t="shared" si="84"/>
        <v>0.75</v>
      </c>
      <c r="X241" s="24">
        <f t="shared" si="84"/>
        <v>0.75</v>
      </c>
      <c r="Y241" s="24" t="str">
        <f t="shared" si="84"/>
        <v>#DIV/0!</v>
      </c>
      <c r="Z241" s="24" t="str">
        <f t="shared" si="84"/>
        <v>#DIV/0!</v>
      </c>
      <c r="AA241" s="25"/>
      <c r="AB241" s="26">
        <f>SUM(AB236:AB239)/4</f>
        <v>0.7826086957</v>
      </c>
      <c r="AC241" s="2"/>
    </row>
    <row r="242">
      <c r="A242" s="27" t="s">
        <v>44</v>
      </c>
      <c r="B242" s="28"/>
      <c r="C242" s="29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132"/>
      <c r="X242" s="28"/>
      <c r="Y242" s="28"/>
      <c r="Z242" s="28"/>
      <c r="AA242" s="30">
        <f t="shared" ref="AA242:AA244" si="85">SUM(B242:Z242)</f>
        <v>0</v>
      </c>
      <c r="AB242" s="31"/>
      <c r="AC242" s="2"/>
    </row>
    <row r="243">
      <c r="A243" s="32" t="s">
        <v>45</v>
      </c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28"/>
      <c r="W243" s="28"/>
      <c r="X243" s="28"/>
      <c r="Y243" s="28"/>
      <c r="Z243" s="28"/>
      <c r="AA243" s="30">
        <f t="shared" si="85"/>
        <v>0</v>
      </c>
      <c r="AB243" s="31"/>
      <c r="AC243" s="9"/>
    </row>
    <row r="244">
      <c r="A244" s="34" t="s">
        <v>46</v>
      </c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28"/>
      <c r="W244" s="28"/>
      <c r="X244" s="28"/>
      <c r="Y244" s="28"/>
      <c r="Z244" s="28"/>
      <c r="AA244" s="30">
        <f t="shared" si="85"/>
        <v>0</v>
      </c>
      <c r="AB244" s="31"/>
      <c r="AC244" s="9"/>
    </row>
    <row r="245">
      <c r="A245" s="35" t="s">
        <v>47</v>
      </c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7"/>
      <c r="AA245" s="38"/>
      <c r="AB245" s="39"/>
      <c r="AC245" s="2"/>
    </row>
    <row r="246">
      <c r="A246" s="40" t="s">
        <v>48</v>
      </c>
      <c r="B246" s="63"/>
      <c r="C246" s="64"/>
      <c r="D246" s="63"/>
      <c r="E246" s="63"/>
      <c r="F246" s="63"/>
      <c r="G246" s="63"/>
      <c r="H246" s="63"/>
      <c r="I246" s="63"/>
      <c r="J246" s="63"/>
      <c r="K246" s="63"/>
      <c r="L246" s="65">
        <v>1.0</v>
      </c>
      <c r="M246" s="63"/>
      <c r="N246" s="65">
        <v>1.0</v>
      </c>
      <c r="O246" s="63"/>
      <c r="P246" s="63"/>
      <c r="Q246" s="63"/>
      <c r="R246" s="63"/>
      <c r="S246" s="65">
        <v>1.0</v>
      </c>
      <c r="T246" s="65">
        <v>1.0</v>
      </c>
      <c r="U246" s="65">
        <v>1.0</v>
      </c>
      <c r="V246" s="66"/>
      <c r="W246" s="69">
        <v>1.0</v>
      </c>
      <c r="X246" s="69">
        <v>1.0</v>
      </c>
      <c r="Y246" s="66"/>
      <c r="Z246" s="66"/>
      <c r="AA246" s="44">
        <f t="shared" ref="AA246:AA247" si="86">SUM(B246:Z246)</f>
        <v>7</v>
      </c>
      <c r="AB246" s="31"/>
      <c r="AC246" s="2"/>
    </row>
    <row r="247">
      <c r="A247" s="40" t="s">
        <v>49</v>
      </c>
      <c r="B247" s="63"/>
      <c r="C247" s="64"/>
      <c r="D247" s="63"/>
      <c r="E247" s="63"/>
      <c r="F247" s="63"/>
      <c r="G247" s="63"/>
      <c r="H247" s="63"/>
      <c r="I247" s="63"/>
      <c r="J247" s="63"/>
      <c r="K247" s="63"/>
      <c r="L247" s="65">
        <v>10.0</v>
      </c>
      <c r="M247" s="63"/>
      <c r="N247" s="65">
        <v>10.0</v>
      </c>
      <c r="O247" s="63"/>
      <c r="P247" s="63"/>
      <c r="Q247" s="63"/>
      <c r="R247" s="63"/>
      <c r="S247" s="65">
        <v>20.0</v>
      </c>
      <c r="T247" s="65">
        <v>20.0</v>
      </c>
      <c r="U247" s="65">
        <v>20.0</v>
      </c>
      <c r="V247" s="66"/>
      <c r="W247" s="69">
        <v>10.0</v>
      </c>
      <c r="X247" s="69">
        <v>10.0</v>
      </c>
      <c r="Y247" s="66"/>
      <c r="Z247" s="66"/>
      <c r="AA247" s="44">
        <f t="shared" si="86"/>
        <v>100</v>
      </c>
      <c r="AB247" s="31"/>
      <c r="AC247" s="2"/>
    </row>
    <row r="248">
      <c r="A248" s="40" t="s">
        <v>50</v>
      </c>
      <c r="B248" s="64"/>
      <c r="C248" s="64"/>
      <c r="D248" s="63"/>
      <c r="E248" s="63"/>
      <c r="F248" s="63"/>
      <c r="G248" s="63"/>
      <c r="H248" s="63"/>
      <c r="I248" s="63"/>
      <c r="J248" s="63"/>
      <c r="K248" s="63"/>
      <c r="L248" s="65">
        <v>1.0</v>
      </c>
      <c r="M248" s="63"/>
      <c r="N248" s="65">
        <v>1.0</v>
      </c>
      <c r="O248" s="63"/>
      <c r="P248" s="63"/>
      <c r="Q248" s="63"/>
      <c r="R248" s="63"/>
      <c r="S248" s="65">
        <v>1.0</v>
      </c>
      <c r="T248" s="65">
        <v>1.0</v>
      </c>
      <c r="U248" s="65">
        <v>1.0</v>
      </c>
      <c r="V248" s="66"/>
      <c r="W248" s="69">
        <v>1.0</v>
      </c>
      <c r="X248" s="69">
        <v>1.0</v>
      </c>
      <c r="Y248" s="66"/>
      <c r="Z248" s="66"/>
      <c r="AA248" s="44">
        <f>AVERAGE(B248:Z248)</f>
        <v>1</v>
      </c>
      <c r="AB248" s="31"/>
      <c r="AC248" s="2"/>
    </row>
    <row r="249">
      <c r="A249" s="135" t="s">
        <v>51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7"/>
      <c r="AA249" s="46"/>
      <c r="AB249" s="39"/>
      <c r="AC249" s="2"/>
    </row>
    <row r="250">
      <c r="A250" s="136" t="s">
        <v>48</v>
      </c>
      <c r="B250" s="137"/>
      <c r="C250" s="18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8"/>
      <c r="W250" s="138"/>
      <c r="X250" s="138"/>
      <c r="Y250" s="138"/>
      <c r="Z250" s="138"/>
      <c r="AA250" s="51">
        <f t="shared" ref="AA250:AA251" si="87">SUM(B250:Z250)</f>
        <v>0</v>
      </c>
      <c r="AB250" s="31"/>
      <c r="AC250" s="2"/>
    </row>
    <row r="251">
      <c r="A251" s="136" t="s">
        <v>49</v>
      </c>
      <c r="B251" s="137"/>
      <c r="C251" s="18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8"/>
      <c r="W251" s="138"/>
      <c r="X251" s="138"/>
      <c r="Y251" s="138"/>
      <c r="Z251" s="138"/>
      <c r="AA251" s="51">
        <f t="shared" si="87"/>
        <v>0</v>
      </c>
      <c r="AB251" s="31"/>
      <c r="AC251" s="2"/>
    </row>
    <row r="252">
      <c r="A252" s="136" t="s">
        <v>50</v>
      </c>
      <c r="B252" s="18"/>
      <c r="C252" s="18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8"/>
      <c r="W252" s="138"/>
      <c r="X252" s="138"/>
      <c r="Y252" s="138"/>
      <c r="Z252" s="138"/>
      <c r="AA252" s="51" t="str">
        <f>AVERAGE(B252:Z252)</f>
        <v>#DIV/0!</v>
      </c>
      <c r="AB252" s="31"/>
      <c r="AC252" s="2"/>
    </row>
    <row r="253">
      <c r="A253" s="52" t="s">
        <v>53</v>
      </c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7"/>
      <c r="AA253" s="38"/>
      <c r="AB253" s="39"/>
      <c r="AC253" s="2"/>
    </row>
    <row r="254">
      <c r="A254" s="40" t="s">
        <v>48</v>
      </c>
      <c r="B254" s="41"/>
      <c r="C254" s="42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3"/>
      <c r="W254" s="43"/>
      <c r="X254" s="43"/>
      <c r="Y254" s="43"/>
      <c r="Z254" s="43"/>
      <c r="AA254" s="44">
        <f t="shared" ref="AA254:AA255" si="88">SUM(B254:Z254)</f>
        <v>0</v>
      </c>
      <c r="AB254" s="31"/>
      <c r="AC254" s="2"/>
    </row>
    <row r="255">
      <c r="A255" s="40" t="s">
        <v>49</v>
      </c>
      <c r="B255" s="41"/>
      <c r="C255" s="42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3"/>
      <c r="W255" s="43"/>
      <c r="X255" s="43"/>
      <c r="Y255" s="43"/>
      <c r="Z255" s="43"/>
      <c r="AA255" s="44">
        <f t="shared" si="88"/>
        <v>0</v>
      </c>
      <c r="AB255" s="31"/>
      <c r="AC255" s="2"/>
    </row>
    <row r="256">
      <c r="A256" s="53" t="s">
        <v>50</v>
      </c>
      <c r="B256" s="54"/>
      <c r="C256" s="54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6"/>
      <c r="W256" s="56"/>
      <c r="X256" s="56"/>
      <c r="Y256" s="56"/>
      <c r="Z256" s="56"/>
      <c r="AA256" s="57" t="str">
        <f>AVERAGE(B256:Z256)</f>
        <v>#DIV/0!</v>
      </c>
      <c r="AB256" s="58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59"/>
      <c r="AB257" s="59"/>
      <c r="AC257" s="2"/>
    </row>
    <row r="258">
      <c r="A258" s="13">
        <v>46072.0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5" t="s">
        <v>37</v>
      </c>
      <c r="AB258" s="16" t="s">
        <v>38</v>
      </c>
      <c r="AC258" s="2"/>
    </row>
    <row r="259">
      <c r="A259" s="17" t="s">
        <v>39</v>
      </c>
      <c r="B259" s="19">
        <v>1.0</v>
      </c>
      <c r="C259" s="19">
        <v>1.0</v>
      </c>
      <c r="D259" s="19">
        <v>1.0</v>
      </c>
      <c r="E259" s="19">
        <v>0.0</v>
      </c>
      <c r="F259" s="19">
        <v>1.0</v>
      </c>
      <c r="G259" s="19">
        <v>0.0</v>
      </c>
      <c r="H259" s="19">
        <v>1.0</v>
      </c>
      <c r="I259" s="19">
        <v>1.0</v>
      </c>
      <c r="J259" s="19">
        <v>1.0</v>
      </c>
      <c r="K259" s="19">
        <v>1.0</v>
      </c>
      <c r="L259" s="19">
        <v>0.0</v>
      </c>
      <c r="M259" s="19">
        <v>1.0</v>
      </c>
      <c r="N259" s="19">
        <v>1.0</v>
      </c>
      <c r="O259" s="19">
        <v>1.0</v>
      </c>
      <c r="P259" s="19">
        <v>1.0</v>
      </c>
      <c r="Q259" s="19">
        <v>1.0</v>
      </c>
      <c r="R259" s="19">
        <v>1.0</v>
      </c>
      <c r="S259" s="19">
        <v>1.0</v>
      </c>
      <c r="T259" s="19">
        <v>0.0</v>
      </c>
      <c r="U259" s="19">
        <v>0.0</v>
      </c>
      <c r="V259" s="19">
        <v>0.0</v>
      </c>
      <c r="W259" s="19">
        <v>0.0</v>
      </c>
      <c r="X259" s="19">
        <v>0.0</v>
      </c>
      <c r="Y259" s="18"/>
      <c r="Z259" s="18"/>
      <c r="AA259" s="20">
        <f t="shared" ref="AA259:AA263" si="89">SUM(B259:Z259)</f>
        <v>15</v>
      </c>
      <c r="AB259" s="21">
        <f t="shared" ref="AB259:AB262" si="90">AA259/(COUNT(B259:Z259)*1)</f>
        <v>0.652173913</v>
      </c>
      <c r="AC259" s="2"/>
    </row>
    <row r="260">
      <c r="A260" s="17" t="s">
        <v>40</v>
      </c>
      <c r="B260" s="19">
        <v>1.0</v>
      </c>
      <c r="C260" s="19">
        <v>0.0</v>
      </c>
      <c r="D260" s="19">
        <v>0.0</v>
      </c>
      <c r="E260" s="19">
        <v>1.0</v>
      </c>
      <c r="F260" s="19">
        <v>0.0</v>
      </c>
      <c r="G260" s="19">
        <v>0.0</v>
      </c>
      <c r="H260" s="19">
        <v>0.0</v>
      </c>
      <c r="I260" s="19">
        <v>1.0</v>
      </c>
      <c r="J260" s="19">
        <v>1.0</v>
      </c>
      <c r="K260" s="19">
        <v>1.0</v>
      </c>
      <c r="L260" s="19">
        <v>1.0</v>
      </c>
      <c r="M260" s="19">
        <v>1.0</v>
      </c>
      <c r="N260" s="19">
        <v>1.0</v>
      </c>
      <c r="O260" s="19">
        <v>1.0</v>
      </c>
      <c r="P260" s="19">
        <v>0.0</v>
      </c>
      <c r="Q260" s="19">
        <v>1.0</v>
      </c>
      <c r="R260" s="19">
        <v>1.0</v>
      </c>
      <c r="S260" s="19">
        <v>0.0</v>
      </c>
      <c r="T260" s="19">
        <v>0.0</v>
      </c>
      <c r="U260" s="19">
        <v>0.0</v>
      </c>
      <c r="V260" s="19">
        <v>0.0</v>
      </c>
      <c r="W260" s="19">
        <v>0.0</v>
      </c>
      <c r="X260" s="19">
        <v>0.0</v>
      </c>
      <c r="Y260" s="18"/>
      <c r="Z260" s="18"/>
      <c r="AA260" s="20">
        <f t="shared" si="89"/>
        <v>11</v>
      </c>
      <c r="AB260" s="21">
        <f t="shared" si="90"/>
        <v>0.4782608696</v>
      </c>
      <c r="AC260" s="2"/>
    </row>
    <row r="261">
      <c r="A261" s="17" t="s">
        <v>41</v>
      </c>
      <c r="B261" s="19">
        <v>0.0</v>
      </c>
      <c r="C261" s="19">
        <v>0.0</v>
      </c>
      <c r="D261" s="19">
        <v>0.0</v>
      </c>
      <c r="E261" s="19">
        <v>1.0</v>
      </c>
      <c r="F261" s="19">
        <v>1.0</v>
      </c>
      <c r="G261" s="19">
        <v>0.0</v>
      </c>
      <c r="H261" s="19">
        <v>0.0</v>
      </c>
      <c r="I261" s="19">
        <v>1.0</v>
      </c>
      <c r="J261" s="19">
        <v>1.0</v>
      </c>
      <c r="K261" s="19">
        <v>1.0</v>
      </c>
      <c r="L261" s="19">
        <v>1.0</v>
      </c>
      <c r="M261" s="19">
        <v>1.0</v>
      </c>
      <c r="N261" s="19">
        <v>1.0</v>
      </c>
      <c r="O261" s="19">
        <v>1.0</v>
      </c>
      <c r="P261" s="19">
        <v>0.0</v>
      </c>
      <c r="Q261" s="19">
        <v>1.0</v>
      </c>
      <c r="R261" s="19">
        <v>1.0</v>
      </c>
      <c r="S261" s="19">
        <v>0.0</v>
      </c>
      <c r="T261" s="19">
        <v>0.0</v>
      </c>
      <c r="U261" s="19">
        <v>0.0</v>
      </c>
      <c r="V261" s="19">
        <v>0.0</v>
      </c>
      <c r="W261" s="19">
        <v>0.0</v>
      </c>
      <c r="X261" s="19">
        <v>0.0</v>
      </c>
      <c r="Y261" s="18"/>
      <c r="Z261" s="18"/>
      <c r="AA261" s="20">
        <f t="shared" si="89"/>
        <v>11</v>
      </c>
      <c r="AB261" s="21">
        <f t="shared" si="90"/>
        <v>0.4782608696</v>
      </c>
      <c r="AC261" s="2"/>
    </row>
    <row r="262">
      <c r="A262" s="17" t="s">
        <v>42</v>
      </c>
      <c r="B262" s="19">
        <v>1.0</v>
      </c>
      <c r="C262" s="19">
        <v>0.0</v>
      </c>
      <c r="D262" s="19">
        <v>0.0</v>
      </c>
      <c r="E262" s="19">
        <v>0.0</v>
      </c>
      <c r="F262" s="19">
        <v>1.0</v>
      </c>
      <c r="G262" s="19">
        <v>0.0</v>
      </c>
      <c r="H262" s="19">
        <v>0.0</v>
      </c>
      <c r="I262" s="19">
        <v>1.0</v>
      </c>
      <c r="J262" s="19">
        <v>1.0</v>
      </c>
      <c r="K262" s="19">
        <v>1.0</v>
      </c>
      <c r="L262" s="19">
        <v>0.0</v>
      </c>
      <c r="M262" s="19">
        <v>1.0</v>
      </c>
      <c r="N262" s="19">
        <v>1.0</v>
      </c>
      <c r="O262" s="19">
        <v>0.0</v>
      </c>
      <c r="P262" s="19">
        <v>1.0</v>
      </c>
      <c r="Q262" s="19">
        <v>0.0</v>
      </c>
      <c r="R262" s="19">
        <v>1.0</v>
      </c>
      <c r="S262" s="19">
        <v>1.0</v>
      </c>
      <c r="T262" s="19">
        <v>0.0</v>
      </c>
      <c r="U262" s="19">
        <v>0.0</v>
      </c>
      <c r="V262" s="19">
        <v>0.0</v>
      </c>
      <c r="W262" s="19">
        <v>0.0</v>
      </c>
      <c r="X262" s="19">
        <v>0.0</v>
      </c>
      <c r="Y262" s="18"/>
      <c r="Z262" s="18"/>
      <c r="AA262" s="20">
        <f t="shared" si="89"/>
        <v>10</v>
      </c>
      <c r="AB262" s="21">
        <f t="shared" si="90"/>
        <v>0.4347826087</v>
      </c>
      <c r="AC262" s="2"/>
    </row>
    <row r="263">
      <c r="A263" s="17" t="s">
        <v>43</v>
      </c>
      <c r="B263" s="22">
        <f t="shared" ref="B263:Z263" si="91">SUM(B259:B262)</f>
        <v>3</v>
      </c>
      <c r="C263" s="22">
        <f t="shared" si="91"/>
        <v>1</v>
      </c>
      <c r="D263" s="22">
        <f t="shared" si="91"/>
        <v>1</v>
      </c>
      <c r="E263" s="22">
        <f t="shared" si="91"/>
        <v>2</v>
      </c>
      <c r="F263" s="22">
        <f t="shared" si="91"/>
        <v>3</v>
      </c>
      <c r="G263" s="22">
        <f t="shared" si="91"/>
        <v>0</v>
      </c>
      <c r="H263" s="22">
        <f t="shared" si="91"/>
        <v>1</v>
      </c>
      <c r="I263" s="22">
        <f t="shared" si="91"/>
        <v>4</v>
      </c>
      <c r="J263" s="22">
        <f t="shared" si="91"/>
        <v>4</v>
      </c>
      <c r="K263" s="22">
        <f t="shared" si="91"/>
        <v>4</v>
      </c>
      <c r="L263" s="22">
        <f t="shared" si="91"/>
        <v>2</v>
      </c>
      <c r="M263" s="22">
        <f t="shared" si="91"/>
        <v>4</v>
      </c>
      <c r="N263" s="22">
        <f t="shared" si="91"/>
        <v>4</v>
      </c>
      <c r="O263" s="22">
        <f t="shared" si="91"/>
        <v>3</v>
      </c>
      <c r="P263" s="22">
        <f t="shared" si="91"/>
        <v>2</v>
      </c>
      <c r="Q263" s="22">
        <f t="shared" si="91"/>
        <v>3</v>
      </c>
      <c r="R263" s="22">
        <f t="shared" si="91"/>
        <v>4</v>
      </c>
      <c r="S263" s="22">
        <f t="shared" si="91"/>
        <v>2</v>
      </c>
      <c r="T263" s="22">
        <f t="shared" si="91"/>
        <v>0</v>
      </c>
      <c r="U263" s="22">
        <f t="shared" si="91"/>
        <v>0</v>
      </c>
      <c r="V263" s="22">
        <f t="shared" si="91"/>
        <v>0</v>
      </c>
      <c r="W263" s="22">
        <f t="shared" si="91"/>
        <v>0</v>
      </c>
      <c r="X263" s="22">
        <f t="shared" si="91"/>
        <v>0</v>
      </c>
      <c r="Y263" s="22">
        <f t="shared" si="91"/>
        <v>0</v>
      </c>
      <c r="Z263" s="22">
        <f t="shared" si="91"/>
        <v>0</v>
      </c>
      <c r="AA263" s="20">
        <f t="shared" si="89"/>
        <v>47</v>
      </c>
      <c r="AB263" s="23"/>
      <c r="AC263" s="2"/>
    </row>
    <row r="264">
      <c r="A264" s="17" t="s">
        <v>38</v>
      </c>
      <c r="B264" s="24">
        <f t="shared" ref="B264:Z264" si="92">B263/(COUNT(B259:B262)*1)</f>
        <v>0.75</v>
      </c>
      <c r="C264" s="24">
        <f t="shared" si="92"/>
        <v>0.25</v>
      </c>
      <c r="D264" s="24">
        <f t="shared" si="92"/>
        <v>0.25</v>
      </c>
      <c r="E264" s="24">
        <f t="shared" si="92"/>
        <v>0.5</v>
      </c>
      <c r="F264" s="24">
        <f t="shared" si="92"/>
        <v>0.75</v>
      </c>
      <c r="G264" s="24">
        <f t="shared" si="92"/>
        <v>0</v>
      </c>
      <c r="H264" s="24">
        <f t="shared" si="92"/>
        <v>0.25</v>
      </c>
      <c r="I264" s="24">
        <f t="shared" si="92"/>
        <v>1</v>
      </c>
      <c r="J264" s="24">
        <f t="shared" si="92"/>
        <v>1</v>
      </c>
      <c r="K264" s="24">
        <f t="shared" si="92"/>
        <v>1</v>
      </c>
      <c r="L264" s="24">
        <f t="shared" si="92"/>
        <v>0.5</v>
      </c>
      <c r="M264" s="24">
        <f t="shared" si="92"/>
        <v>1</v>
      </c>
      <c r="N264" s="24">
        <f t="shared" si="92"/>
        <v>1</v>
      </c>
      <c r="O264" s="24">
        <f t="shared" si="92"/>
        <v>0.75</v>
      </c>
      <c r="P264" s="24">
        <f t="shared" si="92"/>
        <v>0.5</v>
      </c>
      <c r="Q264" s="24">
        <f t="shared" si="92"/>
        <v>0.75</v>
      </c>
      <c r="R264" s="24">
        <f t="shared" si="92"/>
        <v>1</v>
      </c>
      <c r="S264" s="24">
        <f t="shared" si="92"/>
        <v>0.5</v>
      </c>
      <c r="T264" s="24">
        <f t="shared" si="92"/>
        <v>0</v>
      </c>
      <c r="U264" s="24">
        <f t="shared" si="92"/>
        <v>0</v>
      </c>
      <c r="V264" s="24">
        <f t="shared" si="92"/>
        <v>0</v>
      </c>
      <c r="W264" s="24">
        <f t="shared" si="92"/>
        <v>0</v>
      </c>
      <c r="X264" s="24">
        <f t="shared" si="92"/>
        <v>0</v>
      </c>
      <c r="Y264" s="24" t="str">
        <f t="shared" si="92"/>
        <v>#DIV/0!</v>
      </c>
      <c r="Z264" s="24" t="str">
        <f t="shared" si="92"/>
        <v>#DIV/0!</v>
      </c>
      <c r="AA264" s="25"/>
      <c r="AB264" s="26">
        <f>SUM(AB259:AB262)/4</f>
        <v>0.5108695652</v>
      </c>
      <c r="AC264" s="2"/>
    </row>
    <row r="265">
      <c r="A265" s="27" t="s">
        <v>44</v>
      </c>
      <c r="B265" s="60"/>
      <c r="C265" s="61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30">
        <f t="shared" ref="AA265:AA267" si="93">SUM(B265:Z265)</f>
        <v>0</v>
      </c>
      <c r="AB265" s="31"/>
      <c r="AC265" s="2"/>
    </row>
    <row r="266">
      <c r="A266" s="32" t="s">
        <v>45</v>
      </c>
      <c r="B266" s="62"/>
      <c r="C266" s="62"/>
      <c r="D266" s="62"/>
      <c r="E266" s="128">
        <v>3.0</v>
      </c>
      <c r="F266" s="62"/>
      <c r="G266" s="128">
        <v>10.0</v>
      </c>
      <c r="H266" s="128"/>
      <c r="I266" s="62"/>
      <c r="J266" s="62"/>
      <c r="K266" s="62"/>
      <c r="L266" s="128">
        <v>5.0</v>
      </c>
      <c r="M266" s="62"/>
      <c r="N266" s="62"/>
      <c r="O266" s="62"/>
      <c r="P266" s="62"/>
      <c r="Q266" s="62"/>
      <c r="R266" s="62"/>
      <c r="S266" s="62"/>
      <c r="T266" s="128">
        <v>4.0</v>
      </c>
      <c r="U266" s="128">
        <v>2.0</v>
      </c>
      <c r="V266" s="68">
        <v>3.0</v>
      </c>
      <c r="W266" s="68">
        <v>3.0</v>
      </c>
      <c r="X266" s="68">
        <v>7.0</v>
      </c>
      <c r="Y266" s="60"/>
      <c r="Z266" s="60"/>
      <c r="AA266" s="30">
        <f t="shared" si="93"/>
        <v>37</v>
      </c>
      <c r="AB266" s="31"/>
      <c r="AC266" s="9"/>
    </row>
    <row r="267">
      <c r="A267" s="34" t="s">
        <v>46</v>
      </c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0"/>
      <c r="W267" s="60"/>
      <c r="X267" s="60"/>
      <c r="Y267" s="60"/>
      <c r="Z267" s="60"/>
      <c r="AA267" s="30">
        <f t="shared" si="93"/>
        <v>0</v>
      </c>
      <c r="AB267" s="31"/>
      <c r="AC267" s="9"/>
    </row>
    <row r="268">
      <c r="A268" s="35" t="s">
        <v>47</v>
      </c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7"/>
      <c r="AA268" s="38"/>
      <c r="AB268" s="39"/>
      <c r="AC268" s="2"/>
    </row>
    <row r="269">
      <c r="A269" s="40" t="s">
        <v>48</v>
      </c>
      <c r="B269" s="63"/>
      <c r="C269" s="64"/>
      <c r="D269" s="63"/>
      <c r="E269" s="65">
        <v>1.0</v>
      </c>
      <c r="F269" s="63"/>
      <c r="G269" s="65">
        <v>1.0</v>
      </c>
      <c r="H269" s="63"/>
      <c r="I269" s="63"/>
      <c r="J269" s="63"/>
      <c r="K269" s="63"/>
      <c r="L269" s="65">
        <v>1.0</v>
      </c>
      <c r="M269" s="63"/>
      <c r="N269" s="63"/>
      <c r="O269" s="63"/>
      <c r="P269" s="63"/>
      <c r="Q269" s="63"/>
      <c r="R269" s="63"/>
      <c r="S269" s="63"/>
      <c r="T269" s="65">
        <v>1.0</v>
      </c>
      <c r="U269" s="65">
        <v>1.0</v>
      </c>
      <c r="V269" s="69">
        <v>1.0</v>
      </c>
      <c r="W269" s="69">
        <v>1.0</v>
      </c>
      <c r="X269" s="69">
        <v>1.0</v>
      </c>
      <c r="Y269" s="66"/>
      <c r="Z269" s="66"/>
      <c r="AA269" s="44">
        <f t="shared" ref="AA269:AA270" si="94">SUM(B269:Z269)</f>
        <v>8</v>
      </c>
      <c r="AB269" s="31"/>
      <c r="AC269" s="2"/>
    </row>
    <row r="270">
      <c r="A270" s="40" t="s">
        <v>49</v>
      </c>
      <c r="B270" s="63"/>
      <c r="C270" s="64"/>
      <c r="D270" s="63"/>
      <c r="E270" s="65">
        <v>15.0</v>
      </c>
      <c r="F270" s="63"/>
      <c r="G270" s="65">
        <v>20.0</v>
      </c>
      <c r="H270" s="63"/>
      <c r="I270" s="63"/>
      <c r="J270" s="63"/>
      <c r="K270" s="63"/>
      <c r="L270" s="65">
        <v>5.0</v>
      </c>
      <c r="M270" s="63"/>
      <c r="N270" s="63"/>
      <c r="O270" s="63"/>
      <c r="P270" s="63"/>
      <c r="Q270" s="63"/>
      <c r="R270" s="63"/>
      <c r="S270" s="63"/>
      <c r="T270" s="65">
        <v>20.0</v>
      </c>
      <c r="U270" s="65">
        <v>20.0</v>
      </c>
      <c r="V270" s="69">
        <v>20.0</v>
      </c>
      <c r="W270" s="69">
        <v>10.0</v>
      </c>
      <c r="X270" s="69">
        <v>10.0</v>
      </c>
      <c r="Y270" s="66"/>
      <c r="Z270" s="66"/>
      <c r="AA270" s="44">
        <f t="shared" si="94"/>
        <v>120</v>
      </c>
      <c r="AB270" s="31"/>
      <c r="AC270" s="2"/>
    </row>
    <row r="271">
      <c r="A271" s="40" t="s">
        <v>50</v>
      </c>
      <c r="B271" s="64"/>
      <c r="C271" s="64"/>
      <c r="D271" s="63"/>
      <c r="E271" s="65">
        <v>2.0</v>
      </c>
      <c r="F271" s="63"/>
      <c r="G271" s="65">
        <v>2.0</v>
      </c>
      <c r="H271" s="63"/>
      <c r="I271" s="63"/>
      <c r="J271" s="63"/>
      <c r="K271" s="63"/>
      <c r="L271" s="65">
        <v>2.0</v>
      </c>
      <c r="M271" s="63"/>
      <c r="N271" s="63"/>
      <c r="O271" s="63"/>
      <c r="P271" s="63"/>
      <c r="Q271" s="63"/>
      <c r="R271" s="63"/>
      <c r="S271" s="63"/>
      <c r="T271" s="65">
        <v>2.0</v>
      </c>
      <c r="U271" s="65">
        <v>2.0</v>
      </c>
      <c r="V271" s="69">
        <v>2.0</v>
      </c>
      <c r="W271" s="69">
        <v>2.0</v>
      </c>
      <c r="X271" s="69">
        <v>2.0</v>
      </c>
      <c r="Y271" s="66"/>
      <c r="Z271" s="66"/>
      <c r="AA271" s="44">
        <f>AVERAGE(B271:Z271)</f>
        <v>2</v>
      </c>
      <c r="AB271" s="31"/>
      <c r="AC271" s="2"/>
    </row>
    <row r="272">
      <c r="A272" s="45" t="s">
        <v>51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7"/>
      <c r="AA272" s="46"/>
      <c r="AB272" s="39"/>
      <c r="AC272" s="2"/>
    </row>
    <row r="273">
      <c r="A273" s="47" t="s">
        <v>48</v>
      </c>
      <c r="B273" s="48"/>
      <c r="C273" s="49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50"/>
      <c r="W273" s="50"/>
      <c r="X273" s="50"/>
      <c r="Y273" s="50"/>
      <c r="Z273" s="50"/>
      <c r="AA273" s="51">
        <f t="shared" ref="AA273:AA274" si="95">SUM(B273:Z273)</f>
        <v>0</v>
      </c>
      <c r="AB273" s="31"/>
      <c r="AC273" s="2"/>
    </row>
    <row r="274">
      <c r="A274" s="47" t="s">
        <v>49</v>
      </c>
      <c r="B274" s="48"/>
      <c r="C274" s="49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50"/>
      <c r="W274" s="50"/>
      <c r="X274" s="50"/>
      <c r="Y274" s="50"/>
      <c r="Z274" s="50"/>
      <c r="AA274" s="51">
        <f t="shared" si="95"/>
        <v>0</v>
      </c>
      <c r="AB274" s="31"/>
      <c r="AC274" s="2"/>
    </row>
    <row r="275">
      <c r="A275" s="47" t="s">
        <v>50</v>
      </c>
      <c r="B275" s="49"/>
      <c r="C275" s="49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50"/>
      <c r="W275" s="50"/>
      <c r="X275" s="50"/>
      <c r="Y275" s="50"/>
      <c r="Z275" s="50"/>
      <c r="AA275" s="51" t="str">
        <f>AVERAGE(B275:Z275)</f>
        <v>#DIV/0!</v>
      </c>
      <c r="AB275" s="31"/>
      <c r="AC275" s="2"/>
    </row>
    <row r="276">
      <c r="A276" s="52" t="s">
        <v>53</v>
      </c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7"/>
      <c r="AA276" s="38"/>
      <c r="AB276" s="39"/>
      <c r="AC276" s="2"/>
    </row>
    <row r="277">
      <c r="A277" s="40" t="s">
        <v>48</v>
      </c>
      <c r="B277" s="41"/>
      <c r="C277" s="42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3"/>
      <c r="W277" s="43"/>
      <c r="X277" s="43"/>
      <c r="Y277" s="43"/>
      <c r="Z277" s="43"/>
      <c r="AA277" s="44">
        <f t="shared" ref="AA277:AA278" si="96">SUM(B277:Z277)</f>
        <v>0</v>
      </c>
      <c r="AB277" s="31"/>
      <c r="AC277" s="2"/>
    </row>
    <row r="278">
      <c r="A278" s="40" t="s">
        <v>49</v>
      </c>
      <c r="B278" s="41"/>
      <c r="C278" s="42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3"/>
      <c r="W278" s="43"/>
      <c r="X278" s="43"/>
      <c r="Y278" s="43"/>
      <c r="Z278" s="43"/>
      <c r="AA278" s="44">
        <f t="shared" si="96"/>
        <v>0</v>
      </c>
      <c r="AB278" s="31"/>
      <c r="AC278" s="2"/>
    </row>
    <row r="279">
      <c r="A279" s="53" t="s">
        <v>50</v>
      </c>
      <c r="B279" s="54"/>
      <c r="C279" s="54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6"/>
      <c r="W279" s="56"/>
      <c r="X279" s="56"/>
      <c r="Y279" s="56"/>
      <c r="Z279" s="56"/>
      <c r="AA279" s="57" t="str">
        <f>AVERAGE(B279:Z279)</f>
        <v>#DIV/0!</v>
      </c>
      <c r="AB279" s="58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59"/>
      <c r="AB280" s="59"/>
      <c r="AC280" s="2"/>
    </row>
    <row r="281">
      <c r="A281" s="13">
        <v>46073.0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5" t="s">
        <v>37</v>
      </c>
      <c r="AB281" s="16" t="s">
        <v>38</v>
      </c>
      <c r="AC281" s="2"/>
    </row>
    <row r="282">
      <c r="A282" s="17" t="s">
        <v>39</v>
      </c>
      <c r="B282" s="19">
        <v>1.0</v>
      </c>
      <c r="C282" s="19">
        <v>1.0</v>
      </c>
      <c r="D282" s="19">
        <v>1.0</v>
      </c>
      <c r="E282" s="19">
        <v>1.0</v>
      </c>
      <c r="F282" s="19">
        <v>1.0</v>
      </c>
      <c r="G282" s="19">
        <v>1.0</v>
      </c>
      <c r="H282" s="19">
        <v>1.0</v>
      </c>
      <c r="I282" s="19">
        <v>1.0</v>
      </c>
      <c r="J282" s="19">
        <v>1.0</v>
      </c>
      <c r="K282" s="19">
        <v>1.0</v>
      </c>
      <c r="L282" s="19">
        <v>0.0</v>
      </c>
      <c r="M282" s="19">
        <v>0.0</v>
      </c>
      <c r="N282" s="19">
        <v>0.0</v>
      </c>
      <c r="O282" s="19">
        <v>1.0</v>
      </c>
      <c r="P282" s="19">
        <v>1.0</v>
      </c>
      <c r="Q282" s="19">
        <v>1.0</v>
      </c>
      <c r="R282" s="19">
        <v>0.0</v>
      </c>
      <c r="S282" s="19">
        <v>0.0</v>
      </c>
      <c r="T282" s="19">
        <v>1.0</v>
      </c>
      <c r="U282" s="19">
        <v>1.0</v>
      </c>
      <c r="V282" s="19">
        <v>1.0</v>
      </c>
      <c r="W282" s="19">
        <v>1.0</v>
      </c>
      <c r="X282" s="19">
        <v>1.0</v>
      </c>
      <c r="Y282" s="18"/>
      <c r="Z282" s="18"/>
      <c r="AA282" s="20">
        <f t="shared" ref="AA282:AA286" si="97">SUM(B282:Z282)</f>
        <v>18</v>
      </c>
      <c r="AB282" s="21">
        <f t="shared" ref="AB282:AB285" si="98">AA282/(COUNT(B282:Z282)*1)</f>
        <v>0.7826086957</v>
      </c>
      <c r="AC282" s="2"/>
    </row>
    <row r="283">
      <c r="A283" s="17" t="s">
        <v>40</v>
      </c>
      <c r="B283" s="19">
        <v>1.0</v>
      </c>
      <c r="C283" s="19">
        <v>1.0</v>
      </c>
      <c r="D283" s="19">
        <v>1.0</v>
      </c>
      <c r="E283" s="19">
        <v>1.0</v>
      </c>
      <c r="F283" s="19">
        <v>1.0</v>
      </c>
      <c r="G283" s="19">
        <v>1.0</v>
      </c>
      <c r="H283" s="19">
        <v>1.0</v>
      </c>
      <c r="I283" s="19">
        <v>1.0</v>
      </c>
      <c r="J283" s="19">
        <v>1.0</v>
      </c>
      <c r="K283" s="19">
        <v>1.0</v>
      </c>
      <c r="L283" s="19">
        <v>1.0</v>
      </c>
      <c r="M283" s="19">
        <v>1.0</v>
      </c>
      <c r="N283" s="19">
        <v>1.0</v>
      </c>
      <c r="O283" s="19">
        <v>1.0</v>
      </c>
      <c r="P283" s="19">
        <v>1.0</v>
      </c>
      <c r="Q283" s="19">
        <v>1.0</v>
      </c>
      <c r="R283" s="19">
        <v>0.0</v>
      </c>
      <c r="S283" s="19">
        <v>0.0</v>
      </c>
      <c r="T283" s="19">
        <v>1.0</v>
      </c>
      <c r="U283" s="19">
        <v>1.0</v>
      </c>
      <c r="V283" s="19">
        <v>0.0</v>
      </c>
      <c r="W283" s="19">
        <v>1.0</v>
      </c>
      <c r="X283" s="19">
        <v>1.0</v>
      </c>
      <c r="Y283" s="18"/>
      <c r="Z283" s="18"/>
      <c r="AA283" s="20">
        <f t="shared" si="97"/>
        <v>20</v>
      </c>
      <c r="AB283" s="21">
        <f t="shared" si="98"/>
        <v>0.8695652174</v>
      </c>
      <c r="AC283" s="2"/>
    </row>
    <row r="284">
      <c r="A284" s="17" t="s">
        <v>41</v>
      </c>
      <c r="B284" s="19">
        <v>1.0</v>
      </c>
      <c r="C284" s="19">
        <v>1.0</v>
      </c>
      <c r="D284" s="19">
        <v>1.0</v>
      </c>
      <c r="E284" s="19">
        <v>1.0</v>
      </c>
      <c r="F284" s="19">
        <v>1.0</v>
      </c>
      <c r="G284" s="19">
        <v>1.0</v>
      </c>
      <c r="H284" s="19">
        <v>1.0</v>
      </c>
      <c r="I284" s="19">
        <v>1.0</v>
      </c>
      <c r="J284" s="19">
        <v>1.0</v>
      </c>
      <c r="K284" s="19">
        <v>1.0</v>
      </c>
      <c r="L284" s="19">
        <v>1.0</v>
      </c>
      <c r="M284" s="19">
        <v>1.0</v>
      </c>
      <c r="N284" s="19">
        <v>0.0</v>
      </c>
      <c r="O284" s="19">
        <v>1.0</v>
      </c>
      <c r="P284" s="19">
        <v>1.0</v>
      </c>
      <c r="Q284" s="19">
        <v>1.0</v>
      </c>
      <c r="R284" s="19">
        <v>0.0</v>
      </c>
      <c r="S284" s="19">
        <v>0.0</v>
      </c>
      <c r="T284" s="19">
        <v>1.0</v>
      </c>
      <c r="U284" s="19">
        <v>1.0</v>
      </c>
      <c r="V284" s="19">
        <v>1.0</v>
      </c>
      <c r="W284" s="19">
        <v>1.0</v>
      </c>
      <c r="X284" s="19">
        <v>1.0</v>
      </c>
      <c r="Y284" s="18"/>
      <c r="Z284" s="18"/>
      <c r="AA284" s="20">
        <f t="shared" si="97"/>
        <v>20</v>
      </c>
      <c r="AB284" s="21">
        <f t="shared" si="98"/>
        <v>0.8695652174</v>
      </c>
      <c r="AC284" s="2"/>
    </row>
    <row r="285">
      <c r="A285" s="17" t="s">
        <v>42</v>
      </c>
      <c r="B285" s="19">
        <v>1.0</v>
      </c>
      <c r="C285" s="19">
        <v>0.0</v>
      </c>
      <c r="D285" s="19">
        <v>1.0</v>
      </c>
      <c r="E285" s="19">
        <v>1.0</v>
      </c>
      <c r="F285" s="19">
        <v>1.0</v>
      </c>
      <c r="G285" s="19">
        <v>1.0</v>
      </c>
      <c r="H285" s="19">
        <v>0.0</v>
      </c>
      <c r="I285" s="19">
        <v>1.0</v>
      </c>
      <c r="J285" s="19">
        <v>1.0</v>
      </c>
      <c r="K285" s="19">
        <v>1.0</v>
      </c>
      <c r="L285" s="19">
        <v>0.0</v>
      </c>
      <c r="M285" s="19">
        <v>0.0</v>
      </c>
      <c r="N285" s="19">
        <v>0.0</v>
      </c>
      <c r="O285" s="19">
        <v>0.0</v>
      </c>
      <c r="P285" s="19">
        <v>1.0</v>
      </c>
      <c r="Q285" s="19">
        <v>1.0</v>
      </c>
      <c r="R285" s="19">
        <v>0.0</v>
      </c>
      <c r="S285" s="19">
        <v>0.0</v>
      </c>
      <c r="T285" s="19">
        <v>1.0</v>
      </c>
      <c r="U285" s="19">
        <v>1.0</v>
      </c>
      <c r="V285" s="19">
        <v>1.0</v>
      </c>
      <c r="W285" s="19">
        <v>0.0</v>
      </c>
      <c r="X285" s="19">
        <v>0.0</v>
      </c>
      <c r="Y285" s="18"/>
      <c r="Z285" s="18"/>
      <c r="AA285" s="20">
        <f t="shared" si="97"/>
        <v>13</v>
      </c>
      <c r="AB285" s="21">
        <f t="shared" si="98"/>
        <v>0.5652173913</v>
      </c>
      <c r="AC285" s="2"/>
    </row>
    <row r="286">
      <c r="A286" s="17" t="s">
        <v>43</v>
      </c>
      <c r="B286" s="22">
        <f t="shared" ref="B286:Z286" si="99">SUM(B282:B285)</f>
        <v>4</v>
      </c>
      <c r="C286" s="22">
        <f t="shared" si="99"/>
        <v>3</v>
      </c>
      <c r="D286" s="22">
        <f t="shared" si="99"/>
        <v>4</v>
      </c>
      <c r="E286" s="22">
        <f t="shared" si="99"/>
        <v>4</v>
      </c>
      <c r="F286" s="22">
        <f t="shared" si="99"/>
        <v>4</v>
      </c>
      <c r="G286" s="22">
        <f t="shared" si="99"/>
        <v>4</v>
      </c>
      <c r="H286" s="22">
        <f t="shared" si="99"/>
        <v>3</v>
      </c>
      <c r="I286" s="22">
        <f t="shared" si="99"/>
        <v>4</v>
      </c>
      <c r="J286" s="22">
        <f t="shared" si="99"/>
        <v>4</v>
      </c>
      <c r="K286" s="22">
        <f t="shared" si="99"/>
        <v>4</v>
      </c>
      <c r="L286" s="22">
        <f t="shared" si="99"/>
        <v>2</v>
      </c>
      <c r="M286" s="22">
        <f t="shared" si="99"/>
        <v>2</v>
      </c>
      <c r="N286" s="22">
        <f t="shared" si="99"/>
        <v>1</v>
      </c>
      <c r="O286" s="22">
        <f t="shared" si="99"/>
        <v>3</v>
      </c>
      <c r="P286" s="22">
        <f t="shared" si="99"/>
        <v>4</v>
      </c>
      <c r="Q286" s="22">
        <f t="shared" si="99"/>
        <v>4</v>
      </c>
      <c r="R286" s="22">
        <f t="shared" si="99"/>
        <v>0</v>
      </c>
      <c r="S286" s="22">
        <f t="shared" si="99"/>
        <v>0</v>
      </c>
      <c r="T286" s="22">
        <f t="shared" si="99"/>
        <v>4</v>
      </c>
      <c r="U286" s="22">
        <f t="shared" si="99"/>
        <v>4</v>
      </c>
      <c r="V286" s="22">
        <f t="shared" si="99"/>
        <v>3</v>
      </c>
      <c r="W286" s="22">
        <f t="shared" si="99"/>
        <v>3</v>
      </c>
      <c r="X286" s="22">
        <f t="shared" si="99"/>
        <v>3</v>
      </c>
      <c r="Y286" s="22">
        <f t="shared" si="99"/>
        <v>0</v>
      </c>
      <c r="Z286" s="22">
        <f t="shared" si="99"/>
        <v>0</v>
      </c>
      <c r="AA286" s="20">
        <f t="shared" si="97"/>
        <v>71</v>
      </c>
      <c r="AB286" s="23"/>
      <c r="AC286" s="2"/>
    </row>
    <row r="287">
      <c r="A287" s="17" t="s">
        <v>38</v>
      </c>
      <c r="B287" s="24">
        <f t="shared" ref="B287:Z287" si="100">B286/(COUNT(B282:B285)*1)</f>
        <v>1</v>
      </c>
      <c r="C287" s="24">
        <f t="shared" si="100"/>
        <v>0.75</v>
      </c>
      <c r="D287" s="24">
        <f t="shared" si="100"/>
        <v>1</v>
      </c>
      <c r="E287" s="24">
        <f t="shared" si="100"/>
        <v>1</v>
      </c>
      <c r="F287" s="24">
        <f t="shared" si="100"/>
        <v>1</v>
      </c>
      <c r="G287" s="24">
        <f t="shared" si="100"/>
        <v>1</v>
      </c>
      <c r="H287" s="24">
        <f t="shared" si="100"/>
        <v>0.75</v>
      </c>
      <c r="I287" s="24">
        <f t="shared" si="100"/>
        <v>1</v>
      </c>
      <c r="J287" s="24">
        <f t="shared" si="100"/>
        <v>1</v>
      </c>
      <c r="K287" s="24">
        <f t="shared" si="100"/>
        <v>1</v>
      </c>
      <c r="L287" s="24">
        <f t="shared" si="100"/>
        <v>0.5</v>
      </c>
      <c r="M287" s="24">
        <f t="shared" si="100"/>
        <v>0.5</v>
      </c>
      <c r="N287" s="24">
        <f t="shared" si="100"/>
        <v>0.25</v>
      </c>
      <c r="O287" s="24">
        <f t="shared" si="100"/>
        <v>0.75</v>
      </c>
      <c r="P287" s="24">
        <f t="shared" si="100"/>
        <v>1</v>
      </c>
      <c r="Q287" s="24">
        <f t="shared" si="100"/>
        <v>1</v>
      </c>
      <c r="R287" s="24">
        <f t="shared" si="100"/>
        <v>0</v>
      </c>
      <c r="S287" s="24">
        <f t="shared" si="100"/>
        <v>0</v>
      </c>
      <c r="T287" s="24">
        <f t="shared" si="100"/>
        <v>1</v>
      </c>
      <c r="U287" s="24">
        <f t="shared" si="100"/>
        <v>1</v>
      </c>
      <c r="V287" s="24">
        <f t="shared" si="100"/>
        <v>0.75</v>
      </c>
      <c r="W287" s="24">
        <f t="shared" si="100"/>
        <v>0.75</v>
      </c>
      <c r="X287" s="24">
        <f t="shared" si="100"/>
        <v>0.75</v>
      </c>
      <c r="Y287" s="24" t="str">
        <f t="shared" si="100"/>
        <v>#DIV/0!</v>
      </c>
      <c r="Z287" s="24" t="str">
        <f t="shared" si="100"/>
        <v>#DIV/0!</v>
      </c>
      <c r="AA287" s="25"/>
      <c r="AB287" s="26">
        <f>SUM(AB282:AB285)/4</f>
        <v>0.7717391304</v>
      </c>
      <c r="AC287" s="2"/>
    </row>
    <row r="288">
      <c r="A288" s="27" t="s">
        <v>44</v>
      </c>
      <c r="B288" s="60"/>
      <c r="C288" s="61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30">
        <f t="shared" ref="AA288:AA290" si="101">SUM(B288:Z288)</f>
        <v>0</v>
      </c>
      <c r="AB288" s="31"/>
      <c r="AC288" s="2"/>
    </row>
    <row r="289">
      <c r="A289" s="32" t="s">
        <v>45</v>
      </c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0"/>
      <c r="W289" s="60"/>
      <c r="X289" s="60"/>
      <c r="Y289" s="60"/>
      <c r="Z289" s="60"/>
      <c r="AA289" s="30">
        <f t="shared" si="101"/>
        <v>0</v>
      </c>
      <c r="AB289" s="31"/>
      <c r="AC289" s="9"/>
    </row>
    <row r="290">
      <c r="A290" s="34" t="s">
        <v>46</v>
      </c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0"/>
      <c r="W290" s="60"/>
      <c r="X290" s="60"/>
      <c r="Y290" s="60"/>
      <c r="Z290" s="60"/>
      <c r="AA290" s="30">
        <f t="shared" si="101"/>
        <v>0</v>
      </c>
      <c r="AB290" s="31"/>
      <c r="AC290" s="9"/>
    </row>
    <row r="291">
      <c r="A291" s="35" t="s">
        <v>47</v>
      </c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7"/>
      <c r="AA291" s="38"/>
      <c r="AB291" s="39"/>
      <c r="AC291" s="2"/>
    </row>
    <row r="292">
      <c r="A292" s="40" t="s">
        <v>48</v>
      </c>
      <c r="B292" s="63"/>
      <c r="C292" s="64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6"/>
      <c r="W292" s="66"/>
      <c r="X292" s="66"/>
      <c r="Y292" s="66"/>
      <c r="Z292" s="66"/>
      <c r="AA292" s="44">
        <f t="shared" ref="AA292:AA293" si="102">SUM(B292:Z292)</f>
        <v>0</v>
      </c>
      <c r="AB292" s="31"/>
      <c r="AC292" s="2"/>
    </row>
    <row r="293">
      <c r="A293" s="40" t="s">
        <v>49</v>
      </c>
      <c r="B293" s="63"/>
      <c r="C293" s="64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6"/>
      <c r="W293" s="66"/>
      <c r="X293" s="66"/>
      <c r="Y293" s="66"/>
      <c r="Z293" s="66"/>
      <c r="AA293" s="44">
        <f t="shared" si="102"/>
        <v>0</v>
      </c>
      <c r="AB293" s="31"/>
      <c r="AC293" s="2"/>
    </row>
    <row r="294">
      <c r="A294" s="40" t="s">
        <v>50</v>
      </c>
      <c r="B294" s="64"/>
      <c r="C294" s="64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6"/>
      <c r="W294" s="66"/>
      <c r="X294" s="66"/>
      <c r="Y294" s="66"/>
      <c r="Z294" s="66"/>
      <c r="AA294" s="44" t="str">
        <f>AVERAGE(B294:Z294)</f>
        <v>#DIV/0!</v>
      </c>
      <c r="AB294" s="31"/>
      <c r="AC294" s="2"/>
    </row>
    <row r="295">
      <c r="A295" s="45" t="s">
        <v>51</v>
      </c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7"/>
      <c r="AA295" s="46"/>
      <c r="AB295" s="39"/>
      <c r="AC295" s="2"/>
    </row>
    <row r="296">
      <c r="A296" s="47" t="s">
        <v>48</v>
      </c>
      <c r="B296" s="48"/>
      <c r="C296" s="49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50"/>
      <c r="W296" s="50"/>
      <c r="X296" s="50"/>
      <c r="Y296" s="50"/>
      <c r="Z296" s="50"/>
      <c r="AA296" s="51">
        <f t="shared" ref="AA296:AA297" si="103">SUM(B296:Z296)</f>
        <v>0</v>
      </c>
      <c r="AB296" s="31"/>
      <c r="AC296" s="2"/>
    </row>
    <row r="297">
      <c r="A297" s="47" t="s">
        <v>49</v>
      </c>
      <c r="B297" s="48"/>
      <c r="C297" s="49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50"/>
      <c r="W297" s="50"/>
      <c r="X297" s="50"/>
      <c r="Y297" s="50"/>
      <c r="Z297" s="50"/>
      <c r="AA297" s="51">
        <f t="shared" si="103"/>
        <v>0</v>
      </c>
      <c r="AB297" s="31"/>
      <c r="AC297" s="2"/>
    </row>
    <row r="298">
      <c r="A298" s="47" t="s">
        <v>50</v>
      </c>
      <c r="B298" s="49"/>
      <c r="C298" s="49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50"/>
      <c r="W298" s="50"/>
      <c r="X298" s="50"/>
      <c r="Y298" s="50"/>
      <c r="Z298" s="50"/>
      <c r="AA298" s="51" t="str">
        <f>AVERAGE(B298:Z298)</f>
        <v>#DIV/0!</v>
      </c>
      <c r="AB298" s="31"/>
      <c r="AC298" s="2"/>
    </row>
    <row r="299">
      <c r="A299" s="52" t="s">
        <v>53</v>
      </c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7"/>
      <c r="AA299" s="38"/>
      <c r="AB299" s="39"/>
      <c r="AC299" s="2"/>
    </row>
    <row r="300">
      <c r="A300" s="40" t="s">
        <v>48</v>
      </c>
      <c r="B300" s="41"/>
      <c r="C300" s="42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3"/>
      <c r="W300" s="43"/>
      <c r="X300" s="43"/>
      <c r="Y300" s="43"/>
      <c r="Z300" s="43"/>
      <c r="AA300" s="44">
        <f t="shared" ref="AA300:AA301" si="104">SUM(B300:Z300)</f>
        <v>0</v>
      </c>
      <c r="AB300" s="31"/>
      <c r="AC300" s="2"/>
    </row>
    <row r="301">
      <c r="A301" s="40" t="s">
        <v>49</v>
      </c>
      <c r="B301" s="41"/>
      <c r="C301" s="42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3"/>
      <c r="W301" s="43"/>
      <c r="X301" s="43"/>
      <c r="Y301" s="43"/>
      <c r="Z301" s="43"/>
      <c r="AA301" s="44">
        <f t="shared" si="104"/>
        <v>0</v>
      </c>
      <c r="AB301" s="31"/>
      <c r="AC301" s="2"/>
    </row>
    <row r="302">
      <c r="A302" s="53" t="s">
        <v>50</v>
      </c>
      <c r="B302" s="54"/>
      <c r="C302" s="54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6"/>
      <c r="W302" s="56"/>
      <c r="X302" s="56"/>
      <c r="Y302" s="56"/>
      <c r="Z302" s="56"/>
      <c r="AA302" s="57" t="str">
        <f>AVERAGE(B302:Z302)</f>
        <v>#DIV/0!</v>
      </c>
      <c r="AB302" s="58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59"/>
      <c r="AB303" s="59"/>
      <c r="AC303" s="2"/>
    </row>
    <row r="304">
      <c r="A304" s="13">
        <v>46076.0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5" t="s">
        <v>37</v>
      </c>
      <c r="AB304" s="16" t="s">
        <v>38</v>
      </c>
      <c r="AC304" s="2"/>
    </row>
    <row r="305">
      <c r="A305" s="17" t="s">
        <v>39</v>
      </c>
      <c r="B305" s="19">
        <v>1.0</v>
      </c>
      <c r="C305" s="19">
        <v>1.0</v>
      </c>
      <c r="D305" s="19">
        <v>1.0</v>
      </c>
      <c r="E305" s="19">
        <v>0.0</v>
      </c>
      <c r="F305" s="19">
        <v>0.0</v>
      </c>
      <c r="G305" s="19">
        <v>1.0</v>
      </c>
      <c r="H305" s="19">
        <v>1.0</v>
      </c>
      <c r="I305" s="19">
        <v>0.0</v>
      </c>
      <c r="J305" s="19">
        <v>1.0</v>
      </c>
      <c r="K305" s="19">
        <v>1.0</v>
      </c>
      <c r="L305" s="19">
        <v>1.0</v>
      </c>
      <c r="M305" s="19">
        <v>1.0</v>
      </c>
      <c r="N305" s="19">
        <v>1.0</v>
      </c>
      <c r="O305" s="19">
        <v>1.0</v>
      </c>
      <c r="P305" s="19">
        <v>1.0</v>
      </c>
      <c r="Q305" s="19">
        <v>1.0</v>
      </c>
      <c r="R305" s="19">
        <v>1.0</v>
      </c>
      <c r="S305" s="19">
        <v>1.0</v>
      </c>
      <c r="T305" s="19">
        <v>1.0</v>
      </c>
      <c r="U305" s="19">
        <v>1.0</v>
      </c>
      <c r="V305" s="19">
        <v>1.0</v>
      </c>
      <c r="W305" s="19">
        <v>0.0</v>
      </c>
      <c r="X305" s="19">
        <v>0.0</v>
      </c>
      <c r="Y305" s="18"/>
      <c r="Z305" s="18"/>
      <c r="AA305" s="20">
        <f t="shared" ref="AA305:AA309" si="105">SUM(B305:Z305)</f>
        <v>18</v>
      </c>
      <c r="AB305" s="21">
        <f t="shared" ref="AB305:AB308" si="106">AA305/(COUNT(B305:Z305)*1)</f>
        <v>0.7826086957</v>
      </c>
      <c r="AC305" s="2"/>
    </row>
    <row r="306">
      <c r="A306" s="17" t="s">
        <v>40</v>
      </c>
      <c r="B306" s="19">
        <v>1.0</v>
      </c>
      <c r="C306" s="19">
        <v>0.0</v>
      </c>
      <c r="D306" s="19">
        <v>0.0</v>
      </c>
      <c r="E306" s="19">
        <v>0.0</v>
      </c>
      <c r="F306" s="19">
        <v>1.0</v>
      </c>
      <c r="G306" s="19">
        <v>1.0</v>
      </c>
      <c r="H306" s="19">
        <v>0.0</v>
      </c>
      <c r="I306" s="19">
        <v>1.0</v>
      </c>
      <c r="J306" s="19">
        <v>1.0</v>
      </c>
      <c r="K306" s="19">
        <v>1.0</v>
      </c>
      <c r="L306" s="19">
        <v>1.0</v>
      </c>
      <c r="M306" s="19">
        <v>1.0</v>
      </c>
      <c r="N306" s="19">
        <v>1.0</v>
      </c>
      <c r="O306" s="19">
        <v>1.0</v>
      </c>
      <c r="P306" s="19">
        <v>0.0</v>
      </c>
      <c r="Q306" s="19">
        <v>1.0</v>
      </c>
      <c r="R306" s="19">
        <v>1.0</v>
      </c>
      <c r="S306" s="19">
        <v>1.0</v>
      </c>
      <c r="T306" s="19">
        <v>1.0</v>
      </c>
      <c r="U306" s="19">
        <v>1.0</v>
      </c>
      <c r="V306" s="19">
        <v>0.0</v>
      </c>
      <c r="W306" s="19">
        <v>1.0</v>
      </c>
      <c r="X306" s="19">
        <v>1.0</v>
      </c>
      <c r="Y306" s="18"/>
      <c r="Z306" s="18"/>
      <c r="AA306" s="20">
        <f t="shared" si="105"/>
        <v>17</v>
      </c>
      <c r="AB306" s="21">
        <f t="shared" si="106"/>
        <v>0.7391304348</v>
      </c>
      <c r="AC306" s="2"/>
    </row>
    <row r="307">
      <c r="A307" s="17" t="s">
        <v>41</v>
      </c>
      <c r="B307" s="19">
        <v>1.0</v>
      </c>
      <c r="C307" s="19">
        <v>0.0</v>
      </c>
      <c r="D307" s="19">
        <v>0.0</v>
      </c>
      <c r="E307" s="19">
        <v>0.0</v>
      </c>
      <c r="F307" s="19">
        <v>1.0</v>
      </c>
      <c r="G307" s="19">
        <v>0.0</v>
      </c>
      <c r="H307" s="19">
        <v>1.0</v>
      </c>
      <c r="I307" s="19">
        <v>1.0</v>
      </c>
      <c r="J307" s="19">
        <v>1.0</v>
      </c>
      <c r="K307" s="19">
        <v>0.0</v>
      </c>
      <c r="L307" s="19">
        <v>0.0</v>
      </c>
      <c r="M307" s="19">
        <v>0.0</v>
      </c>
      <c r="N307" s="19">
        <v>0.0</v>
      </c>
      <c r="O307" s="19">
        <v>1.0</v>
      </c>
      <c r="P307" s="19">
        <v>1.0</v>
      </c>
      <c r="Q307" s="19">
        <v>1.0</v>
      </c>
      <c r="R307" s="19">
        <v>1.0</v>
      </c>
      <c r="S307" s="19">
        <v>1.0</v>
      </c>
      <c r="T307" s="19">
        <v>1.0</v>
      </c>
      <c r="U307" s="19">
        <v>1.0</v>
      </c>
      <c r="V307" s="19">
        <v>0.0</v>
      </c>
      <c r="W307" s="19">
        <v>0.0</v>
      </c>
      <c r="X307" s="19">
        <v>0.0</v>
      </c>
      <c r="Y307" s="18"/>
      <c r="Z307" s="18"/>
      <c r="AA307" s="20">
        <f t="shared" si="105"/>
        <v>12</v>
      </c>
      <c r="AB307" s="21">
        <f t="shared" si="106"/>
        <v>0.5217391304</v>
      </c>
      <c r="AC307" s="2"/>
    </row>
    <row r="308">
      <c r="A308" s="17" t="s">
        <v>42</v>
      </c>
      <c r="B308" s="19">
        <v>1.0</v>
      </c>
      <c r="C308" s="19">
        <v>0.0</v>
      </c>
      <c r="D308" s="19">
        <v>0.0</v>
      </c>
      <c r="E308" s="19">
        <v>0.0</v>
      </c>
      <c r="F308" s="19">
        <v>1.0</v>
      </c>
      <c r="G308" s="19">
        <v>0.0</v>
      </c>
      <c r="H308" s="19">
        <v>0.0</v>
      </c>
      <c r="I308" s="19">
        <v>0.0</v>
      </c>
      <c r="J308" s="19">
        <v>0.0</v>
      </c>
      <c r="K308" s="19">
        <v>0.0</v>
      </c>
      <c r="L308" s="19">
        <v>0.0</v>
      </c>
      <c r="M308" s="19">
        <v>0.0</v>
      </c>
      <c r="N308" s="19">
        <v>0.0</v>
      </c>
      <c r="O308" s="19">
        <v>0.0</v>
      </c>
      <c r="P308" s="19">
        <v>0.0</v>
      </c>
      <c r="Q308" s="19">
        <v>0.0</v>
      </c>
      <c r="R308" s="19">
        <v>1.0</v>
      </c>
      <c r="S308" s="19">
        <v>0.0</v>
      </c>
      <c r="T308" s="19">
        <v>0.0</v>
      </c>
      <c r="U308" s="19">
        <v>0.0</v>
      </c>
      <c r="V308" s="19">
        <v>0.0</v>
      </c>
      <c r="W308" s="19">
        <v>1.0</v>
      </c>
      <c r="X308" s="19">
        <v>1.0</v>
      </c>
      <c r="Y308" s="18"/>
      <c r="Z308" s="18"/>
      <c r="AA308" s="20">
        <f t="shared" si="105"/>
        <v>5</v>
      </c>
      <c r="AB308" s="21">
        <f t="shared" si="106"/>
        <v>0.2173913043</v>
      </c>
      <c r="AC308" s="2"/>
    </row>
    <row r="309">
      <c r="A309" s="17" t="s">
        <v>43</v>
      </c>
      <c r="B309" s="22">
        <f t="shared" ref="B309:Z309" si="107">SUM(B305:B308)</f>
        <v>4</v>
      </c>
      <c r="C309" s="22">
        <f t="shared" si="107"/>
        <v>1</v>
      </c>
      <c r="D309" s="22">
        <f t="shared" si="107"/>
        <v>1</v>
      </c>
      <c r="E309" s="22">
        <f t="shared" si="107"/>
        <v>0</v>
      </c>
      <c r="F309" s="22">
        <f t="shared" si="107"/>
        <v>3</v>
      </c>
      <c r="G309" s="22">
        <f t="shared" si="107"/>
        <v>2</v>
      </c>
      <c r="H309" s="22">
        <f t="shared" si="107"/>
        <v>2</v>
      </c>
      <c r="I309" s="22">
        <f t="shared" si="107"/>
        <v>2</v>
      </c>
      <c r="J309" s="22">
        <f t="shared" si="107"/>
        <v>3</v>
      </c>
      <c r="K309" s="22">
        <f t="shared" si="107"/>
        <v>2</v>
      </c>
      <c r="L309" s="22">
        <f t="shared" si="107"/>
        <v>2</v>
      </c>
      <c r="M309" s="22">
        <f t="shared" si="107"/>
        <v>2</v>
      </c>
      <c r="N309" s="22">
        <f t="shared" si="107"/>
        <v>2</v>
      </c>
      <c r="O309" s="22">
        <f t="shared" si="107"/>
        <v>3</v>
      </c>
      <c r="P309" s="22">
        <f t="shared" si="107"/>
        <v>2</v>
      </c>
      <c r="Q309" s="22">
        <f t="shared" si="107"/>
        <v>3</v>
      </c>
      <c r="R309" s="22">
        <f t="shared" si="107"/>
        <v>4</v>
      </c>
      <c r="S309" s="22">
        <f t="shared" si="107"/>
        <v>3</v>
      </c>
      <c r="T309" s="22">
        <f t="shared" si="107"/>
        <v>3</v>
      </c>
      <c r="U309" s="22">
        <f t="shared" si="107"/>
        <v>3</v>
      </c>
      <c r="V309" s="22">
        <f t="shared" si="107"/>
        <v>1</v>
      </c>
      <c r="W309" s="22">
        <f t="shared" si="107"/>
        <v>2</v>
      </c>
      <c r="X309" s="22">
        <f t="shared" si="107"/>
        <v>2</v>
      </c>
      <c r="Y309" s="22">
        <f t="shared" si="107"/>
        <v>0</v>
      </c>
      <c r="Z309" s="22">
        <f t="shared" si="107"/>
        <v>0</v>
      </c>
      <c r="AA309" s="20">
        <f t="shared" si="105"/>
        <v>52</v>
      </c>
      <c r="AB309" s="23"/>
      <c r="AC309" s="2"/>
    </row>
    <row r="310">
      <c r="A310" s="17" t="s">
        <v>38</v>
      </c>
      <c r="B310" s="24">
        <f t="shared" ref="B310:Z310" si="108">B309/(COUNT(B305:B308)*1)</f>
        <v>1</v>
      </c>
      <c r="C310" s="24">
        <f t="shared" si="108"/>
        <v>0.25</v>
      </c>
      <c r="D310" s="24">
        <f t="shared" si="108"/>
        <v>0.25</v>
      </c>
      <c r="E310" s="24">
        <f t="shared" si="108"/>
        <v>0</v>
      </c>
      <c r="F310" s="24">
        <f t="shared" si="108"/>
        <v>0.75</v>
      </c>
      <c r="G310" s="24">
        <f t="shared" si="108"/>
        <v>0.5</v>
      </c>
      <c r="H310" s="24">
        <f t="shared" si="108"/>
        <v>0.5</v>
      </c>
      <c r="I310" s="24">
        <f t="shared" si="108"/>
        <v>0.5</v>
      </c>
      <c r="J310" s="24">
        <f t="shared" si="108"/>
        <v>0.75</v>
      </c>
      <c r="K310" s="24">
        <f t="shared" si="108"/>
        <v>0.5</v>
      </c>
      <c r="L310" s="24">
        <f t="shared" si="108"/>
        <v>0.5</v>
      </c>
      <c r="M310" s="24">
        <f t="shared" si="108"/>
        <v>0.5</v>
      </c>
      <c r="N310" s="24">
        <f t="shared" si="108"/>
        <v>0.5</v>
      </c>
      <c r="O310" s="24">
        <f t="shared" si="108"/>
        <v>0.75</v>
      </c>
      <c r="P310" s="24">
        <f t="shared" si="108"/>
        <v>0.5</v>
      </c>
      <c r="Q310" s="24">
        <f t="shared" si="108"/>
        <v>0.75</v>
      </c>
      <c r="R310" s="24">
        <f t="shared" si="108"/>
        <v>1</v>
      </c>
      <c r="S310" s="24">
        <f t="shared" si="108"/>
        <v>0.75</v>
      </c>
      <c r="T310" s="24">
        <f t="shared" si="108"/>
        <v>0.75</v>
      </c>
      <c r="U310" s="24">
        <f t="shared" si="108"/>
        <v>0.75</v>
      </c>
      <c r="V310" s="24">
        <f t="shared" si="108"/>
        <v>0.25</v>
      </c>
      <c r="W310" s="24">
        <f t="shared" si="108"/>
        <v>0.5</v>
      </c>
      <c r="X310" s="24">
        <f t="shared" si="108"/>
        <v>0.5</v>
      </c>
      <c r="Y310" s="24" t="str">
        <f t="shared" si="108"/>
        <v>#DIV/0!</v>
      </c>
      <c r="Z310" s="24" t="str">
        <f t="shared" si="108"/>
        <v>#DIV/0!</v>
      </c>
      <c r="AA310" s="25"/>
      <c r="AB310" s="26">
        <f>SUM(AB305:AB308)/4</f>
        <v>0.5652173913</v>
      </c>
      <c r="AC310" s="2"/>
    </row>
    <row r="311">
      <c r="A311" s="27" t="s">
        <v>44</v>
      </c>
      <c r="B311" s="60"/>
      <c r="C311" s="61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30">
        <f t="shared" ref="AA311:AA313" si="109">SUM(B311:Z311)</f>
        <v>0</v>
      </c>
      <c r="AB311" s="31"/>
      <c r="AC311" s="2"/>
    </row>
    <row r="312">
      <c r="A312" s="32" t="s">
        <v>45</v>
      </c>
      <c r="B312" s="62"/>
      <c r="C312" s="62"/>
      <c r="D312" s="62"/>
      <c r="E312" s="128">
        <v>5.0</v>
      </c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0"/>
      <c r="W312" s="68">
        <v>2.0</v>
      </c>
      <c r="X312" s="68">
        <v>3.0</v>
      </c>
      <c r="Y312" s="60"/>
      <c r="Z312" s="60"/>
      <c r="AA312" s="30">
        <f t="shared" si="109"/>
        <v>10</v>
      </c>
      <c r="AB312" s="31"/>
      <c r="AC312" s="9"/>
    </row>
    <row r="313">
      <c r="A313" s="34" t="s">
        <v>46</v>
      </c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0"/>
      <c r="W313" s="60"/>
      <c r="X313" s="60"/>
      <c r="Y313" s="60"/>
      <c r="Z313" s="60"/>
      <c r="AA313" s="30">
        <f t="shared" si="109"/>
        <v>0</v>
      </c>
      <c r="AB313" s="31"/>
      <c r="AC313" s="9"/>
    </row>
    <row r="314">
      <c r="A314" s="35" t="s">
        <v>47</v>
      </c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7"/>
      <c r="AA314" s="38"/>
      <c r="AB314" s="39"/>
      <c r="AC314" s="2"/>
    </row>
    <row r="315">
      <c r="A315" s="40" t="s">
        <v>48</v>
      </c>
      <c r="B315" s="63"/>
      <c r="C315" s="65">
        <v>1.0</v>
      </c>
      <c r="D315" s="65">
        <v>1.0</v>
      </c>
      <c r="E315" s="65">
        <v>1.0</v>
      </c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6"/>
      <c r="W315" s="69">
        <v>1.0</v>
      </c>
      <c r="X315" s="69">
        <v>1.0</v>
      </c>
      <c r="Y315" s="66"/>
      <c r="Z315" s="66"/>
      <c r="AA315" s="44">
        <f t="shared" ref="AA315:AA316" si="110">SUM(B315:Z315)</f>
        <v>5</v>
      </c>
      <c r="AB315" s="31"/>
      <c r="AC315" s="2"/>
    </row>
    <row r="316">
      <c r="A316" s="40" t="s">
        <v>49</v>
      </c>
      <c r="B316" s="63"/>
      <c r="C316" s="65">
        <v>10.0</v>
      </c>
      <c r="D316" s="65">
        <v>10.0</v>
      </c>
      <c r="E316" s="65">
        <v>20.0</v>
      </c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6"/>
      <c r="W316" s="69">
        <v>10.0</v>
      </c>
      <c r="X316" s="69">
        <v>10.0</v>
      </c>
      <c r="Y316" s="66"/>
      <c r="Z316" s="66"/>
      <c r="AA316" s="44">
        <f t="shared" si="110"/>
        <v>60</v>
      </c>
      <c r="AB316" s="31"/>
      <c r="AC316" s="2"/>
    </row>
    <row r="317">
      <c r="A317" s="40" t="s">
        <v>50</v>
      </c>
      <c r="B317" s="64"/>
      <c r="C317" s="65">
        <v>2.0</v>
      </c>
      <c r="D317" s="65">
        <v>2.0</v>
      </c>
      <c r="E317" s="65">
        <v>3.0</v>
      </c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6"/>
      <c r="W317" s="69">
        <v>2.0</v>
      </c>
      <c r="X317" s="69">
        <v>2.0</v>
      </c>
      <c r="Y317" s="66"/>
      <c r="Z317" s="66"/>
      <c r="AA317" s="44">
        <f>AVERAGE(B317:Z317)</f>
        <v>2.2</v>
      </c>
      <c r="AB317" s="31"/>
      <c r="AC317" s="2"/>
    </row>
    <row r="318">
      <c r="A318" s="45" t="s">
        <v>51</v>
      </c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7"/>
      <c r="AA318" s="46"/>
      <c r="AB318" s="39"/>
      <c r="AC318" s="2"/>
    </row>
    <row r="319">
      <c r="A319" s="47" t="s">
        <v>48</v>
      </c>
      <c r="B319" s="137"/>
      <c r="C319" s="18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8"/>
      <c r="W319" s="138"/>
      <c r="X319" s="138"/>
      <c r="Y319" s="138"/>
      <c r="Z319" s="138"/>
      <c r="AA319" s="51">
        <f t="shared" ref="AA319:AA320" si="111">SUM(B319:Z319)</f>
        <v>0</v>
      </c>
      <c r="AB319" s="31"/>
      <c r="AC319" s="2"/>
    </row>
    <row r="320">
      <c r="A320" s="47" t="s">
        <v>49</v>
      </c>
      <c r="B320" s="137"/>
      <c r="C320" s="18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8"/>
      <c r="W320" s="138"/>
      <c r="X320" s="138"/>
      <c r="Y320" s="138"/>
      <c r="Z320" s="138"/>
      <c r="AA320" s="51">
        <f t="shared" si="111"/>
        <v>0</v>
      </c>
      <c r="AB320" s="31"/>
      <c r="AC320" s="2"/>
    </row>
    <row r="321">
      <c r="A321" s="47" t="s">
        <v>50</v>
      </c>
      <c r="B321" s="18"/>
      <c r="C321" s="18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8"/>
      <c r="W321" s="138"/>
      <c r="X321" s="138"/>
      <c r="Y321" s="138"/>
      <c r="Z321" s="138"/>
      <c r="AA321" s="51" t="str">
        <f>AVERAGE(B321:Z321)</f>
        <v>#DIV/0!</v>
      </c>
      <c r="AB321" s="31"/>
      <c r="AC321" s="2"/>
    </row>
    <row r="322">
      <c r="A322" s="52" t="s">
        <v>53</v>
      </c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7"/>
      <c r="AA322" s="38"/>
      <c r="AB322" s="39"/>
      <c r="AC322" s="2"/>
    </row>
    <row r="323">
      <c r="A323" s="40" t="s">
        <v>48</v>
      </c>
      <c r="B323" s="63"/>
      <c r="C323" s="64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6"/>
      <c r="W323" s="66"/>
      <c r="X323" s="66"/>
      <c r="Y323" s="66"/>
      <c r="Z323" s="66"/>
      <c r="AA323" s="44">
        <f t="shared" ref="AA323:AA324" si="112">SUM(B323:Z323)</f>
        <v>0</v>
      </c>
      <c r="AB323" s="31"/>
      <c r="AC323" s="2"/>
    </row>
    <row r="324">
      <c r="A324" s="40" t="s">
        <v>49</v>
      </c>
      <c r="B324" s="63"/>
      <c r="C324" s="64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6"/>
      <c r="W324" s="66"/>
      <c r="X324" s="66"/>
      <c r="Y324" s="66"/>
      <c r="Z324" s="66"/>
      <c r="AA324" s="44">
        <f t="shared" si="112"/>
        <v>0</v>
      </c>
      <c r="AB324" s="31"/>
      <c r="AC324" s="2"/>
    </row>
    <row r="325">
      <c r="A325" s="53" t="s">
        <v>50</v>
      </c>
      <c r="B325" s="139"/>
      <c r="C325" s="139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1"/>
      <c r="W325" s="141"/>
      <c r="X325" s="141"/>
      <c r="Y325" s="141"/>
      <c r="Z325" s="141"/>
      <c r="AA325" s="57" t="str">
        <f>AVERAGE(B325:Z325)</f>
        <v>#DIV/0!</v>
      </c>
      <c r="AB325" s="58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59"/>
      <c r="AB326" s="59"/>
      <c r="AC326" s="2"/>
    </row>
    <row r="327">
      <c r="A327" s="13">
        <v>46077.0</v>
      </c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 t="s">
        <v>37</v>
      </c>
      <c r="AB327" s="16" t="s">
        <v>38</v>
      </c>
      <c r="AC327" s="2"/>
    </row>
    <row r="328">
      <c r="A328" s="17" t="s">
        <v>39</v>
      </c>
      <c r="B328" s="19">
        <v>1.0</v>
      </c>
      <c r="C328" s="19">
        <v>1.0</v>
      </c>
      <c r="D328" s="19">
        <v>1.0</v>
      </c>
      <c r="E328" s="19">
        <v>1.0</v>
      </c>
      <c r="F328" s="19">
        <v>1.0</v>
      </c>
      <c r="G328" s="19">
        <v>1.0</v>
      </c>
      <c r="H328" s="19">
        <v>1.0</v>
      </c>
      <c r="I328" s="19">
        <v>1.0</v>
      </c>
      <c r="J328" s="19">
        <v>1.0</v>
      </c>
      <c r="K328" s="19">
        <v>1.0</v>
      </c>
      <c r="L328" s="19">
        <v>0.0</v>
      </c>
      <c r="M328" s="19">
        <v>0.0</v>
      </c>
      <c r="N328" s="19">
        <v>1.0</v>
      </c>
      <c r="O328" s="19">
        <v>1.0</v>
      </c>
      <c r="P328" s="19">
        <v>1.0</v>
      </c>
      <c r="Q328" s="19">
        <v>0.0</v>
      </c>
      <c r="R328" s="19">
        <v>0.0</v>
      </c>
      <c r="S328" s="19">
        <v>0.0</v>
      </c>
      <c r="T328" s="19">
        <v>0.0</v>
      </c>
      <c r="U328" s="19">
        <v>0.0</v>
      </c>
      <c r="V328" s="19">
        <v>1.0</v>
      </c>
      <c r="W328" s="19">
        <v>1.0</v>
      </c>
      <c r="X328" s="19">
        <v>1.0</v>
      </c>
      <c r="Y328" s="18"/>
      <c r="Z328" s="18"/>
      <c r="AA328" s="20">
        <f t="shared" ref="AA328:AA332" si="113">SUM(B328:Z328)</f>
        <v>16</v>
      </c>
      <c r="AB328" s="21">
        <f t="shared" ref="AB328:AB331" si="114">AA328/(COUNT(B328:Z328)*1)</f>
        <v>0.6956521739</v>
      </c>
      <c r="AC328" s="2"/>
    </row>
    <row r="329">
      <c r="A329" s="17" t="s">
        <v>40</v>
      </c>
      <c r="B329" s="19">
        <v>1.0</v>
      </c>
      <c r="C329" s="19">
        <v>0.0</v>
      </c>
      <c r="D329" s="19">
        <v>0.0</v>
      </c>
      <c r="E329" s="19">
        <v>1.0</v>
      </c>
      <c r="F329" s="19">
        <v>0.0</v>
      </c>
      <c r="G329" s="19">
        <v>0.0</v>
      </c>
      <c r="H329" s="19">
        <v>1.0</v>
      </c>
      <c r="I329" s="19">
        <v>1.0</v>
      </c>
      <c r="J329" s="19">
        <v>0.0</v>
      </c>
      <c r="K329" s="19">
        <v>1.0</v>
      </c>
      <c r="L329" s="19">
        <v>1.0</v>
      </c>
      <c r="M329" s="19">
        <v>1.0</v>
      </c>
      <c r="N329" s="19">
        <v>1.0</v>
      </c>
      <c r="O329" s="19">
        <v>1.0</v>
      </c>
      <c r="P329" s="19">
        <v>1.0</v>
      </c>
      <c r="Q329" s="19">
        <v>0.0</v>
      </c>
      <c r="R329" s="19">
        <v>0.0</v>
      </c>
      <c r="S329" s="19">
        <v>0.0</v>
      </c>
      <c r="T329" s="19">
        <v>0.0</v>
      </c>
      <c r="U329" s="19">
        <v>1.0</v>
      </c>
      <c r="V329" s="19">
        <v>0.0</v>
      </c>
      <c r="W329" s="19">
        <v>1.0</v>
      </c>
      <c r="X329" s="19">
        <v>1.0</v>
      </c>
      <c r="Y329" s="18"/>
      <c r="Z329" s="18"/>
      <c r="AA329" s="20">
        <f t="shared" si="113"/>
        <v>13</v>
      </c>
      <c r="AB329" s="21">
        <f t="shared" si="114"/>
        <v>0.5652173913</v>
      </c>
      <c r="AC329" s="2"/>
    </row>
    <row r="330">
      <c r="A330" s="17" t="s">
        <v>41</v>
      </c>
      <c r="B330" s="19">
        <v>0.0</v>
      </c>
      <c r="C330" s="19">
        <v>0.0</v>
      </c>
      <c r="D330" s="19">
        <v>0.0</v>
      </c>
      <c r="E330" s="19">
        <v>1.0</v>
      </c>
      <c r="F330" s="19">
        <v>1.0</v>
      </c>
      <c r="G330" s="19">
        <v>0.0</v>
      </c>
      <c r="H330" s="19">
        <v>1.0</v>
      </c>
      <c r="I330" s="19">
        <v>1.0</v>
      </c>
      <c r="J330" s="19">
        <v>1.0</v>
      </c>
      <c r="K330" s="19">
        <v>1.0</v>
      </c>
      <c r="L330" s="19">
        <v>1.0</v>
      </c>
      <c r="M330" s="19">
        <v>1.0</v>
      </c>
      <c r="N330" s="19">
        <v>1.0</v>
      </c>
      <c r="O330" s="19">
        <v>1.0</v>
      </c>
      <c r="P330" s="19">
        <v>1.0</v>
      </c>
      <c r="Q330" s="19">
        <v>0.0</v>
      </c>
      <c r="R330" s="19">
        <v>0.0</v>
      </c>
      <c r="S330" s="19">
        <v>0.0</v>
      </c>
      <c r="T330" s="19">
        <v>0.0</v>
      </c>
      <c r="U330" s="19">
        <v>0.0</v>
      </c>
      <c r="V330" s="19">
        <v>0.0</v>
      </c>
      <c r="W330" s="19">
        <v>1.0</v>
      </c>
      <c r="X330" s="19">
        <v>1.0</v>
      </c>
      <c r="Y330" s="18"/>
      <c r="Z330" s="18"/>
      <c r="AA330" s="20">
        <f t="shared" si="113"/>
        <v>13</v>
      </c>
      <c r="AB330" s="21">
        <f t="shared" si="114"/>
        <v>0.5652173913</v>
      </c>
      <c r="AC330" s="2"/>
    </row>
    <row r="331">
      <c r="A331" s="17" t="s">
        <v>42</v>
      </c>
      <c r="B331" s="19">
        <v>1.0</v>
      </c>
      <c r="C331" s="19">
        <v>0.0</v>
      </c>
      <c r="D331" s="19">
        <v>0.0</v>
      </c>
      <c r="E331" s="19">
        <v>0.0</v>
      </c>
      <c r="F331" s="19">
        <v>0.0</v>
      </c>
      <c r="G331" s="19">
        <v>1.0</v>
      </c>
      <c r="H331" s="19">
        <v>0.0</v>
      </c>
      <c r="I331" s="19">
        <v>0.0</v>
      </c>
      <c r="J331" s="19">
        <v>0.0</v>
      </c>
      <c r="K331" s="19">
        <v>0.0</v>
      </c>
      <c r="L331" s="19">
        <v>1.0</v>
      </c>
      <c r="M331" s="19">
        <v>1.0</v>
      </c>
      <c r="N331" s="19">
        <v>1.0</v>
      </c>
      <c r="O331" s="19">
        <v>1.0</v>
      </c>
      <c r="P331" s="19">
        <v>1.0</v>
      </c>
      <c r="Q331" s="19">
        <v>0.0</v>
      </c>
      <c r="R331" s="19">
        <v>0.0</v>
      </c>
      <c r="S331" s="19">
        <v>1.0</v>
      </c>
      <c r="T331" s="19">
        <v>1.0</v>
      </c>
      <c r="U331" s="19">
        <v>1.0</v>
      </c>
      <c r="V331" s="19">
        <v>1.0</v>
      </c>
      <c r="W331" s="19">
        <v>1.0</v>
      </c>
      <c r="X331" s="19">
        <v>1.0</v>
      </c>
      <c r="Y331" s="18"/>
      <c r="Z331" s="18"/>
      <c r="AA331" s="20">
        <f t="shared" si="113"/>
        <v>13</v>
      </c>
      <c r="AB331" s="21">
        <f t="shared" si="114"/>
        <v>0.5652173913</v>
      </c>
      <c r="AC331" s="2"/>
    </row>
    <row r="332">
      <c r="A332" s="17" t="s">
        <v>43</v>
      </c>
      <c r="B332" s="22">
        <f t="shared" ref="B332:Z332" si="115">SUM(B328:B331)</f>
        <v>3</v>
      </c>
      <c r="C332" s="22">
        <f t="shared" si="115"/>
        <v>1</v>
      </c>
      <c r="D332" s="22">
        <f t="shared" si="115"/>
        <v>1</v>
      </c>
      <c r="E332" s="22">
        <f t="shared" si="115"/>
        <v>3</v>
      </c>
      <c r="F332" s="22">
        <f t="shared" si="115"/>
        <v>2</v>
      </c>
      <c r="G332" s="22">
        <f t="shared" si="115"/>
        <v>2</v>
      </c>
      <c r="H332" s="22">
        <f t="shared" si="115"/>
        <v>3</v>
      </c>
      <c r="I332" s="22">
        <f t="shared" si="115"/>
        <v>3</v>
      </c>
      <c r="J332" s="22">
        <f t="shared" si="115"/>
        <v>2</v>
      </c>
      <c r="K332" s="22">
        <f t="shared" si="115"/>
        <v>3</v>
      </c>
      <c r="L332" s="22">
        <f t="shared" si="115"/>
        <v>3</v>
      </c>
      <c r="M332" s="22">
        <f t="shared" si="115"/>
        <v>3</v>
      </c>
      <c r="N332" s="22">
        <f t="shared" si="115"/>
        <v>4</v>
      </c>
      <c r="O332" s="22">
        <f t="shared" si="115"/>
        <v>4</v>
      </c>
      <c r="P332" s="22">
        <f t="shared" si="115"/>
        <v>4</v>
      </c>
      <c r="Q332" s="22">
        <f t="shared" si="115"/>
        <v>0</v>
      </c>
      <c r="R332" s="22">
        <f t="shared" si="115"/>
        <v>0</v>
      </c>
      <c r="S332" s="22">
        <f t="shared" si="115"/>
        <v>1</v>
      </c>
      <c r="T332" s="22">
        <f t="shared" si="115"/>
        <v>1</v>
      </c>
      <c r="U332" s="22">
        <f t="shared" si="115"/>
        <v>2</v>
      </c>
      <c r="V332" s="22">
        <f t="shared" si="115"/>
        <v>2</v>
      </c>
      <c r="W332" s="22">
        <f t="shared" si="115"/>
        <v>4</v>
      </c>
      <c r="X332" s="22">
        <f t="shared" si="115"/>
        <v>4</v>
      </c>
      <c r="Y332" s="22">
        <f t="shared" si="115"/>
        <v>0</v>
      </c>
      <c r="Z332" s="22">
        <f t="shared" si="115"/>
        <v>0</v>
      </c>
      <c r="AA332" s="20">
        <f t="shared" si="113"/>
        <v>55</v>
      </c>
      <c r="AB332" s="23"/>
      <c r="AC332" s="2"/>
    </row>
    <row r="333">
      <c r="A333" s="17" t="s">
        <v>38</v>
      </c>
      <c r="B333" s="24">
        <f t="shared" ref="B333:Z333" si="116">B332/(COUNT(B328:B331)*1)</f>
        <v>0.75</v>
      </c>
      <c r="C333" s="24">
        <f t="shared" si="116"/>
        <v>0.25</v>
      </c>
      <c r="D333" s="24">
        <f t="shared" si="116"/>
        <v>0.25</v>
      </c>
      <c r="E333" s="24">
        <f t="shared" si="116"/>
        <v>0.75</v>
      </c>
      <c r="F333" s="24">
        <f t="shared" si="116"/>
        <v>0.5</v>
      </c>
      <c r="G333" s="24">
        <f t="shared" si="116"/>
        <v>0.5</v>
      </c>
      <c r="H333" s="24">
        <f t="shared" si="116"/>
        <v>0.75</v>
      </c>
      <c r="I333" s="24">
        <f t="shared" si="116"/>
        <v>0.75</v>
      </c>
      <c r="J333" s="24">
        <f t="shared" si="116"/>
        <v>0.5</v>
      </c>
      <c r="K333" s="24">
        <f t="shared" si="116"/>
        <v>0.75</v>
      </c>
      <c r="L333" s="24">
        <f t="shared" si="116"/>
        <v>0.75</v>
      </c>
      <c r="M333" s="24">
        <f t="shared" si="116"/>
        <v>0.75</v>
      </c>
      <c r="N333" s="24">
        <f t="shared" si="116"/>
        <v>1</v>
      </c>
      <c r="O333" s="24">
        <f t="shared" si="116"/>
        <v>1</v>
      </c>
      <c r="P333" s="24">
        <f t="shared" si="116"/>
        <v>1</v>
      </c>
      <c r="Q333" s="24">
        <f t="shared" si="116"/>
        <v>0</v>
      </c>
      <c r="R333" s="24">
        <f t="shared" si="116"/>
        <v>0</v>
      </c>
      <c r="S333" s="24">
        <f t="shared" si="116"/>
        <v>0.25</v>
      </c>
      <c r="T333" s="24">
        <f t="shared" si="116"/>
        <v>0.25</v>
      </c>
      <c r="U333" s="24">
        <f t="shared" si="116"/>
        <v>0.5</v>
      </c>
      <c r="V333" s="24">
        <f t="shared" si="116"/>
        <v>0.5</v>
      </c>
      <c r="W333" s="24">
        <f t="shared" si="116"/>
        <v>1</v>
      </c>
      <c r="X333" s="24">
        <f t="shared" si="116"/>
        <v>1</v>
      </c>
      <c r="Y333" s="24" t="str">
        <f t="shared" si="116"/>
        <v>#DIV/0!</v>
      </c>
      <c r="Z333" s="24" t="str">
        <f t="shared" si="116"/>
        <v>#DIV/0!</v>
      </c>
      <c r="AA333" s="25"/>
      <c r="AB333" s="26">
        <f>SUM(AB328:AB331)/4</f>
        <v>0.597826087</v>
      </c>
      <c r="AC333" s="2"/>
    </row>
    <row r="334">
      <c r="A334" s="27" t="s">
        <v>44</v>
      </c>
      <c r="B334" s="60"/>
      <c r="C334" s="61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30">
        <f t="shared" ref="AA334:AA336" si="117">SUM(B334:Z334)</f>
        <v>0</v>
      </c>
      <c r="AB334" s="31"/>
      <c r="AC334" s="2"/>
    </row>
    <row r="335">
      <c r="A335" s="32" t="s">
        <v>45</v>
      </c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128"/>
      <c r="Q335" s="128">
        <v>15.0</v>
      </c>
      <c r="R335" s="128">
        <v>6.0</v>
      </c>
      <c r="S335" s="62"/>
      <c r="T335" s="62"/>
      <c r="U335" s="62"/>
      <c r="V335" s="60"/>
      <c r="W335" s="60"/>
      <c r="X335" s="60"/>
      <c r="Y335" s="60"/>
      <c r="Z335" s="60"/>
      <c r="AA335" s="30">
        <f t="shared" si="117"/>
        <v>21</v>
      </c>
      <c r="AB335" s="31"/>
      <c r="AC335" s="9"/>
    </row>
    <row r="336">
      <c r="A336" s="34" t="s">
        <v>46</v>
      </c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0"/>
      <c r="W336" s="60"/>
      <c r="X336" s="60"/>
      <c r="Y336" s="60"/>
      <c r="Z336" s="60"/>
      <c r="AA336" s="30">
        <f t="shared" si="117"/>
        <v>0</v>
      </c>
      <c r="AB336" s="31"/>
      <c r="AC336" s="9"/>
    </row>
    <row r="337">
      <c r="A337" s="35" t="s">
        <v>47</v>
      </c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7"/>
      <c r="AA337" s="38"/>
      <c r="AB337" s="39"/>
      <c r="AC337" s="2"/>
    </row>
    <row r="338">
      <c r="A338" s="40" t="s">
        <v>48</v>
      </c>
      <c r="B338" s="63"/>
      <c r="C338" s="64"/>
      <c r="D338" s="63"/>
      <c r="E338" s="63"/>
      <c r="F338" s="63"/>
      <c r="G338" s="63"/>
      <c r="H338" s="63"/>
      <c r="I338" s="63"/>
      <c r="J338" s="63"/>
      <c r="K338" s="63"/>
      <c r="L338" s="65">
        <v>1.0</v>
      </c>
      <c r="M338" s="65">
        <v>1.0</v>
      </c>
      <c r="N338" s="63"/>
      <c r="O338" s="63"/>
      <c r="P338" s="65"/>
      <c r="Q338" s="65">
        <v>1.0</v>
      </c>
      <c r="R338" s="65">
        <v>1.0</v>
      </c>
      <c r="S338" s="65">
        <v>1.0</v>
      </c>
      <c r="T338" s="65">
        <v>1.0</v>
      </c>
      <c r="U338" s="65">
        <v>1.0</v>
      </c>
      <c r="V338" s="66"/>
      <c r="W338" s="66"/>
      <c r="X338" s="66"/>
      <c r="Y338" s="66"/>
      <c r="Z338" s="66"/>
      <c r="AA338" s="44">
        <f t="shared" ref="AA338:AA339" si="118">SUM(B338:Z338)</f>
        <v>7</v>
      </c>
      <c r="AB338" s="31"/>
      <c r="AC338" s="2"/>
    </row>
    <row r="339">
      <c r="A339" s="40" t="s">
        <v>49</v>
      </c>
      <c r="B339" s="63"/>
      <c r="C339" s="64"/>
      <c r="D339" s="63"/>
      <c r="E339" s="63"/>
      <c r="F339" s="63"/>
      <c r="G339" s="63"/>
      <c r="H339" s="63"/>
      <c r="I339" s="63"/>
      <c r="J339" s="63"/>
      <c r="K339" s="63"/>
      <c r="L339" s="65">
        <v>20.0</v>
      </c>
      <c r="M339" s="65">
        <v>20.0</v>
      </c>
      <c r="N339" s="63"/>
      <c r="O339" s="63"/>
      <c r="P339" s="65"/>
      <c r="Q339" s="65">
        <v>20.0</v>
      </c>
      <c r="R339" s="65">
        <v>20.0</v>
      </c>
      <c r="S339" s="65">
        <v>20.0</v>
      </c>
      <c r="T339" s="65">
        <v>20.0</v>
      </c>
      <c r="U339" s="65">
        <v>10.0</v>
      </c>
      <c r="V339" s="66"/>
      <c r="W339" s="66"/>
      <c r="X339" s="66"/>
      <c r="Y339" s="66"/>
      <c r="Z339" s="66"/>
      <c r="AA339" s="44">
        <f t="shared" si="118"/>
        <v>130</v>
      </c>
      <c r="AB339" s="31"/>
      <c r="AC339" s="2"/>
    </row>
    <row r="340">
      <c r="A340" s="40" t="s">
        <v>50</v>
      </c>
      <c r="B340" s="64"/>
      <c r="C340" s="64"/>
      <c r="D340" s="63"/>
      <c r="E340" s="63"/>
      <c r="F340" s="63"/>
      <c r="G340" s="63"/>
      <c r="H340" s="63"/>
      <c r="I340" s="63"/>
      <c r="J340" s="63"/>
      <c r="K340" s="63"/>
      <c r="L340" s="65">
        <v>1.0</v>
      </c>
      <c r="M340" s="65">
        <v>1.0</v>
      </c>
      <c r="N340" s="63"/>
      <c r="O340" s="63"/>
      <c r="P340" s="65"/>
      <c r="Q340" s="65">
        <v>2.0</v>
      </c>
      <c r="R340" s="65">
        <v>2.0</v>
      </c>
      <c r="S340" s="65">
        <v>2.0</v>
      </c>
      <c r="T340" s="65">
        <v>2.0</v>
      </c>
      <c r="U340" s="65">
        <v>1.0</v>
      </c>
      <c r="V340" s="66"/>
      <c r="W340" s="66"/>
      <c r="X340" s="66"/>
      <c r="Y340" s="66"/>
      <c r="Z340" s="66"/>
      <c r="AA340" s="44">
        <f>AVERAGE(B340:Z340)</f>
        <v>1.571428571</v>
      </c>
      <c r="AB340" s="31"/>
      <c r="AC340" s="2"/>
    </row>
    <row r="341">
      <c r="A341" s="45" t="s">
        <v>51</v>
      </c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7"/>
      <c r="AA341" s="46"/>
      <c r="AB341" s="39"/>
      <c r="AC341" s="2"/>
    </row>
    <row r="342">
      <c r="A342" s="47" t="s">
        <v>48</v>
      </c>
      <c r="B342" s="48"/>
      <c r="C342" s="49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50"/>
      <c r="W342" s="50"/>
      <c r="X342" s="50"/>
      <c r="Y342" s="50"/>
      <c r="Z342" s="50"/>
      <c r="AA342" s="51">
        <f t="shared" ref="AA342:AA343" si="119">SUM(B342:Z342)</f>
        <v>0</v>
      </c>
      <c r="AB342" s="31"/>
      <c r="AC342" s="2"/>
    </row>
    <row r="343">
      <c r="A343" s="47" t="s">
        <v>49</v>
      </c>
      <c r="B343" s="48"/>
      <c r="C343" s="49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50"/>
      <c r="W343" s="50"/>
      <c r="X343" s="50"/>
      <c r="Y343" s="50"/>
      <c r="Z343" s="50"/>
      <c r="AA343" s="51">
        <f t="shared" si="119"/>
        <v>0</v>
      </c>
      <c r="AB343" s="31"/>
      <c r="AC343" s="2"/>
    </row>
    <row r="344">
      <c r="A344" s="47" t="s">
        <v>50</v>
      </c>
      <c r="B344" s="49"/>
      <c r="C344" s="49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50"/>
      <c r="W344" s="50"/>
      <c r="X344" s="50"/>
      <c r="Y344" s="50"/>
      <c r="Z344" s="50"/>
      <c r="AA344" s="51" t="str">
        <f>AVERAGE(B344:Z344)</f>
        <v>#DIV/0!</v>
      </c>
      <c r="AB344" s="31"/>
      <c r="AC344" s="2"/>
    </row>
    <row r="345">
      <c r="A345" s="52" t="s">
        <v>53</v>
      </c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7"/>
      <c r="AA345" s="38"/>
      <c r="AB345" s="39"/>
      <c r="AC345" s="2"/>
    </row>
    <row r="346">
      <c r="A346" s="40" t="s">
        <v>48</v>
      </c>
      <c r="B346" s="41"/>
      <c r="C346" s="42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3"/>
      <c r="W346" s="43"/>
      <c r="X346" s="43"/>
      <c r="Y346" s="43"/>
      <c r="Z346" s="43"/>
      <c r="AA346" s="44">
        <f t="shared" ref="AA346:AA347" si="120">SUM(B346:Z346)</f>
        <v>0</v>
      </c>
      <c r="AB346" s="31"/>
      <c r="AC346" s="2"/>
    </row>
    <row r="347">
      <c r="A347" s="40" t="s">
        <v>49</v>
      </c>
      <c r="B347" s="41"/>
      <c r="C347" s="42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3"/>
      <c r="W347" s="43"/>
      <c r="X347" s="43"/>
      <c r="Y347" s="43"/>
      <c r="Z347" s="43"/>
      <c r="AA347" s="44">
        <f t="shared" si="120"/>
        <v>0</v>
      </c>
      <c r="AB347" s="31"/>
      <c r="AC347" s="2"/>
    </row>
    <row r="348">
      <c r="A348" s="53" t="s">
        <v>50</v>
      </c>
      <c r="B348" s="54"/>
      <c r="C348" s="54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6"/>
      <c r="W348" s="56"/>
      <c r="X348" s="56"/>
      <c r="Y348" s="56"/>
      <c r="Z348" s="56"/>
      <c r="AA348" s="57" t="str">
        <f>AVERAGE(B348:Z348)</f>
        <v>#DIV/0!</v>
      </c>
      <c r="AB348" s="58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59"/>
      <c r="AB349" s="59"/>
      <c r="AC349" s="2"/>
    </row>
    <row r="350">
      <c r="A350" s="13">
        <v>46078.0</v>
      </c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5" t="s">
        <v>37</v>
      </c>
      <c r="AB350" s="16" t="s">
        <v>38</v>
      </c>
      <c r="AC350" s="2"/>
    </row>
    <row r="351">
      <c r="A351" s="17" t="s">
        <v>39</v>
      </c>
      <c r="B351" s="19">
        <v>1.0</v>
      </c>
      <c r="C351" s="19">
        <v>1.0</v>
      </c>
      <c r="D351" s="19">
        <v>1.0</v>
      </c>
      <c r="E351" s="19">
        <v>1.0</v>
      </c>
      <c r="F351" s="19">
        <v>0.0</v>
      </c>
      <c r="G351" s="19">
        <v>0.0</v>
      </c>
      <c r="H351" s="19">
        <v>0.0</v>
      </c>
      <c r="I351" s="19">
        <v>1.0</v>
      </c>
      <c r="J351" s="19">
        <v>1.0</v>
      </c>
      <c r="K351" s="19">
        <v>0.0</v>
      </c>
      <c r="L351" s="19">
        <v>0.0</v>
      </c>
      <c r="M351" s="19">
        <v>0.0</v>
      </c>
      <c r="N351" s="19">
        <v>0.0</v>
      </c>
      <c r="O351" s="19">
        <v>0.0</v>
      </c>
      <c r="P351" s="19">
        <v>1.0</v>
      </c>
      <c r="Q351" s="19">
        <v>1.0</v>
      </c>
      <c r="R351" s="19">
        <v>1.0</v>
      </c>
      <c r="S351" s="19">
        <v>1.0</v>
      </c>
      <c r="T351" s="19">
        <v>0.0</v>
      </c>
      <c r="U351" s="19">
        <v>1.0</v>
      </c>
      <c r="V351" s="19">
        <v>0.0</v>
      </c>
      <c r="W351" s="19">
        <v>0.0</v>
      </c>
      <c r="X351" s="18"/>
      <c r="Y351" s="18"/>
      <c r="Z351" s="18"/>
      <c r="AA351" s="20">
        <f t="shared" ref="AA351:AA355" si="121">SUM(B351:Z351)</f>
        <v>11</v>
      </c>
      <c r="AB351" s="21">
        <f t="shared" ref="AB351:AB354" si="122">AA351/(COUNT(B351:Z351)*1)</f>
        <v>0.5</v>
      </c>
      <c r="AC351" s="2"/>
    </row>
    <row r="352">
      <c r="A352" s="17" t="s">
        <v>40</v>
      </c>
      <c r="B352" s="19">
        <v>0.0</v>
      </c>
      <c r="C352" s="19">
        <v>0.0</v>
      </c>
      <c r="D352" s="19">
        <v>1.0</v>
      </c>
      <c r="E352" s="19">
        <v>1.0</v>
      </c>
      <c r="F352" s="19">
        <v>1.0</v>
      </c>
      <c r="G352" s="19">
        <v>1.0</v>
      </c>
      <c r="H352" s="19">
        <v>0.0</v>
      </c>
      <c r="I352" s="19">
        <v>1.0</v>
      </c>
      <c r="J352" s="19">
        <v>1.0</v>
      </c>
      <c r="K352" s="19">
        <v>0.0</v>
      </c>
      <c r="L352" s="19">
        <v>0.0</v>
      </c>
      <c r="M352" s="19">
        <v>1.0</v>
      </c>
      <c r="N352" s="19">
        <v>1.0</v>
      </c>
      <c r="O352" s="19">
        <v>1.0</v>
      </c>
      <c r="P352" s="19">
        <v>1.0</v>
      </c>
      <c r="Q352" s="19">
        <v>1.0</v>
      </c>
      <c r="R352" s="19">
        <v>1.0</v>
      </c>
      <c r="S352" s="19">
        <v>1.0</v>
      </c>
      <c r="T352" s="19">
        <v>0.0</v>
      </c>
      <c r="U352" s="19">
        <v>0.0</v>
      </c>
      <c r="V352" s="19">
        <v>0.0</v>
      </c>
      <c r="W352" s="19">
        <v>1.0</v>
      </c>
      <c r="X352" s="18"/>
      <c r="Y352" s="18"/>
      <c r="Z352" s="18"/>
      <c r="AA352" s="20">
        <f t="shared" si="121"/>
        <v>14</v>
      </c>
      <c r="AB352" s="21">
        <f t="shared" si="122"/>
        <v>0.6363636364</v>
      </c>
      <c r="AC352" s="2"/>
    </row>
    <row r="353">
      <c r="A353" s="17" t="s">
        <v>41</v>
      </c>
      <c r="B353" s="19">
        <v>0.0</v>
      </c>
      <c r="C353" s="19">
        <v>0.0</v>
      </c>
      <c r="D353" s="19">
        <v>1.0</v>
      </c>
      <c r="E353" s="19">
        <v>1.0</v>
      </c>
      <c r="F353" s="19">
        <v>1.0</v>
      </c>
      <c r="G353" s="19">
        <v>0.0</v>
      </c>
      <c r="H353" s="19">
        <v>0.0</v>
      </c>
      <c r="I353" s="19">
        <v>0.0</v>
      </c>
      <c r="J353" s="19">
        <v>1.0</v>
      </c>
      <c r="K353" s="19">
        <v>0.0</v>
      </c>
      <c r="L353" s="19">
        <v>0.0</v>
      </c>
      <c r="M353" s="19">
        <v>0.0</v>
      </c>
      <c r="N353" s="19">
        <v>0.0</v>
      </c>
      <c r="O353" s="19">
        <v>1.0</v>
      </c>
      <c r="P353" s="19">
        <v>1.0</v>
      </c>
      <c r="Q353" s="19">
        <v>1.0</v>
      </c>
      <c r="R353" s="19">
        <v>1.0</v>
      </c>
      <c r="S353" s="19">
        <v>0.0</v>
      </c>
      <c r="T353" s="19">
        <v>0.0</v>
      </c>
      <c r="U353" s="19">
        <v>0.0</v>
      </c>
      <c r="V353" s="19">
        <v>0.0</v>
      </c>
      <c r="W353" s="19">
        <v>0.0</v>
      </c>
      <c r="X353" s="18"/>
      <c r="Y353" s="18"/>
      <c r="Z353" s="18"/>
      <c r="AA353" s="20">
        <f t="shared" si="121"/>
        <v>8</v>
      </c>
      <c r="AB353" s="21">
        <f t="shared" si="122"/>
        <v>0.3636363636</v>
      </c>
      <c r="AC353" s="2"/>
    </row>
    <row r="354">
      <c r="A354" s="17" t="s">
        <v>42</v>
      </c>
      <c r="B354" s="19">
        <v>0.0</v>
      </c>
      <c r="C354" s="19">
        <v>0.0</v>
      </c>
      <c r="D354" s="19">
        <v>1.0</v>
      </c>
      <c r="E354" s="19">
        <v>1.0</v>
      </c>
      <c r="F354" s="19">
        <v>0.0</v>
      </c>
      <c r="G354" s="19">
        <v>1.0</v>
      </c>
      <c r="H354" s="19">
        <v>0.0</v>
      </c>
      <c r="I354" s="19">
        <v>0.0</v>
      </c>
      <c r="J354" s="19">
        <v>0.0</v>
      </c>
      <c r="K354" s="19">
        <v>0.0</v>
      </c>
      <c r="L354" s="19">
        <v>0.0</v>
      </c>
      <c r="M354" s="19">
        <v>0.0</v>
      </c>
      <c r="N354" s="19">
        <v>0.0</v>
      </c>
      <c r="O354" s="19">
        <v>0.0</v>
      </c>
      <c r="P354" s="19">
        <v>0.0</v>
      </c>
      <c r="Q354" s="19">
        <v>1.0</v>
      </c>
      <c r="R354" s="19">
        <v>1.0</v>
      </c>
      <c r="S354" s="19">
        <v>0.0</v>
      </c>
      <c r="T354" s="19">
        <v>0.0</v>
      </c>
      <c r="U354" s="19">
        <v>1.0</v>
      </c>
      <c r="V354" s="19">
        <v>0.0</v>
      </c>
      <c r="W354" s="19">
        <v>0.0</v>
      </c>
      <c r="X354" s="18"/>
      <c r="Y354" s="18"/>
      <c r="Z354" s="18"/>
      <c r="AA354" s="20">
        <f t="shared" si="121"/>
        <v>6</v>
      </c>
      <c r="AB354" s="21">
        <f t="shared" si="122"/>
        <v>0.2727272727</v>
      </c>
      <c r="AC354" s="2"/>
    </row>
    <row r="355">
      <c r="A355" s="17" t="s">
        <v>43</v>
      </c>
      <c r="B355" s="22">
        <f t="shared" ref="B355:Z355" si="123">SUM(B351:B354)</f>
        <v>1</v>
      </c>
      <c r="C355" s="22">
        <f t="shared" si="123"/>
        <v>1</v>
      </c>
      <c r="D355" s="22">
        <f t="shared" si="123"/>
        <v>4</v>
      </c>
      <c r="E355" s="22">
        <f t="shared" si="123"/>
        <v>4</v>
      </c>
      <c r="F355" s="22">
        <f t="shared" si="123"/>
        <v>2</v>
      </c>
      <c r="G355" s="22">
        <f t="shared" si="123"/>
        <v>2</v>
      </c>
      <c r="H355" s="22">
        <f t="shared" si="123"/>
        <v>0</v>
      </c>
      <c r="I355" s="22">
        <f t="shared" si="123"/>
        <v>2</v>
      </c>
      <c r="J355" s="22">
        <f t="shared" si="123"/>
        <v>3</v>
      </c>
      <c r="K355" s="22">
        <f t="shared" si="123"/>
        <v>0</v>
      </c>
      <c r="L355" s="22">
        <f t="shared" si="123"/>
        <v>0</v>
      </c>
      <c r="M355" s="22">
        <f t="shared" si="123"/>
        <v>1</v>
      </c>
      <c r="N355" s="22">
        <f t="shared" si="123"/>
        <v>1</v>
      </c>
      <c r="O355" s="22">
        <f t="shared" si="123"/>
        <v>2</v>
      </c>
      <c r="P355" s="22">
        <f t="shared" si="123"/>
        <v>3</v>
      </c>
      <c r="Q355" s="22">
        <f t="shared" si="123"/>
        <v>4</v>
      </c>
      <c r="R355" s="22">
        <f t="shared" si="123"/>
        <v>4</v>
      </c>
      <c r="S355" s="22">
        <f t="shared" si="123"/>
        <v>2</v>
      </c>
      <c r="T355" s="22">
        <f t="shared" si="123"/>
        <v>0</v>
      </c>
      <c r="U355" s="22">
        <f t="shared" si="123"/>
        <v>2</v>
      </c>
      <c r="V355" s="22">
        <f t="shared" si="123"/>
        <v>0</v>
      </c>
      <c r="W355" s="22">
        <f t="shared" si="123"/>
        <v>1</v>
      </c>
      <c r="X355" s="22">
        <f t="shared" si="123"/>
        <v>0</v>
      </c>
      <c r="Y355" s="22">
        <f t="shared" si="123"/>
        <v>0</v>
      </c>
      <c r="Z355" s="22">
        <f t="shared" si="123"/>
        <v>0</v>
      </c>
      <c r="AA355" s="20">
        <f t="shared" si="121"/>
        <v>39</v>
      </c>
      <c r="AB355" s="23"/>
      <c r="AC355" s="2"/>
    </row>
    <row r="356">
      <c r="A356" s="17" t="s">
        <v>38</v>
      </c>
      <c r="B356" s="24">
        <f t="shared" ref="B356:Z356" si="124">B355/(COUNT(B351:B354)*1)</f>
        <v>0.25</v>
      </c>
      <c r="C356" s="24">
        <f t="shared" si="124"/>
        <v>0.25</v>
      </c>
      <c r="D356" s="24">
        <f t="shared" si="124"/>
        <v>1</v>
      </c>
      <c r="E356" s="24">
        <f t="shared" si="124"/>
        <v>1</v>
      </c>
      <c r="F356" s="24">
        <f t="shared" si="124"/>
        <v>0.5</v>
      </c>
      <c r="G356" s="24">
        <f t="shared" si="124"/>
        <v>0.5</v>
      </c>
      <c r="H356" s="24">
        <f t="shared" si="124"/>
        <v>0</v>
      </c>
      <c r="I356" s="24">
        <f t="shared" si="124"/>
        <v>0.5</v>
      </c>
      <c r="J356" s="24">
        <f t="shared" si="124"/>
        <v>0.75</v>
      </c>
      <c r="K356" s="24">
        <f t="shared" si="124"/>
        <v>0</v>
      </c>
      <c r="L356" s="24">
        <f t="shared" si="124"/>
        <v>0</v>
      </c>
      <c r="M356" s="24">
        <f t="shared" si="124"/>
        <v>0.25</v>
      </c>
      <c r="N356" s="24">
        <f t="shared" si="124"/>
        <v>0.25</v>
      </c>
      <c r="O356" s="24">
        <f t="shared" si="124"/>
        <v>0.5</v>
      </c>
      <c r="P356" s="24">
        <f t="shared" si="124"/>
        <v>0.75</v>
      </c>
      <c r="Q356" s="24">
        <f t="shared" si="124"/>
        <v>1</v>
      </c>
      <c r="R356" s="24">
        <f t="shared" si="124"/>
        <v>1</v>
      </c>
      <c r="S356" s="24">
        <f t="shared" si="124"/>
        <v>0.5</v>
      </c>
      <c r="T356" s="24">
        <f t="shared" si="124"/>
        <v>0</v>
      </c>
      <c r="U356" s="24">
        <f t="shared" si="124"/>
        <v>0.5</v>
      </c>
      <c r="V356" s="24">
        <f t="shared" si="124"/>
        <v>0</v>
      </c>
      <c r="W356" s="24">
        <f t="shared" si="124"/>
        <v>0.25</v>
      </c>
      <c r="X356" s="24" t="str">
        <f t="shared" si="124"/>
        <v>#DIV/0!</v>
      </c>
      <c r="Y356" s="24" t="str">
        <f t="shared" si="124"/>
        <v>#DIV/0!</v>
      </c>
      <c r="Z356" s="24" t="str">
        <f t="shared" si="124"/>
        <v>#DIV/0!</v>
      </c>
      <c r="AA356" s="25"/>
      <c r="AB356" s="26">
        <f>SUM(AB351:AB354)/4</f>
        <v>0.4431818182</v>
      </c>
      <c r="AC356" s="2"/>
    </row>
    <row r="357">
      <c r="A357" s="27" t="s">
        <v>44</v>
      </c>
      <c r="B357" s="60"/>
      <c r="C357" s="61"/>
      <c r="D357" s="60"/>
      <c r="E357" s="60"/>
      <c r="F357" s="60"/>
      <c r="G357" s="60"/>
      <c r="H357" s="60"/>
      <c r="I357" s="60"/>
      <c r="J357" s="60"/>
      <c r="K357" s="68">
        <v>10.0</v>
      </c>
      <c r="L357" s="68">
        <v>20.0</v>
      </c>
      <c r="M357" s="60"/>
      <c r="N357" s="60"/>
      <c r="O357" s="60"/>
      <c r="P357" s="60"/>
      <c r="Q357" s="60"/>
      <c r="R357" s="60"/>
      <c r="S357" s="60"/>
      <c r="T357" s="60"/>
      <c r="U357" s="60"/>
      <c r="V357" s="68">
        <v>5.0</v>
      </c>
      <c r="W357" s="68">
        <v>3.0</v>
      </c>
      <c r="X357" s="60"/>
      <c r="Y357" s="60"/>
      <c r="Z357" s="60"/>
      <c r="AA357" s="30">
        <f t="shared" ref="AA357:AA359" si="125">SUM(B357:Z357)</f>
        <v>38</v>
      </c>
      <c r="AB357" s="31"/>
      <c r="AC357" s="2"/>
    </row>
    <row r="358">
      <c r="A358" s="32" t="s">
        <v>45</v>
      </c>
      <c r="B358" s="62"/>
      <c r="C358" s="62"/>
      <c r="D358" s="62"/>
      <c r="E358" s="128"/>
      <c r="F358" s="62"/>
      <c r="G358" s="62"/>
      <c r="H358" s="128">
        <v>5.0</v>
      </c>
      <c r="I358" s="128"/>
      <c r="J358" s="128"/>
      <c r="K358" s="128">
        <v>5.0</v>
      </c>
      <c r="L358" s="128">
        <v>3.0</v>
      </c>
      <c r="M358" s="128">
        <v>3.0</v>
      </c>
      <c r="N358" s="128">
        <v>7.0</v>
      </c>
      <c r="O358" s="62"/>
      <c r="P358" s="62"/>
      <c r="Q358" s="62"/>
      <c r="R358" s="62"/>
      <c r="S358" s="62"/>
      <c r="T358" s="62"/>
      <c r="U358" s="62"/>
      <c r="V358" s="60"/>
      <c r="W358" s="60"/>
      <c r="X358" s="60"/>
      <c r="Y358" s="60"/>
      <c r="Z358" s="60"/>
      <c r="AA358" s="30">
        <f t="shared" si="125"/>
        <v>23</v>
      </c>
      <c r="AB358" s="31"/>
      <c r="AC358" s="9"/>
    </row>
    <row r="359">
      <c r="A359" s="34" t="s">
        <v>46</v>
      </c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0"/>
      <c r="W359" s="60"/>
      <c r="X359" s="60"/>
      <c r="Y359" s="60"/>
      <c r="Z359" s="60"/>
      <c r="AA359" s="30">
        <f t="shared" si="125"/>
        <v>0</v>
      </c>
      <c r="AB359" s="31"/>
      <c r="AC359" s="9"/>
    </row>
    <row r="360">
      <c r="A360" s="35" t="s">
        <v>47</v>
      </c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7"/>
      <c r="AA360" s="38"/>
      <c r="AB360" s="39"/>
      <c r="AC360" s="2"/>
    </row>
    <row r="361">
      <c r="A361" s="40" t="s">
        <v>48</v>
      </c>
      <c r="B361" s="63"/>
      <c r="C361" s="64"/>
      <c r="D361" s="63"/>
      <c r="E361" s="63"/>
      <c r="F361" s="63"/>
      <c r="G361" s="63"/>
      <c r="H361" s="63"/>
      <c r="I361" s="63"/>
      <c r="J361" s="63"/>
      <c r="K361" s="65">
        <v>1.0</v>
      </c>
      <c r="L361" s="65">
        <v>1.0</v>
      </c>
      <c r="M361" s="65">
        <v>1.0</v>
      </c>
      <c r="N361" s="65">
        <v>1.0</v>
      </c>
      <c r="O361" s="63"/>
      <c r="P361" s="63"/>
      <c r="Q361" s="63"/>
      <c r="R361" s="63"/>
      <c r="S361" s="63"/>
      <c r="T361" s="65">
        <v>1.0</v>
      </c>
      <c r="U361" s="63"/>
      <c r="V361" s="69">
        <v>1.0</v>
      </c>
      <c r="W361" s="69">
        <v>1.0</v>
      </c>
      <c r="X361" s="66"/>
      <c r="Y361" s="66"/>
      <c r="Z361" s="66"/>
      <c r="AA361" s="44">
        <f t="shared" ref="AA361:AA362" si="126">SUM(B361:Z361)</f>
        <v>7</v>
      </c>
      <c r="AB361" s="31"/>
      <c r="AC361" s="2"/>
    </row>
    <row r="362">
      <c r="A362" s="40" t="s">
        <v>49</v>
      </c>
      <c r="B362" s="63"/>
      <c r="C362" s="64"/>
      <c r="D362" s="63"/>
      <c r="E362" s="63"/>
      <c r="F362" s="63"/>
      <c r="G362" s="63"/>
      <c r="H362" s="63"/>
      <c r="I362" s="63"/>
      <c r="J362" s="63"/>
      <c r="K362" s="65">
        <v>10.0</v>
      </c>
      <c r="L362" s="65">
        <v>20.0</v>
      </c>
      <c r="M362" s="65">
        <v>15.0</v>
      </c>
      <c r="N362" s="65">
        <v>15.0</v>
      </c>
      <c r="O362" s="63"/>
      <c r="P362" s="63"/>
      <c r="Q362" s="63"/>
      <c r="R362" s="63"/>
      <c r="S362" s="63"/>
      <c r="T362" s="65">
        <v>20.0</v>
      </c>
      <c r="U362" s="63"/>
      <c r="V362" s="69">
        <v>20.0</v>
      </c>
      <c r="W362" s="69">
        <v>10.0</v>
      </c>
      <c r="X362" s="66"/>
      <c r="Y362" s="66"/>
      <c r="Z362" s="66"/>
      <c r="AA362" s="44">
        <f t="shared" si="126"/>
        <v>110</v>
      </c>
      <c r="AB362" s="31"/>
      <c r="AC362" s="2"/>
    </row>
    <row r="363">
      <c r="A363" s="40" t="s">
        <v>50</v>
      </c>
      <c r="B363" s="64"/>
      <c r="C363" s="64"/>
      <c r="D363" s="63"/>
      <c r="E363" s="63"/>
      <c r="F363" s="63"/>
      <c r="G363" s="63"/>
      <c r="H363" s="63"/>
      <c r="I363" s="63"/>
      <c r="J363" s="63"/>
      <c r="K363" s="65">
        <v>1.0</v>
      </c>
      <c r="L363" s="65">
        <v>1.0</v>
      </c>
      <c r="M363" s="65">
        <v>2.0</v>
      </c>
      <c r="N363" s="65">
        <v>2.0</v>
      </c>
      <c r="O363" s="63"/>
      <c r="P363" s="63"/>
      <c r="Q363" s="63"/>
      <c r="R363" s="63"/>
      <c r="S363" s="63"/>
      <c r="T363" s="65">
        <v>2.0</v>
      </c>
      <c r="U363" s="63"/>
      <c r="V363" s="69">
        <v>2.0</v>
      </c>
      <c r="W363" s="69">
        <v>2.0</v>
      </c>
      <c r="X363" s="66"/>
      <c r="Y363" s="66"/>
      <c r="Z363" s="66"/>
      <c r="AA363" s="44">
        <f>AVERAGE(B363:Z363)</f>
        <v>1.714285714</v>
      </c>
      <c r="AB363" s="31"/>
      <c r="AC363" s="2"/>
    </row>
    <row r="364">
      <c r="A364" s="45" t="s">
        <v>51</v>
      </c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7"/>
      <c r="AA364" s="46"/>
      <c r="AB364" s="39"/>
      <c r="AC364" s="2"/>
    </row>
    <row r="365">
      <c r="A365" s="47" t="s">
        <v>48</v>
      </c>
      <c r="B365" s="48"/>
      <c r="C365" s="49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50"/>
      <c r="W365" s="50"/>
      <c r="X365" s="50"/>
      <c r="Y365" s="50"/>
      <c r="Z365" s="50"/>
      <c r="AA365" s="51">
        <f t="shared" ref="AA365:AA366" si="127">SUM(B365:Z365)</f>
        <v>0</v>
      </c>
      <c r="AB365" s="31"/>
      <c r="AC365" s="2"/>
    </row>
    <row r="366">
      <c r="A366" s="47" t="s">
        <v>49</v>
      </c>
      <c r="B366" s="48"/>
      <c r="C366" s="49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50"/>
      <c r="W366" s="50"/>
      <c r="X366" s="50"/>
      <c r="Y366" s="50"/>
      <c r="Z366" s="50"/>
      <c r="AA366" s="51">
        <f t="shared" si="127"/>
        <v>0</v>
      </c>
      <c r="AB366" s="31"/>
      <c r="AC366" s="2"/>
    </row>
    <row r="367">
      <c r="A367" s="47" t="s">
        <v>50</v>
      </c>
      <c r="B367" s="49"/>
      <c r="C367" s="49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50"/>
      <c r="W367" s="50"/>
      <c r="X367" s="50"/>
      <c r="Y367" s="50"/>
      <c r="Z367" s="50"/>
      <c r="AA367" s="51" t="str">
        <f>AVERAGE(B367:Z367)</f>
        <v>#DIV/0!</v>
      </c>
      <c r="AB367" s="31"/>
      <c r="AC367" s="2"/>
    </row>
    <row r="368">
      <c r="A368" s="52" t="s">
        <v>53</v>
      </c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8"/>
      <c r="AB368" s="39"/>
      <c r="AC368" s="2"/>
    </row>
    <row r="369">
      <c r="A369" s="40" t="s">
        <v>48</v>
      </c>
      <c r="B369" s="41"/>
      <c r="C369" s="42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3"/>
      <c r="W369" s="43"/>
      <c r="X369" s="43"/>
      <c r="Y369" s="43"/>
      <c r="Z369" s="43"/>
      <c r="AA369" s="44">
        <f t="shared" ref="AA369:AA370" si="128">SUM(B369:Z369)</f>
        <v>0</v>
      </c>
      <c r="AB369" s="31"/>
      <c r="AC369" s="2"/>
    </row>
    <row r="370">
      <c r="A370" s="40" t="s">
        <v>49</v>
      </c>
      <c r="B370" s="41"/>
      <c r="C370" s="42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3"/>
      <c r="W370" s="43"/>
      <c r="X370" s="43"/>
      <c r="Y370" s="43"/>
      <c r="Z370" s="43"/>
      <c r="AA370" s="44">
        <f t="shared" si="128"/>
        <v>0</v>
      </c>
      <c r="AB370" s="31"/>
      <c r="AC370" s="2"/>
    </row>
    <row r="371">
      <c r="A371" s="53" t="s">
        <v>50</v>
      </c>
      <c r="B371" s="54"/>
      <c r="C371" s="54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6"/>
      <c r="W371" s="56"/>
      <c r="X371" s="56"/>
      <c r="Y371" s="56"/>
      <c r="Z371" s="56"/>
      <c r="AA371" s="57" t="str">
        <f>AVERAGE(B371:Z371)</f>
        <v>#DIV/0!</v>
      </c>
      <c r="AB371" s="58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59"/>
      <c r="AB372" s="59"/>
      <c r="AC372" s="2"/>
    </row>
    <row r="373">
      <c r="A373" s="13">
        <v>46079.0</v>
      </c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5" t="s">
        <v>37</v>
      </c>
      <c r="AB373" s="16" t="s">
        <v>38</v>
      </c>
      <c r="AC373" s="2"/>
    </row>
    <row r="374">
      <c r="A374" s="17" t="s">
        <v>39</v>
      </c>
      <c r="B374" s="19">
        <v>1.0</v>
      </c>
      <c r="C374" s="19">
        <v>1.0</v>
      </c>
      <c r="D374" s="19">
        <v>1.0</v>
      </c>
      <c r="E374" s="19">
        <v>0.0</v>
      </c>
      <c r="F374" s="19">
        <v>0.0</v>
      </c>
      <c r="G374" s="19">
        <v>0.0</v>
      </c>
      <c r="H374" s="19">
        <v>0.0</v>
      </c>
      <c r="I374" s="19">
        <v>0.0</v>
      </c>
      <c r="J374" s="19">
        <v>0.0</v>
      </c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20">
        <f t="shared" ref="AA374:AA378" si="129">SUM(B374:Z374)</f>
        <v>3</v>
      </c>
      <c r="AB374" s="21">
        <f t="shared" ref="AB374:AB377" si="130">AA374/(COUNT(B374:Z374)*1)</f>
        <v>0.3333333333</v>
      </c>
      <c r="AC374" s="2"/>
    </row>
    <row r="375">
      <c r="A375" s="17" t="s">
        <v>40</v>
      </c>
      <c r="B375" s="19">
        <v>1.0</v>
      </c>
      <c r="C375" s="19">
        <v>1.0</v>
      </c>
      <c r="D375" s="19">
        <v>0.0</v>
      </c>
      <c r="E375" s="19">
        <v>1.0</v>
      </c>
      <c r="F375" s="19">
        <v>1.0</v>
      </c>
      <c r="G375" s="19">
        <v>0.0</v>
      </c>
      <c r="H375" s="19">
        <v>0.0</v>
      </c>
      <c r="I375" s="19">
        <v>0.0</v>
      </c>
      <c r="J375" s="19">
        <v>0.0</v>
      </c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20">
        <f t="shared" si="129"/>
        <v>4</v>
      </c>
      <c r="AB375" s="21">
        <f t="shared" si="130"/>
        <v>0.4444444444</v>
      </c>
      <c r="AC375" s="2"/>
    </row>
    <row r="376">
      <c r="A376" s="17" t="s">
        <v>41</v>
      </c>
      <c r="B376" s="19">
        <v>0.0</v>
      </c>
      <c r="C376" s="19">
        <v>0.0</v>
      </c>
      <c r="D376" s="19">
        <v>0.0</v>
      </c>
      <c r="E376" s="19">
        <v>1.0</v>
      </c>
      <c r="F376" s="19">
        <v>1.0</v>
      </c>
      <c r="G376" s="19">
        <v>0.0</v>
      </c>
      <c r="H376" s="19">
        <v>0.0</v>
      </c>
      <c r="I376" s="19">
        <v>0.0</v>
      </c>
      <c r="J376" s="19">
        <v>0.0</v>
      </c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20">
        <f t="shared" si="129"/>
        <v>2</v>
      </c>
      <c r="AB376" s="21">
        <f t="shared" si="130"/>
        <v>0.2222222222</v>
      </c>
      <c r="AC376" s="2"/>
    </row>
    <row r="377">
      <c r="A377" s="17" t="s">
        <v>42</v>
      </c>
      <c r="B377" s="19">
        <v>0.0</v>
      </c>
      <c r="C377" s="19">
        <v>0.0</v>
      </c>
      <c r="D377" s="19">
        <v>1.0</v>
      </c>
      <c r="E377" s="19">
        <v>1.0</v>
      </c>
      <c r="F377" s="19">
        <v>1.0</v>
      </c>
      <c r="G377" s="19">
        <v>0.0</v>
      </c>
      <c r="H377" s="19">
        <v>0.0</v>
      </c>
      <c r="I377" s="19">
        <v>0.0</v>
      </c>
      <c r="J377" s="19">
        <v>0.0</v>
      </c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20">
        <f t="shared" si="129"/>
        <v>3</v>
      </c>
      <c r="AB377" s="21">
        <f t="shared" si="130"/>
        <v>0.3333333333</v>
      </c>
      <c r="AC377" s="2"/>
    </row>
    <row r="378">
      <c r="A378" s="17" t="s">
        <v>43</v>
      </c>
      <c r="B378" s="22">
        <f t="shared" ref="B378:Z378" si="131">SUM(B374:B377)</f>
        <v>2</v>
      </c>
      <c r="C378" s="22">
        <f t="shared" si="131"/>
        <v>2</v>
      </c>
      <c r="D378" s="22">
        <f t="shared" si="131"/>
        <v>2</v>
      </c>
      <c r="E378" s="22">
        <f t="shared" si="131"/>
        <v>3</v>
      </c>
      <c r="F378" s="22">
        <f t="shared" si="131"/>
        <v>3</v>
      </c>
      <c r="G378" s="22">
        <f t="shared" si="131"/>
        <v>0</v>
      </c>
      <c r="H378" s="22">
        <f t="shared" si="131"/>
        <v>0</v>
      </c>
      <c r="I378" s="22">
        <f t="shared" si="131"/>
        <v>0</v>
      </c>
      <c r="J378" s="22">
        <f t="shared" si="131"/>
        <v>0</v>
      </c>
      <c r="K378" s="22">
        <f t="shared" si="131"/>
        <v>0</v>
      </c>
      <c r="L378" s="22">
        <f t="shared" si="131"/>
        <v>0</v>
      </c>
      <c r="M378" s="22">
        <f t="shared" si="131"/>
        <v>0</v>
      </c>
      <c r="N378" s="22">
        <f t="shared" si="131"/>
        <v>0</v>
      </c>
      <c r="O378" s="22">
        <f t="shared" si="131"/>
        <v>0</v>
      </c>
      <c r="P378" s="22">
        <f t="shared" si="131"/>
        <v>0</v>
      </c>
      <c r="Q378" s="22">
        <f t="shared" si="131"/>
        <v>0</v>
      </c>
      <c r="R378" s="22">
        <f t="shared" si="131"/>
        <v>0</v>
      </c>
      <c r="S378" s="22">
        <f t="shared" si="131"/>
        <v>0</v>
      </c>
      <c r="T378" s="22">
        <f t="shared" si="131"/>
        <v>0</v>
      </c>
      <c r="U378" s="22">
        <f t="shared" si="131"/>
        <v>0</v>
      </c>
      <c r="V378" s="22">
        <f t="shared" si="131"/>
        <v>0</v>
      </c>
      <c r="W378" s="22">
        <f t="shared" si="131"/>
        <v>0</v>
      </c>
      <c r="X378" s="22">
        <f t="shared" si="131"/>
        <v>0</v>
      </c>
      <c r="Y378" s="22">
        <f t="shared" si="131"/>
        <v>0</v>
      </c>
      <c r="Z378" s="22">
        <f t="shared" si="131"/>
        <v>0</v>
      </c>
      <c r="AA378" s="20">
        <f t="shared" si="129"/>
        <v>12</v>
      </c>
      <c r="AB378" s="23"/>
      <c r="AC378" s="2"/>
    </row>
    <row r="379">
      <c r="A379" s="17" t="s">
        <v>38</v>
      </c>
      <c r="B379" s="24">
        <f t="shared" ref="B379:Z379" si="132">B378/(COUNT(B374:B377)*1)</f>
        <v>0.5</v>
      </c>
      <c r="C379" s="24">
        <f t="shared" si="132"/>
        <v>0.5</v>
      </c>
      <c r="D379" s="24">
        <f t="shared" si="132"/>
        <v>0.5</v>
      </c>
      <c r="E379" s="24">
        <f t="shared" si="132"/>
        <v>0.75</v>
      </c>
      <c r="F379" s="24">
        <f t="shared" si="132"/>
        <v>0.75</v>
      </c>
      <c r="G379" s="24">
        <f t="shared" si="132"/>
        <v>0</v>
      </c>
      <c r="H379" s="24">
        <f t="shared" si="132"/>
        <v>0</v>
      </c>
      <c r="I379" s="24">
        <f t="shared" si="132"/>
        <v>0</v>
      </c>
      <c r="J379" s="24">
        <f t="shared" si="132"/>
        <v>0</v>
      </c>
      <c r="K379" s="24" t="str">
        <f t="shared" si="132"/>
        <v>#DIV/0!</v>
      </c>
      <c r="L379" s="24" t="str">
        <f t="shared" si="132"/>
        <v>#DIV/0!</v>
      </c>
      <c r="M379" s="24" t="str">
        <f t="shared" si="132"/>
        <v>#DIV/0!</v>
      </c>
      <c r="N379" s="24" t="str">
        <f t="shared" si="132"/>
        <v>#DIV/0!</v>
      </c>
      <c r="O379" s="24" t="str">
        <f t="shared" si="132"/>
        <v>#DIV/0!</v>
      </c>
      <c r="P379" s="24" t="str">
        <f t="shared" si="132"/>
        <v>#DIV/0!</v>
      </c>
      <c r="Q379" s="24" t="str">
        <f t="shared" si="132"/>
        <v>#DIV/0!</v>
      </c>
      <c r="R379" s="24" t="str">
        <f t="shared" si="132"/>
        <v>#DIV/0!</v>
      </c>
      <c r="S379" s="24" t="str">
        <f t="shared" si="132"/>
        <v>#DIV/0!</v>
      </c>
      <c r="T379" s="24" t="str">
        <f t="shared" si="132"/>
        <v>#DIV/0!</v>
      </c>
      <c r="U379" s="24" t="str">
        <f t="shared" si="132"/>
        <v>#DIV/0!</v>
      </c>
      <c r="V379" s="24" t="str">
        <f t="shared" si="132"/>
        <v>#DIV/0!</v>
      </c>
      <c r="W379" s="24" t="str">
        <f t="shared" si="132"/>
        <v>#DIV/0!</v>
      </c>
      <c r="X379" s="24" t="str">
        <f t="shared" si="132"/>
        <v>#DIV/0!</v>
      </c>
      <c r="Y379" s="24" t="str">
        <f t="shared" si="132"/>
        <v>#DIV/0!</v>
      </c>
      <c r="Z379" s="24" t="str">
        <f t="shared" si="132"/>
        <v>#DIV/0!</v>
      </c>
      <c r="AA379" s="25"/>
      <c r="AB379" s="26">
        <f>SUM(AB374:AB377)/4</f>
        <v>0.3333333333</v>
      </c>
      <c r="AC379" s="2"/>
    </row>
    <row r="380">
      <c r="A380" s="27" t="s">
        <v>44</v>
      </c>
      <c r="B380" s="60"/>
      <c r="C380" s="61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30">
        <f t="shared" ref="AA380:AA382" si="133">SUM(B380:Z380)</f>
        <v>0</v>
      </c>
      <c r="AB380" s="31"/>
      <c r="AC380" s="2"/>
    </row>
    <row r="381">
      <c r="A381" s="32" t="s">
        <v>45</v>
      </c>
      <c r="B381" s="62"/>
      <c r="C381" s="62"/>
      <c r="D381" s="62"/>
      <c r="E381" s="128">
        <v>4.0</v>
      </c>
      <c r="F381" s="128">
        <v>2.0</v>
      </c>
      <c r="G381" s="128">
        <v>3.0</v>
      </c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0"/>
      <c r="W381" s="60"/>
      <c r="X381" s="60"/>
      <c r="Y381" s="60"/>
      <c r="Z381" s="60"/>
      <c r="AA381" s="30">
        <f t="shared" si="133"/>
        <v>9</v>
      </c>
      <c r="AB381" s="31"/>
      <c r="AC381" s="9"/>
    </row>
    <row r="382">
      <c r="A382" s="34" t="s">
        <v>46</v>
      </c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0"/>
      <c r="W382" s="60"/>
      <c r="X382" s="60"/>
      <c r="Y382" s="60"/>
      <c r="Z382" s="60"/>
      <c r="AA382" s="30">
        <f t="shared" si="133"/>
        <v>0</v>
      </c>
      <c r="AB382" s="31"/>
      <c r="AC382" s="9"/>
    </row>
    <row r="383">
      <c r="A383" s="35" t="s">
        <v>47</v>
      </c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7"/>
      <c r="AA383" s="38"/>
      <c r="AB383" s="39"/>
      <c r="AC383" s="2"/>
    </row>
    <row r="384">
      <c r="A384" s="40" t="s">
        <v>48</v>
      </c>
      <c r="B384" s="63"/>
      <c r="C384" s="64"/>
      <c r="D384" s="63"/>
      <c r="E384" s="65">
        <v>1.0</v>
      </c>
      <c r="F384" s="65">
        <v>1.0</v>
      </c>
      <c r="G384" s="65">
        <v>1.0</v>
      </c>
      <c r="H384" s="65">
        <v>1.0</v>
      </c>
      <c r="I384" s="65">
        <v>1.0</v>
      </c>
      <c r="J384" s="65">
        <v>1.0</v>
      </c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6"/>
      <c r="W384" s="66"/>
      <c r="X384" s="66"/>
      <c r="Y384" s="66"/>
      <c r="Z384" s="66"/>
      <c r="AA384" s="44">
        <f t="shared" ref="AA384:AA385" si="134">SUM(B384:Z384)</f>
        <v>6</v>
      </c>
      <c r="AB384" s="31"/>
      <c r="AC384" s="2"/>
    </row>
    <row r="385">
      <c r="A385" s="40" t="s">
        <v>49</v>
      </c>
      <c r="B385" s="63"/>
      <c r="C385" s="64"/>
      <c r="D385" s="63"/>
      <c r="E385" s="65">
        <v>20.0</v>
      </c>
      <c r="F385" s="65">
        <v>20.0</v>
      </c>
      <c r="G385" s="65">
        <v>20.0</v>
      </c>
      <c r="H385" s="65">
        <v>20.0</v>
      </c>
      <c r="I385" s="65">
        <v>20.0</v>
      </c>
      <c r="J385" s="65">
        <v>20.0</v>
      </c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6"/>
      <c r="W385" s="66"/>
      <c r="X385" s="66"/>
      <c r="Y385" s="66"/>
      <c r="Z385" s="66"/>
      <c r="AA385" s="44">
        <f t="shared" si="134"/>
        <v>120</v>
      </c>
      <c r="AB385" s="31"/>
      <c r="AC385" s="2"/>
    </row>
    <row r="386">
      <c r="A386" s="40" t="s">
        <v>50</v>
      </c>
      <c r="B386" s="64"/>
      <c r="C386" s="64"/>
      <c r="D386" s="63"/>
      <c r="E386" s="65">
        <v>2.0</v>
      </c>
      <c r="F386" s="65">
        <v>2.0</v>
      </c>
      <c r="G386" s="65">
        <v>2.0</v>
      </c>
      <c r="H386" s="65">
        <v>2.0</v>
      </c>
      <c r="I386" s="65">
        <v>2.0</v>
      </c>
      <c r="J386" s="65">
        <v>2.0</v>
      </c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6"/>
      <c r="W386" s="66"/>
      <c r="X386" s="66"/>
      <c r="Y386" s="66"/>
      <c r="Z386" s="66"/>
      <c r="AA386" s="44">
        <f>AVERAGE(B386:Z386)</f>
        <v>2</v>
      </c>
      <c r="AB386" s="31"/>
      <c r="AC386" s="2"/>
    </row>
    <row r="387">
      <c r="A387" s="45" t="s">
        <v>51</v>
      </c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7"/>
      <c r="AA387" s="46"/>
      <c r="AB387" s="39"/>
      <c r="AC387" s="2"/>
    </row>
    <row r="388">
      <c r="A388" s="47" t="s">
        <v>48</v>
      </c>
      <c r="B388" s="48"/>
      <c r="C388" s="49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50"/>
      <c r="W388" s="50"/>
      <c r="X388" s="50"/>
      <c r="Y388" s="50"/>
      <c r="Z388" s="50"/>
      <c r="AA388" s="51">
        <f t="shared" ref="AA388:AA389" si="135">SUM(B388:Z388)</f>
        <v>0</v>
      </c>
      <c r="AB388" s="31"/>
      <c r="AC388" s="2"/>
    </row>
    <row r="389">
      <c r="A389" s="47" t="s">
        <v>49</v>
      </c>
      <c r="B389" s="48"/>
      <c r="C389" s="49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50"/>
      <c r="W389" s="50"/>
      <c r="X389" s="50"/>
      <c r="Y389" s="50"/>
      <c r="Z389" s="50"/>
      <c r="AA389" s="51">
        <f t="shared" si="135"/>
        <v>0</v>
      </c>
      <c r="AB389" s="31"/>
      <c r="AC389" s="2"/>
    </row>
    <row r="390">
      <c r="A390" s="47" t="s">
        <v>50</v>
      </c>
      <c r="B390" s="49"/>
      <c r="C390" s="49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50"/>
      <c r="W390" s="50"/>
      <c r="X390" s="50"/>
      <c r="Y390" s="50"/>
      <c r="Z390" s="50"/>
      <c r="AA390" s="51" t="str">
        <f>AVERAGE(B390:Z390)</f>
        <v>#DIV/0!</v>
      </c>
      <c r="AB390" s="31"/>
      <c r="AC390" s="2"/>
    </row>
    <row r="391">
      <c r="A391" s="52" t="s">
        <v>53</v>
      </c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7"/>
      <c r="AA391" s="38"/>
      <c r="AB391" s="39"/>
      <c r="AC391" s="2"/>
    </row>
    <row r="392">
      <c r="A392" s="40" t="s">
        <v>48</v>
      </c>
      <c r="B392" s="41"/>
      <c r="C392" s="42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3"/>
      <c r="W392" s="43"/>
      <c r="X392" s="43"/>
      <c r="Y392" s="43"/>
      <c r="Z392" s="43"/>
      <c r="AA392" s="44">
        <f t="shared" ref="AA392:AA393" si="136">SUM(B392:Z392)</f>
        <v>0</v>
      </c>
      <c r="AB392" s="31"/>
      <c r="AC392" s="2"/>
    </row>
    <row r="393">
      <c r="A393" s="40" t="s">
        <v>49</v>
      </c>
      <c r="B393" s="41"/>
      <c r="C393" s="42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3"/>
      <c r="W393" s="43"/>
      <c r="X393" s="43"/>
      <c r="Y393" s="43"/>
      <c r="Z393" s="43"/>
      <c r="AA393" s="44">
        <f t="shared" si="136"/>
        <v>0</v>
      </c>
      <c r="AB393" s="31"/>
      <c r="AC393" s="2"/>
    </row>
    <row r="394">
      <c r="A394" s="53" t="s">
        <v>50</v>
      </c>
      <c r="B394" s="54"/>
      <c r="C394" s="54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6"/>
      <c r="W394" s="56"/>
      <c r="X394" s="56"/>
      <c r="Y394" s="56"/>
      <c r="Z394" s="56"/>
      <c r="AA394" s="57" t="str">
        <f>AVERAGE(B394:Z394)</f>
        <v>#DIV/0!</v>
      </c>
      <c r="AB394" s="58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59"/>
      <c r="AB395" s="59"/>
      <c r="AC395" s="2"/>
    </row>
    <row r="396">
      <c r="A396" s="71" t="s">
        <v>54</v>
      </c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5" t="s">
        <v>37</v>
      </c>
      <c r="AB396" s="16" t="s">
        <v>38</v>
      </c>
      <c r="AC396" s="2"/>
    </row>
    <row r="397">
      <c r="A397" s="17" t="s">
        <v>39</v>
      </c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20">
        <f t="shared" ref="AA397:AA401" si="137">SUM(B397:Z397)</f>
        <v>0</v>
      </c>
      <c r="AB397" s="21" t="str">
        <f t="shared" ref="AB397:AB400" si="138">AA397/(COUNT(B397:Z397)*1)</f>
        <v>#DIV/0!</v>
      </c>
      <c r="AC397" s="2"/>
    </row>
    <row r="398">
      <c r="A398" s="17" t="s">
        <v>40</v>
      </c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20">
        <f t="shared" si="137"/>
        <v>0</v>
      </c>
      <c r="AB398" s="21" t="str">
        <f t="shared" si="138"/>
        <v>#DIV/0!</v>
      </c>
      <c r="AC398" s="2"/>
    </row>
    <row r="399">
      <c r="A399" s="17" t="s">
        <v>41</v>
      </c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20">
        <f t="shared" si="137"/>
        <v>0</v>
      </c>
      <c r="AB399" s="21" t="str">
        <f t="shared" si="138"/>
        <v>#DIV/0!</v>
      </c>
      <c r="AC399" s="2"/>
    </row>
    <row r="400">
      <c r="A400" s="17" t="s">
        <v>42</v>
      </c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20">
        <f t="shared" si="137"/>
        <v>0</v>
      </c>
      <c r="AB400" s="21" t="str">
        <f t="shared" si="138"/>
        <v>#DIV/0!</v>
      </c>
      <c r="AC400" s="2"/>
    </row>
    <row r="401">
      <c r="A401" s="17" t="s">
        <v>43</v>
      </c>
      <c r="B401" s="22">
        <f t="shared" ref="B401:Z401" si="139">SUM(B397:B400)</f>
        <v>0</v>
      </c>
      <c r="C401" s="22">
        <f t="shared" si="139"/>
        <v>0</v>
      </c>
      <c r="D401" s="22">
        <f t="shared" si="139"/>
        <v>0</v>
      </c>
      <c r="E401" s="22">
        <f t="shared" si="139"/>
        <v>0</v>
      </c>
      <c r="F401" s="22">
        <f t="shared" si="139"/>
        <v>0</v>
      </c>
      <c r="G401" s="22">
        <f t="shared" si="139"/>
        <v>0</v>
      </c>
      <c r="H401" s="22">
        <f t="shared" si="139"/>
        <v>0</v>
      </c>
      <c r="I401" s="22">
        <f t="shared" si="139"/>
        <v>0</v>
      </c>
      <c r="J401" s="22">
        <f t="shared" si="139"/>
        <v>0</v>
      </c>
      <c r="K401" s="22">
        <f t="shared" si="139"/>
        <v>0</v>
      </c>
      <c r="L401" s="22">
        <f t="shared" si="139"/>
        <v>0</v>
      </c>
      <c r="M401" s="22">
        <f t="shared" si="139"/>
        <v>0</v>
      </c>
      <c r="N401" s="22">
        <f t="shared" si="139"/>
        <v>0</v>
      </c>
      <c r="O401" s="22">
        <f t="shared" si="139"/>
        <v>0</v>
      </c>
      <c r="P401" s="22">
        <f t="shared" si="139"/>
        <v>0</v>
      </c>
      <c r="Q401" s="22">
        <f t="shared" si="139"/>
        <v>0</v>
      </c>
      <c r="R401" s="22">
        <f t="shared" si="139"/>
        <v>0</v>
      </c>
      <c r="S401" s="22">
        <f t="shared" si="139"/>
        <v>0</v>
      </c>
      <c r="T401" s="22">
        <f t="shared" si="139"/>
        <v>0</v>
      </c>
      <c r="U401" s="22">
        <f t="shared" si="139"/>
        <v>0</v>
      </c>
      <c r="V401" s="22">
        <f t="shared" si="139"/>
        <v>0</v>
      </c>
      <c r="W401" s="22">
        <f t="shared" si="139"/>
        <v>0</v>
      </c>
      <c r="X401" s="22">
        <f t="shared" si="139"/>
        <v>0</v>
      </c>
      <c r="Y401" s="22">
        <f t="shared" si="139"/>
        <v>0</v>
      </c>
      <c r="Z401" s="22">
        <f t="shared" si="139"/>
        <v>0</v>
      </c>
      <c r="AA401" s="20">
        <f t="shared" si="137"/>
        <v>0</v>
      </c>
      <c r="AB401" s="23"/>
      <c r="AC401" s="2"/>
    </row>
    <row r="402">
      <c r="A402" s="17" t="s">
        <v>38</v>
      </c>
      <c r="B402" s="24" t="str">
        <f t="shared" ref="B402:Z402" si="140">B401/(COUNT(B397:B400)*1)</f>
        <v>#DIV/0!</v>
      </c>
      <c r="C402" s="24" t="str">
        <f t="shared" si="140"/>
        <v>#DIV/0!</v>
      </c>
      <c r="D402" s="24" t="str">
        <f t="shared" si="140"/>
        <v>#DIV/0!</v>
      </c>
      <c r="E402" s="24" t="str">
        <f t="shared" si="140"/>
        <v>#DIV/0!</v>
      </c>
      <c r="F402" s="24" t="str">
        <f t="shared" si="140"/>
        <v>#DIV/0!</v>
      </c>
      <c r="G402" s="24" t="str">
        <f t="shared" si="140"/>
        <v>#DIV/0!</v>
      </c>
      <c r="H402" s="24" t="str">
        <f t="shared" si="140"/>
        <v>#DIV/0!</v>
      </c>
      <c r="I402" s="24" t="str">
        <f t="shared" si="140"/>
        <v>#DIV/0!</v>
      </c>
      <c r="J402" s="24" t="str">
        <f t="shared" si="140"/>
        <v>#DIV/0!</v>
      </c>
      <c r="K402" s="24" t="str">
        <f t="shared" si="140"/>
        <v>#DIV/0!</v>
      </c>
      <c r="L402" s="24" t="str">
        <f t="shared" si="140"/>
        <v>#DIV/0!</v>
      </c>
      <c r="M402" s="24" t="str">
        <f t="shared" si="140"/>
        <v>#DIV/0!</v>
      </c>
      <c r="N402" s="24" t="str">
        <f t="shared" si="140"/>
        <v>#DIV/0!</v>
      </c>
      <c r="O402" s="24" t="str">
        <f t="shared" si="140"/>
        <v>#DIV/0!</v>
      </c>
      <c r="P402" s="24" t="str">
        <f t="shared" si="140"/>
        <v>#DIV/0!</v>
      </c>
      <c r="Q402" s="24" t="str">
        <f t="shared" si="140"/>
        <v>#DIV/0!</v>
      </c>
      <c r="R402" s="24" t="str">
        <f t="shared" si="140"/>
        <v>#DIV/0!</v>
      </c>
      <c r="S402" s="24" t="str">
        <f t="shared" si="140"/>
        <v>#DIV/0!</v>
      </c>
      <c r="T402" s="24" t="str">
        <f t="shared" si="140"/>
        <v>#DIV/0!</v>
      </c>
      <c r="U402" s="24" t="str">
        <f t="shared" si="140"/>
        <v>#DIV/0!</v>
      </c>
      <c r="V402" s="24" t="str">
        <f t="shared" si="140"/>
        <v>#DIV/0!</v>
      </c>
      <c r="W402" s="24" t="str">
        <f t="shared" si="140"/>
        <v>#DIV/0!</v>
      </c>
      <c r="X402" s="24" t="str">
        <f t="shared" si="140"/>
        <v>#DIV/0!</v>
      </c>
      <c r="Y402" s="24" t="str">
        <f t="shared" si="140"/>
        <v>#DIV/0!</v>
      </c>
      <c r="Z402" s="24" t="str">
        <f t="shared" si="140"/>
        <v>#DIV/0!</v>
      </c>
      <c r="AA402" s="25"/>
      <c r="AB402" s="26" t="str">
        <f>SUM(AB397:AB400)/4</f>
        <v>#DIV/0!</v>
      </c>
      <c r="AC402" s="2"/>
    </row>
    <row r="403">
      <c r="A403" s="27" t="s">
        <v>44</v>
      </c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30">
        <f t="shared" ref="AA403:AA405" si="141">SUM(B403:Z403)</f>
        <v>0</v>
      </c>
      <c r="AB403" s="31"/>
      <c r="AC403" s="2"/>
    </row>
    <row r="404">
      <c r="A404" s="32" t="s">
        <v>45</v>
      </c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28"/>
      <c r="W404" s="28"/>
      <c r="X404" s="28"/>
      <c r="Y404" s="28"/>
      <c r="Z404" s="28"/>
      <c r="AA404" s="30">
        <f t="shared" si="141"/>
        <v>0</v>
      </c>
      <c r="AB404" s="31"/>
      <c r="AC404" s="9"/>
    </row>
    <row r="405">
      <c r="A405" s="34" t="s">
        <v>46</v>
      </c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28"/>
      <c r="W405" s="28"/>
      <c r="X405" s="28"/>
      <c r="Y405" s="28"/>
      <c r="Z405" s="28"/>
      <c r="AA405" s="30">
        <f t="shared" si="141"/>
        <v>0</v>
      </c>
      <c r="AB405" s="31"/>
      <c r="AC405" s="9"/>
    </row>
    <row r="406">
      <c r="A406" s="35" t="s">
        <v>47</v>
      </c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8"/>
      <c r="AB406" s="39"/>
      <c r="AC406" s="2"/>
    </row>
    <row r="407">
      <c r="A407" s="40" t="s">
        <v>48</v>
      </c>
      <c r="B407" s="41"/>
      <c r="C407" s="42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3"/>
      <c r="W407" s="43"/>
      <c r="X407" s="43"/>
      <c r="Y407" s="43"/>
      <c r="Z407" s="43"/>
      <c r="AA407" s="44">
        <f t="shared" ref="AA407:AA408" si="142">SUM(B407:Z407)</f>
        <v>0</v>
      </c>
      <c r="AB407" s="31"/>
      <c r="AC407" s="2"/>
    </row>
    <row r="408">
      <c r="A408" s="40" t="s">
        <v>49</v>
      </c>
      <c r="B408" s="41"/>
      <c r="C408" s="42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3"/>
      <c r="W408" s="43"/>
      <c r="X408" s="43"/>
      <c r="Y408" s="43"/>
      <c r="Z408" s="43"/>
      <c r="AA408" s="44">
        <f t="shared" si="142"/>
        <v>0</v>
      </c>
      <c r="AB408" s="31"/>
      <c r="AC408" s="2"/>
    </row>
    <row r="409">
      <c r="A409" s="40" t="s">
        <v>50</v>
      </c>
      <c r="B409" s="42"/>
      <c r="C409" s="42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3"/>
      <c r="W409" s="43"/>
      <c r="X409" s="43"/>
      <c r="Y409" s="43"/>
      <c r="Z409" s="43"/>
      <c r="AA409" s="44" t="str">
        <f>AVERAGE(B409:Z409)</f>
        <v>#DIV/0!</v>
      </c>
      <c r="AB409" s="31"/>
      <c r="AC409" s="2"/>
    </row>
    <row r="410">
      <c r="A410" s="45" t="s">
        <v>51</v>
      </c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7"/>
      <c r="AA410" s="46"/>
      <c r="AB410" s="39"/>
      <c r="AC410" s="2"/>
    </row>
    <row r="411">
      <c r="A411" s="47" t="s">
        <v>48</v>
      </c>
      <c r="B411" s="48"/>
      <c r="C411" s="49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50"/>
      <c r="W411" s="50"/>
      <c r="X411" s="50"/>
      <c r="Y411" s="50"/>
      <c r="Z411" s="50"/>
      <c r="AA411" s="51">
        <f t="shared" ref="AA411:AA412" si="143">SUM(B411:Z411)</f>
        <v>0</v>
      </c>
      <c r="AB411" s="31"/>
      <c r="AC411" s="2"/>
    </row>
    <row r="412">
      <c r="A412" s="47" t="s">
        <v>49</v>
      </c>
      <c r="B412" s="48"/>
      <c r="C412" s="49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50"/>
      <c r="W412" s="50"/>
      <c r="X412" s="50"/>
      <c r="Y412" s="50"/>
      <c r="Z412" s="50"/>
      <c r="AA412" s="51">
        <f t="shared" si="143"/>
        <v>0</v>
      </c>
      <c r="AB412" s="31"/>
      <c r="AC412" s="2"/>
    </row>
    <row r="413">
      <c r="A413" s="47" t="s">
        <v>50</v>
      </c>
      <c r="B413" s="49"/>
      <c r="C413" s="49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50"/>
      <c r="W413" s="50"/>
      <c r="X413" s="50"/>
      <c r="Y413" s="50"/>
      <c r="Z413" s="50"/>
      <c r="AA413" s="51" t="str">
        <f>AVERAGE(B413:Z413)</f>
        <v>#DIV/0!</v>
      </c>
      <c r="AB413" s="31"/>
      <c r="AC413" s="2"/>
    </row>
    <row r="414">
      <c r="A414" s="52" t="s">
        <v>53</v>
      </c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7"/>
      <c r="AA414" s="38"/>
      <c r="AB414" s="39"/>
      <c r="AC414" s="2"/>
    </row>
    <row r="415">
      <c r="A415" s="40" t="s">
        <v>48</v>
      </c>
      <c r="B415" s="41"/>
      <c r="C415" s="42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3"/>
      <c r="W415" s="43"/>
      <c r="X415" s="43"/>
      <c r="Y415" s="43"/>
      <c r="Z415" s="43"/>
      <c r="AA415" s="44">
        <f t="shared" ref="AA415:AA416" si="144">SUM(B415:Z415)</f>
        <v>0</v>
      </c>
      <c r="AB415" s="31"/>
      <c r="AC415" s="2"/>
    </row>
    <row r="416">
      <c r="A416" s="40" t="s">
        <v>49</v>
      </c>
      <c r="B416" s="41"/>
      <c r="C416" s="42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3"/>
      <c r="W416" s="43"/>
      <c r="X416" s="43"/>
      <c r="Y416" s="43"/>
      <c r="Z416" s="43"/>
      <c r="AA416" s="44">
        <f t="shared" si="144"/>
        <v>0</v>
      </c>
      <c r="AB416" s="31"/>
      <c r="AC416" s="2"/>
    </row>
    <row r="417">
      <c r="A417" s="53" t="s">
        <v>50</v>
      </c>
      <c r="B417" s="54"/>
      <c r="C417" s="54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6"/>
      <c r="W417" s="56"/>
      <c r="X417" s="56"/>
      <c r="Y417" s="56"/>
      <c r="Z417" s="56"/>
      <c r="AA417" s="57" t="str">
        <f>AVERAGE(B417:Z417)</f>
        <v>#DIV/0!</v>
      </c>
      <c r="AB417" s="58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59"/>
      <c r="AB418" s="59"/>
      <c r="AC418" s="2"/>
    </row>
    <row r="419">
      <c r="A419" s="71" t="s">
        <v>54</v>
      </c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5" t="s">
        <v>37</v>
      </c>
      <c r="AB419" s="16" t="s">
        <v>38</v>
      </c>
      <c r="AC419" s="2"/>
    </row>
    <row r="420">
      <c r="A420" s="17" t="s">
        <v>39</v>
      </c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20">
        <f t="shared" ref="AA420:AA424" si="145">SUM(B420:Z420)</f>
        <v>0</v>
      </c>
      <c r="AB420" s="21" t="str">
        <f t="shared" ref="AB420:AB423" si="146">AA420/(COUNT(B420:Z420)*1)</f>
        <v>#DIV/0!</v>
      </c>
      <c r="AC420" s="2"/>
    </row>
    <row r="421">
      <c r="A421" s="17" t="s">
        <v>40</v>
      </c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20">
        <f t="shared" si="145"/>
        <v>0</v>
      </c>
      <c r="AB421" s="21" t="str">
        <f t="shared" si="146"/>
        <v>#DIV/0!</v>
      </c>
      <c r="AC421" s="2"/>
    </row>
    <row r="422">
      <c r="A422" s="17" t="s">
        <v>41</v>
      </c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20">
        <f t="shared" si="145"/>
        <v>0</v>
      </c>
      <c r="AB422" s="21" t="str">
        <f t="shared" si="146"/>
        <v>#DIV/0!</v>
      </c>
      <c r="AC422" s="2"/>
    </row>
    <row r="423">
      <c r="A423" s="17" t="s">
        <v>42</v>
      </c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20">
        <f t="shared" si="145"/>
        <v>0</v>
      </c>
      <c r="AB423" s="21" t="str">
        <f t="shared" si="146"/>
        <v>#DIV/0!</v>
      </c>
      <c r="AC423" s="2"/>
    </row>
    <row r="424">
      <c r="A424" s="17" t="s">
        <v>43</v>
      </c>
      <c r="B424" s="22">
        <f t="shared" ref="B424:Z424" si="147">SUM(B420:B423)</f>
        <v>0</v>
      </c>
      <c r="C424" s="22">
        <f t="shared" si="147"/>
        <v>0</v>
      </c>
      <c r="D424" s="22">
        <f t="shared" si="147"/>
        <v>0</v>
      </c>
      <c r="E424" s="22">
        <f t="shared" si="147"/>
        <v>0</v>
      </c>
      <c r="F424" s="22">
        <f t="shared" si="147"/>
        <v>0</v>
      </c>
      <c r="G424" s="22">
        <f t="shared" si="147"/>
        <v>0</v>
      </c>
      <c r="H424" s="22">
        <f t="shared" si="147"/>
        <v>0</v>
      </c>
      <c r="I424" s="22">
        <f t="shared" si="147"/>
        <v>0</v>
      </c>
      <c r="J424" s="22">
        <f t="shared" si="147"/>
        <v>0</v>
      </c>
      <c r="K424" s="22">
        <f t="shared" si="147"/>
        <v>0</v>
      </c>
      <c r="L424" s="22">
        <f t="shared" si="147"/>
        <v>0</v>
      </c>
      <c r="M424" s="22">
        <f t="shared" si="147"/>
        <v>0</v>
      </c>
      <c r="N424" s="22">
        <f t="shared" si="147"/>
        <v>0</v>
      </c>
      <c r="O424" s="22">
        <f t="shared" si="147"/>
        <v>0</v>
      </c>
      <c r="P424" s="22">
        <f t="shared" si="147"/>
        <v>0</v>
      </c>
      <c r="Q424" s="22">
        <f t="shared" si="147"/>
        <v>0</v>
      </c>
      <c r="R424" s="22">
        <f t="shared" si="147"/>
        <v>0</v>
      </c>
      <c r="S424" s="22">
        <f t="shared" si="147"/>
        <v>0</v>
      </c>
      <c r="T424" s="22">
        <f t="shared" si="147"/>
        <v>0</v>
      </c>
      <c r="U424" s="22">
        <f t="shared" si="147"/>
        <v>0</v>
      </c>
      <c r="V424" s="22">
        <f t="shared" si="147"/>
        <v>0</v>
      </c>
      <c r="W424" s="22">
        <f t="shared" si="147"/>
        <v>0</v>
      </c>
      <c r="X424" s="22">
        <f t="shared" si="147"/>
        <v>0</v>
      </c>
      <c r="Y424" s="22">
        <f t="shared" si="147"/>
        <v>0</v>
      </c>
      <c r="Z424" s="22">
        <f t="shared" si="147"/>
        <v>0</v>
      </c>
      <c r="AA424" s="20">
        <f t="shared" si="145"/>
        <v>0</v>
      </c>
      <c r="AB424" s="23"/>
      <c r="AC424" s="2"/>
    </row>
    <row r="425">
      <c r="A425" s="17" t="s">
        <v>38</v>
      </c>
      <c r="B425" s="24" t="str">
        <f t="shared" ref="B425:Z425" si="148">B424/(COUNT(B420:B423)*1)</f>
        <v>#DIV/0!</v>
      </c>
      <c r="C425" s="24" t="str">
        <f t="shared" si="148"/>
        <v>#DIV/0!</v>
      </c>
      <c r="D425" s="24" t="str">
        <f t="shared" si="148"/>
        <v>#DIV/0!</v>
      </c>
      <c r="E425" s="24" t="str">
        <f t="shared" si="148"/>
        <v>#DIV/0!</v>
      </c>
      <c r="F425" s="24" t="str">
        <f t="shared" si="148"/>
        <v>#DIV/0!</v>
      </c>
      <c r="G425" s="24" t="str">
        <f t="shared" si="148"/>
        <v>#DIV/0!</v>
      </c>
      <c r="H425" s="24" t="str">
        <f t="shared" si="148"/>
        <v>#DIV/0!</v>
      </c>
      <c r="I425" s="24" t="str">
        <f t="shared" si="148"/>
        <v>#DIV/0!</v>
      </c>
      <c r="J425" s="24" t="str">
        <f t="shared" si="148"/>
        <v>#DIV/0!</v>
      </c>
      <c r="K425" s="24" t="str">
        <f t="shared" si="148"/>
        <v>#DIV/0!</v>
      </c>
      <c r="L425" s="24" t="str">
        <f t="shared" si="148"/>
        <v>#DIV/0!</v>
      </c>
      <c r="M425" s="24" t="str">
        <f t="shared" si="148"/>
        <v>#DIV/0!</v>
      </c>
      <c r="N425" s="24" t="str">
        <f t="shared" si="148"/>
        <v>#DIV/0!</v>
      </c>
      <c r="O425" s="24" t="str">
        <f t="shared" si="148"/>
        <v>#DIV/0!</v>
      </c>
      <c r="P425" s="24" t="str">
        <f t="shared" si="148"/>
        <v>#DIV/0!</v>
      </c>
      <c r="Q425" s="24" t="str">
        <f t="shared" si="148"/>
        <v>#DIV/0!</v>
      </c>
      <c r="R425" s="24" t="str">
        <f t="shared" si="148"/>
        <v>#DIV/0!</v>
      </c>
      <c r="S425" s="24" t="str">
        <f t="shared" si="148"/>
        <v>#DIV/0!</v>
      </c>
      <c r="T425" s="24" t="str">
        <f t="shared" si="148"/>
        <v>#DIV/0!</v>
      </c>
      <c r="U425" s="24" t="str">
        <f t="shared" si="148"/>
        <v>#DIV/0!</v>
      </c>
      <c r="V425" s="24" t="str">
        <f t="shared" si="148"/>
        <v>#DIV/0!</v>
      </c>
      <c r="W425" s="24" t="str">
        <f t="shared" si="148"/>
        <v>#DIV/0!</v>
      </c>
      <c r="X425" s="24" t="str">
        <f t="shared" si="148"/>
        <v>#DIV/0!</v>
      </c>
      <c r="Y425" s="24" t="str">
        <f t="shared" si="148"/>
        <v>#DIV/0!</v>
      </c>
      <c r="Z425" s="24" t="str">
        <f t="shared" si="148"/>
        <v>#DIV/0!</v>
      </c>
      <c r="AA425" s="25"/>
      <c r="AB425" s="26" t="str">
        <f>SUM(AB420:AB423)/4</f>
        <v>#DIV/0!</v>
      </c>
      <c r="AC425" s="2"/>
    </row>
    <row r="426">
      <c r="A426" s="27" t="s">
        <v>44</v>
      </c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30">
        <f t="shared" ref="AA426:AA428" si="149">SUM(B426:Z426)</f>
        <v>0</v>
      </c>
      <c r="AB426" s="31"/>
      <c r="AC426" s="2"/>
    </row>
    <row r="427">
      <c r="A427" s="32" t="s">
        <v>45</v>
      </c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28"/>
      <c r="W427" s="28"/>
      <c r="X427" s="28"/>
      <c r="Y427" s="28"/>
      <c r="Z427" s="28"/>
      <c r="AA427" s="30">
        <f t="shared" si="149"/>
        <v>0</v>
      </c>
      <c r="AB427" s="31"/>
      <c r="AC427" s="9"/>
    </row>
    <row r="428">
      <c r="A428" s="34" t="s">
        <v>46</v>
      </c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28"/>
      <c r="W428" s="28"/>
      <c r="X428" s="28"/>
      <c r="Y428" s="28"/>
      <c r="Z428" s="28"/>
      <c r="AA428" s="30">
        <f t="shared" si="149"/>
        <v>0</v>
      </c>
      <c r="AB428" s="31"/>
      <c r="AC428" s="9"/>
    </row>
    <row r="429">
      <c r="A429" s="35" t="s">
        <v>47</v>
      </c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7"/>
      <c r="AA429" s="38"/>
      <c r="AB429" s="39"/>
      <c r="AC429" s="2"/>
    </row>
    <row r="430">
      <c r="A430" s="40" t="s">
        <v>48</v>
      </c>
      <c r="B430" s="41"/>
      <c r="C430" s="42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3"/>
      <c r="W430" s="43"/>
      <c r="X430" s="43"/>
      <c r="Y430" s="43"/>
      <c r="Z430" s="43"/>
      <c r="AA430" s="44">
        <f t="shared" ref="AA430:AA431" si="150">SUM(B430:Z430)</f>
        <v>0</v>
      </c>
      <c r="AB430" s="31"/>
      <c r="AC430" s="2"/>
    </row>
    <row r="431">
      <c r="A431" s="40" t="s">
        <v>49</v>
      </c>
      <c r="B431" s="41"/>
      <c r="C431" s="42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3"/>
      <c r="W431" s="43"/>
      <c r="X431" s="43"/>
      <c r="Y431" s="43"/>
      <c r="Z431" s="43"/>
      <c r="AA431" s="44">
        <f t="shared" si="150"/>
        <v>0</v>
      </c>
      <c r="AB431" s="31"/>
      <c r="AC431" s="2"/>
    </row>
    <row r="432">
      <c r="A432" s="40" t="s">
        <v>50</v>
      </c>
      <c r="B432" s="42"/>
      <c r="C432" s="42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3"/>
      <c r="W432" s="43"/>
      <c r="X432" s="43"/>
      <c r="Y432" s="43"/>
      <c r="Z432" s="43"/>
      <c r="AA432" s="44" t="str">
        <f>AVERAGE(B432:Z432)</f>
        <v>#DIV/0!</v>
      </c>
      <c r="AB432" s="31"/>
      <c r="AC432" s="2"/>
    </row>
    <row r="433">
      <c r="A433" s="45" t="s">
        <v>51</v>
      </c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7"/>
      <c r="AA433" s="46"/>
      <c r="AB433" s="39"/>
      <c r="AC433" s="2"/>
    </row>
    <row r="434">
      <c r="A434" s="47" t="s">
        <v>48</v>
      </c>
      <c r="B434" s="48"/>
      <c r="C434" s="49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50"/>
      <c r="W434" s="50"/>
      <c r="X434" s="50"/>
      <c r="Y434" s="50"/>
      <c r="Z434" s="50"/>
      <c r="AA434" s="51">
        <f t="shared" ref="AA434:AA435" si="151">SUM(B434:Z434)</f>
        <v>0</v>
      </c>
      <c r="AB434" s="31"/>
      <c r="AC434" s="2"/>
    </row>
    <row r="435">
      <c r="A435" s="47" t="s">
        <v>49</v>
      </c>
      <c r="B435" s="48"/>
      <c r="C435" s="49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50"/>
      <c r="W435" s="50"/>
      <c r="X435" s="50"/>
      <c r="Y435" s="50"/>
      <c r="Z435" s="50"/>
      <c r="AA435" s="51">
        <f t="shared" si="151"/>
        <v>0</v>
      </c>
      <c r="AB435" s="31"/>
      <c r="AC435" s="2"/>
    </row>
    <row r="436">
      <c r="A436" s="47" t="s">
        <v>50</v>
      </c>
      <c r="B436" s="49"/>
      <c r="C436" s="49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50"/>
      <c r="W436" s="50"/>
      <c r="X436" s="50"/>
      <c r="Y436" s="50"/>
      <c r="Z436" s="50"/>
      <c r="AA436" s="51" t="str">
        <f>AVERAGE(B436:Z436)</f>
        <v>#DIV/0!</v>
      </c>
      <c r="AB436" s="31"/>
      <c r="AC436" s="2"/>
    </row>
    <row r="437">
      <c r="A437" s="52" t="s">
        <v>53</v>
      </c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7"/>
      <c r="AA437" s="38"/>
      <c r="AB437" s="39"/>
      <c r="AC437" s="2"/>
    </row>
    <row r="438">
      <c r="A438" s="40" t="s">
        <v>48</v>
      </c>
      <c r="B438" s="41"/>
      <c r="C438" s="42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3"/>
      <c r="W438" s="43"/>
      <c r="X438" s="43"/>
      <c r="Y438" s="43"/>
      <c r="Z438" s="43"/>
      <c r="AA438" s="44">
        <f t="shared" ref="AA438:AA439" si="152">SUM(B438:Z438)</f>
        <v>0</v>
      </c>
      <c r="AB438" s="31"/>
      <c r="AC438" s="2"/>
    </row>
    <row r="439">
      <c r="A439" s="40" t="s">
        <v>49</v>
      </c>
      <c r="B439" s="41"/>
      <c r="C439" s="42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3"/>
      <c r="W439" s="43"/>
      <c r="X439" s="43"/>
      <c r="Y439" s="43"/>
      <c r="Z439" s="43"/>
      <c r="AA439" s="44">
        <f t="shared" si="152"/>
        <v>0</v>
      </c>
      <c r="AB439" s="31"/>
      <c r="AC439" s="2"/>
    </row>
    <row r="440">
      <c r="A440" s="53" t="s">
        <v>50</v>
      </c>
      <c r="B440" s="54"/>
      <c r="C440" s="54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6"/>
      <c r="W440" s="56"/>
      <c r="X440" s="56"/>
      <c r="Y440" s="56"/>
      <c r="Z440" s="56"/>
      <c r="AA440" s="57" t="str">
        <f>AVERAGE(B440:Z440)</f>
        <v>#DIV/0!</v>
      </c>
      <c r="AB440" s="58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59"/>
      <c r="AB441" s="59"/>
      <c r="AC441" s="2"/>
    </row>
    <row r="442">
      <c r="A442" s="71" t="s">
        <v>54</v>
      </c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5" t="s">
        <v>37</v>
      </c>
      <c r="AB442" s="16" t="s">
        <v>38</v>
      </c>
      <c r="AC442" s="2"/>
    </row>
    <row r="443">
      <c r="A443" s="17" t="s">
        <v>39</v>
      </c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20">
        <f t="shared" ref="AA443:AA447" si="153">SUM(B443:Z443)</f>
        <v>0</v>
      </c>
      <c r="AB443" s="21" t="str">
        <f t="shared" ref="AB443:AB446" si="154">AA443/(COUNT(B443:Z443)*1)</f>
        <v>#DIV/0!</v>
      </c>
      <c r="AC443" s="2"/>
    </row>
    <row r="444">
      <c r="A444" s="17" t="s">
        <v>40</v>
      </c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20">
        <f t="shared" si="153"/>
        <v>0</v>
      </c>
      <c r="AB444" s="21" t="str">
        <f t="shared" si="154"/>
        <v>#DIV/0!</v>
      </c>
      <c r="AC444" s="2"/>
    </row>
    <row r="445">
      <c r="A445" s="17" t="s">
        <v>41</v>
      </c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20">
        <f t="shared" si="153"/>
        <v>0</v>
      </c>
      <c r="AB445" s="21" t="str">
        <f t="shared" si="154"/>
        <v>#DIV/0!</v>
      </c>
      <c r="AC445" s="2"/>
    </row>
    <row r="446">
      <c r="A446" s="17" t="s">
        <v>42</v>
      </c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20">
        <f t="shared" si="153"/>
        <v>0</v>
      </c>
      <c r="AB446" s="21" t="str">
        <f t="shared" si="154"/>
        <v>#DIV/0!</v>
      </c>
      <c r="AC446" s="2"/>
    </row>
    <row r="447">
      <c r="A447" s="17" t="s">
        <v>43</v>
      </c>
      <c r="B447" s="22">
        <f t="shared" ref="B447:Z447" si="155">SUM(B443:B446)</f>
        <v>0</v>
      </c>
      <c r="C447" s="22">
        <f t="shared" si="155"/>
        <v>0</v>
      </c>
      <c r="D447" s="22">
        <f t="shared" si="155"/>
        <v>0</v>
      </c>
      <c r="E447" s="22">
        <f t="shared" si="155"/>
        <v>0</v>
      </c>
      <c r="F447" s="22">
        <f t="shared" si="155"/>
        <v>0</v>
      </c>
      <c r="G447" s="22">
        <f t="shared" si="155"/>
        <v>0</v>
      </c>
      <c r="H447" s="22">
        <f t="shared" si="155"/>
        <v>0</v>
      </c>
      <c r="I447" s="22">
        <f t="shared" si="155"/>
        <v>0</v>
      </c>
      <c r="J447" s="22">
        <f t="shared" si="155"/>
        <v>0</v>
      </c>
      <c r="K447" s="22">
        <f t="shared" si="155"/>
        <v>0</v>
      </c>
      <c r="L447" s="22">
        <f t="shared" si="155"/>
        <v>0</v>
      </c>
      <c r="M447" s="22">
        <f t="shared" si="155"/>
        <v>0</v>
      </c>
      <c r="N447" s="22">
        <f t="shared" si="155"/>
        <v>0</v>
      </c>
      <c r="O447" s="22">
        <f t="shared" si="155"/>
        <v>0</v>
      </c>
      <c r="P447" s="22">
        <f t="shared" si="155"/>
        <v>0</v>
      </c>
      <c r="Q447" s="22">
        <f t="shared" si="155"/>
        <v>0</v>
      </c>
      <c r="R447" s="22">
        <f t="shared" si="155"/>
        <v>0</v>
      </c>
      <c r="S447" s="22">
        <f t="shared" si="155"/>
        <v>0</v>
      </c>
      <c r="T447" s="22">
        <f t="shared" si="155"/>
        <v>0</v>
      </c>
      <c r="U447" s="22">
        <f t="shared" si="155"/>
        <v>0</v>
      </c>
      <c r="V447" s="22">
        <f t="shared" si="155"/>
        <v>0</v>
      </c>
      <c r="W447" s="22">
        <f t="shared" si="155"/>
        <v>0</v>
      </c>
      <c r="X447" s="22">
        <f t="shared" si="155"/>
        <v>0</v>
      </c>
      <c r="Y447" s="22">
        <f t="shared" si="155"/>
        <v>0</v>
      </c>
      <c r="Z447" s="22">
        <f t="shared" si="155"/>
        <v>0</v>
      </c>
      <c r="AA447" s="20">
        <f t="shared" si="153"/>
        <v>0</v>
      </c>
      <c r="AB447" s="23"/>
      <c r="AC447" s="2"/>
    </row>
    <row r="448">
      <c r="A448" s="17" t="s">
        <v>38</v>
      </c>
      <c r="B448" s="24" t="str">
        <f t="shared" ref="B448:Z448" si="156">B447/(COUNT(B443:B446)*1)</f>
        <v>#DIV/0!</v>
      </c>
      <c r="C448" s="24" t="str">
        <f t="shared" si="156"/>
        <v>#DIV/0!</v>
      </c>
      <c r="D448" s="24" t="str">
        <f t="shared" si="156"/>
        <v>#DIV/0!</v>
      </c>
      <c r="E448" s="24" t="str">
        <f t="shared" si="156"/>
        <v>#DIV/0!</v>
      </c>
      <c r="F448" s="24" t="str">
        <f t="shared" si="156"/>
        <v>#DIV/0!</v>
      </c>
      <c r="G448" s="24" t="str">
        <f t="shared" si="156"/>
        <v>#DIV/0!</v>
      </c>
      <c r="H448" s="24" t="str">
        <f t="shared" si="156"/>
        <v>#DIV/0!</v>
      </c>
      <c r="I448" s="24" t="str">
        <f t="shared" si="156"/>
        <v>#DIV/0!</v>
      </c>
      <c r="J448" s="24" t="str">
        <f t="shared" si="156"/>
        <v>#DIV/0!</v>
      </c>
      <c r="K448" s="24" t="str">
        <f t="shared" si="156"/>
        <v>#DIV/0!</v>
      </c>
      <c r="L448" s="24" t="str">
        <f t="shared" si="156"/>
        <v>#DIV/0!</v>
      </c>
      <c r="M448" s="24" t="str">
        <f t="shared" si="156"/>
        <v>#DIV/0!</v>
      </c>
      <c r="N448" s="24" t="str">
        <f t="shared" si="156"/>
        <v>#DIV/0!</v>
      </c>
      <c r="O448" s="24" t="str">
        <f t="shared" si="156"/>
        <v>#DIV/0!</v>
      </c>
      <c r="P448" s="24" t="str">
        <f t="shared" si="156"/>
        <v>#DIV/0!</v>
      </c>
      <c r="Q448" s="24" t="str">
        <f t="shared" si="156"/>
        <v>#DIV/0!</v>
      </c>
      <c r="R448" s="24" t="str">
        <f t="shared" si="156"/>
        <v>#DIV/0!</v>
      </c>
      <c r="S448" s="24" t="str">
        <f t="shared" si="156"/>
        <v>#DIV/0!</v>
      </c>
      <c r="T448" s="24" t="str">
        <f t="shared" si="156"/>
        <v>#DIV/0!</v>
      </c>
      <c r="U448" s="24" t="str">
        <f t="shared" si="156"/>
        <v>#DIV/0!</v>
      </c>
      <c r="V448" s="24" t="str">
        <f t="shared" si="156"/>
        <v>#DIV/0!</v>
      </c>
      <c r="W448" s="24" t="str">
        <f t="shared" si="156"/>
        <v>#DIV/0!</v>
      </c>
      <c r="X448" s="24" t="str">
        <f t="shared" si="156"/>
        <v>#DIV/0!</v>
      </c>
      <c r="Y448" s="24" t="str">
        <f t="shared" si="156"/>
        <v>#DIV/0!</v>
      </c>
      <c r="Z448" s="24" t="str">
        <f t="shared" si="156"/>
        <v>#DIV/0!</v>
      </c>
      <c r="AA448" s="25"/>
      <c r="AB448" s="26" t="str">
        <f>SUM(AB443:AB446)/4</f>
        <v>#DIV/0!</v>
      </c>
      <c r="AC448" s="2"/>
    </row>
    <row r="449">
      <c r="A449" s="27" t="s">
        <v>44</v>
      </c>
      <c r="B449" s="28"/>
      <c r="C449" s="29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30">
        <f t="shared" ref="AA449:AA451" si="157">SUM(B449:Z449)</f>
        <v>0</v>
      </c>
      <c r="AB449" s="31"/>
      <c r="AC449" s="2"/>
    </row>
    <row r="450">
      <c r="A450" s="32" t="s">
        <v>45</v>
      </c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28"/>
      <c r="W450" s="28"/>
      <c r="X450" s="28"/>
      <c r="Y450" s="28"/>
      <c r="Z450" s="28"/>
      <c r="AA450" s="30">
        <f t="shared" si="157"/>
        <v>0</v>
      </c>
      <c r="AB450" s="31"/>
      <c r="AC450" s="9"/>
    </row>
    <row r="451">
      <c r="A451" s="34" t="s">
        <v>46</v>
      </c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28"/>
      <c r="W451" s="28"/>
      <c r="X451" s="28"/>
      <c r="Y451" s="28"/>
      <c r="Z451" s="28"/>
      <c r="AA451" s="30">
        <f t="shared" si="157"/>
        <v>0</v>
      </c>
      <c r="AB451" s="31"/>
      <c r="AC451" s="9"/>
    </row>
    <row r="452">
      <c r="A452" s="35" t="s">
        <v>47</v>
      </c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7"/>
      <c r="AA452" s="38"/>
      <c r="AB452" s="39"/>
      <c r="AC452" s="2"/>
    </row>
    <row r="453">
      <c r="A453" s="40" t="s">
        <v>48</v>
      </c>
      <c r="B453" s="41"/>
      <c r="C453" s="42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3"/>
      <c r="W453" s="43"/>
      <c r="X453" s="43"/>
      <c r="Y453" s="43"/>
      <c r="Z453" s="43"/>
      <c r="AA453" s="44">
        <f t="shared" ref="AA453:AA454" si="158">SUM(B453:Z453)</f>
        <v>0</v>
      </c>
      <c r="AB453" s="31"/>
      <c r="AC453" s="2"/>
    </row>
    <row r="454">
      <c r="A454" s="40" t="s">
        <v>49</v>
      </c>
      <c r="B454" s="41"/>
      <c r="C454" s="42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3"/>
      <c r="W454" s="43"/>
      <c r="X454" s="43"/>
      <c r="Y454" s="43"/>
      <c r="Z454" s="43"/>
      <c r="AA454" s="44">
        <f t="shared" si="158"/>
        <v>0</v>
      </c>
      <c r="AB454" s="31"/>
      <c r="AC454" s="2"/>
    </row>
    <row r="455">
      <c r="A455" s="40" t="s">
        <v>50</v>
      </c>
      <c r="B455" s="42"/>
      <c r="C455" s="42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3"/>
      <c r="W455" s="43"/>
      <c r="X455" s="43"/>
      <c r="Y455" s="43"/>
      <c r="Z455" s="43"/>
      <c r="AA455" s="44" t="str">
        <f>AVERAGE(B455:Z455)</f>
        <v>#DIV/0!</v>
      </c>
      <c r="AB455" s="31"/>
      <c r="AC455" s="2"/>
    </row>
    <row r="456">
      <c r="A456" s="45" t="s">
        <v>51</v>
      </c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7"/>
      <c r="AA456" s="46"/>
      <c r="AB456" s="39"/>
      <c r="AC456" s="2"/>
    </row>
    <row r="457">
      <c r="A457" s="47" t="s">
        <v>48</v>
      </c>
      <c r="B457" s="48"/>
      <c r="C457" s="49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50"/>
      <c r="W457" s="50"/>
      <c r="X457" s="50"/>
      <c r="Y457" s="50"/>
      <c r="Z457" s="50"/>
      <c r="AA457" s="51">
        <f t="shared" ref="AA457:AA458" si="159">SUM(B457:Z457)</f>
        <v>0</v>
      </c>
      <c r="AB457" s="31"/>
      <c r="AC457" s="2"/>
    </row>
    <row r="458">
      <c r="A458" s="47" t="s">
        <v>49</v>
      </c>
      <c r="B458" s="48"/>
      <c r="C458" s="49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50"/>
      <c r="W458" s="50"/>
      <c r="X458" s="50"/>
      <c r="Y458" s="50"/>
      <c r="Z458" s="50"/>
      <c r="AA458" s="51">
        <f t="shared" si="159"/>
        <v>0</v>
      </c>
      <c r="AB458" s="31"/>
      <c r="AC458" s="2"/>
    </row>
    <row r="459">
      <c r="A459" s="47" t="s">
        <v>50</v>
      </c>
      <c r="B459" s="49"/>
      <c r="C459" s="49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50"/>
      <c r="W459" s="50"/>
      <c r="X459" s="50"/>
      <c r="Y459" s="50"/>
      <c r="Z459" s="50"/>
      <c r="AA459" s="51" t="str">
        <f>AVERAGE(B459:Z459)</f>
        <v>#DIV/0!</v>
      </c>
      <c r="AB459" s="31"/>
      <c r="AC459" s="2"/>
    </row>
    <row r="460">
      <c r="A460" s="52" t="s">
        <v>53</v>
      </c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7"/>
      <c r="AA460" s="38"/>
      <c r="AB460" s="39"/>
      <c r="AC460" s="2"/>
    </row>
    <row r="461">
      <c r="A461" s="40" t="s">
        <v>48</v>
      </c>
      <c r="B461" s="41"/>
      <c r="C461" s="42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3"/>
      <c r="W461" s="43"/>
      <c r="X461" s="43"/>
      <c r="Y461" s="43"/>
      <c r="Z461" s="43"/>
      <c r="AA461" s="44">
        <f t="shared" ref="AA461:AA462" si="160">SUM(B461:Z461)</f>
        <v>0</v>
      </c>
      <c r="AB461" s="31"/>
      <c r="AC461" s="2"/>
    </row>
    <row r="462">
      <c r="A462" s="40" t="s">
        <v>49</v>
      </c>
      <c r="B462" s="41"/>
      <c r="C462" s="42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3"/>
      <c r="W462" s="43"/>
      <c r="X462" s="43"/>
      <c r="Y462" s="43"/>
      <c r="Z462" s="43"/>
      <c r="AA462" s="44">
        <f t="shared" si="160"/>
        <v>0</v>
      </c>
      <c r="AB462" s="31"/>
      <c r="AC462" s="2"/>
    </row>
    <row r="463">
      <c r="A463" s="53" t="s">
        <v>50</v>
      </c>
      <c r="B463" s="54"/>
      <c r="C463" s="54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6"/>
      <c r="W463" s="56"/>
      <c r="X463" s="56"/>
      <c r="Y463" s="56"/>
      <c r="Z463" s="56"/>
      <c r="AA463" s="57" t="str">
        <f>AVERAGE(B463:Z463)</f>
        <v>#DIV/0!</v>
      </c>
      <c r="AB463" s="58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59"/>
      <c r="AB464" s="59"/>
      <c r="AC464" s="2"/>
    </row>
    <row r="465">
      <c r="A465" s="71" t="s">
        <v>54</v>
      </c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 t="s">
        <v>37</v>
      </c>
      <c r="AB465" s="16" t="s">
        <v>38</v>
      </c>
      <c r="AC465" s="2"/>
    </row>
    <row r="466">
      <c r="A466" s="17" t="s">
        <v>39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20">
        <f t="shared" ref="AA466:AA470" si="161">SUM(B466:Z466)</f>
        <v>0</v>
      </c>
      <c r="AB466" s="21" t="str">
        <f t="shared" ref="AB466:AB469" si="162">AA466/(COUNT(B466:Z466)*1)</f>
        <v>#DIV/0!</v>
      </c>
      <c r="AC466" s="2"/>
    </row>
    <row r="467">
      <c r="A467" s="17" t="s">
        <v>40</v>
      </c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20">
        <f t="shared" si="161"/>
        <v>0</v>
      </c>
      <c r="AB467" s="21" t="str">
        <f t="shared" si="162"/>
        <v>#DIV/0!</v>
      </c>
      <c r="AC467" s="2"/>
    </row>
    <row r="468">
      <c r="A468" s="17" t="s">
        <v>41</v>
      </c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20">
        <f t="shared" si="161"/>
        <v>0</v>
      </c>
      <c r="AB468" s="21" t="str">
        <f t="shared" si="162"/>
        <v>#DIV/0!</v>
      </c>
      <c r="AC468" s="2"/>
    </row>
    <row r="469">
      <c r="A469" s="17" t="s">
        <v>42</v>
      </c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20">
        <f t="shared" si="161"/>
        <v>0</v>
      </c>
      <c r="AB469" s="21" t="str">
        <f t="shared" si="162"/>
        <v>#DIV/0!</v>
      </c>
      <c r="AC469" s="2"/>
    </row>
    <row r="470">
      <c r="A470" s="17" t="s">
        <v>43</v>
      </c>
      <c r="B470" s="22">
        <f t="shared" ref="B470:Z470" si="163">SUM(B466:B469)</f>
        <v>0</v>
      </c>
      <c r="C470" s="22">
        <f t="shared" si="163"/>
        <v>0</v>
      </c>
      <c r="D470" s="22">
        <f t="shared" si="163"/>
        <v>0</v>
      </c>
      <c r="E470" s="22">
        <f t="shared" si="163"/>
        <v>0</v>
      </c>
      <c r="F470" s="22">
        <f t="shared" si="163"/>
        <v>0</v>
      </c>
      <c r="G470" s="22">
        <f t="shared" si="163"/>
        <v>0</v>
      </c>
      <c r="H470" s="22">
        <f t="shared" si="163"/>
        <v>0</v>
      </c>
      <c r="I470" s="22">
        <f t="shared" si="163"/>
        <v>0</v>
      </c>
      <c r="J470" s="22">
        <f t="shared" si="163"/>
        <v>0</v>
      </c>
      <c r="K470" s="22">
        <f t="shared" si="163"/>
        <v>0</v>
      </c>
      <c r="L470" s="22">
        <f t="shared" si="163"/>
        <v>0</v>
      </c>
      <c r="M470" s="22">
        <f t="shared" si="163"/>
        <v>0</v>
      </c>
      <c r="N470" s="22">
        <f t="shared" si="163"/>
        <v>0</v>
      </c>
      <c r="O470" s="22">
        <f t="shared" si="163"/>
        <v>0</v>
      </c>
      <c r="P470" s="22">
        <f t="shared" si="163"/>
        <v>0</v>
      </c>
      <c r="Q470" s="22">
        <f t="shared" si="163"/>
        <v>0</v>
      </c>
      <c r="R470" s="22">
        <f t="shared" si="163"/>
        <v>0</v>
      </c>
      <c r="S470" s="22">
        <f t="shared" si="163"/>
        <v>0</v>
      </c>
      <c r="T470" s="22">
        <f t="shared" si="163"/>
        <v>0</v>
      </c>
      <c r="U470" s="22">
        <f t="shared" si="163"/>
        <v>0</v>
      </c>
      <c r="V470" s="22">
        <f t="shared" si="163"/>
        <v>0</v>
      </c>
      <c r="W470" s="22">
        <f t="shared" si="163"/>
        <v>0</v>
      </c>
      <c r="X470" s="22">
        <f t="shared" si="163"/>
        <v>0</v>
      </c>
      <c r="Y470" s="22">
        <f t="shared" si="163"/>
        <v>0</v>
      </c>
      <c r="Z470" s="22">
        <f t="shared" si="163"/>
        <v>0</v>
      </c>
      <c r="AA470" s="20">
        <f t="shared" si="161"/>
        <v>0</v>
      </c>
      <c r="AB470" s="23"/>
      <c r="AC470" s="2"/>
    </row>
    <row r="471">
      <c r="A471" s="17" t="s">
        <v>38</v>
      </c>
      <c r="B471" s="24" t="str">
        <f t="shared" ref="B471:Z471" si="164">B470/(COUNT(B466:B469)*1)</f>
        <v>#DIV/0!</v>
      </c>
      <c r="C471" s="24" t="str">
        <f t="shared" si="164"/>
        <v>#DIV/0!</v>
      </c>
      <c r="D471" s="24" t="str">
        <f t="shared" si="164"/>
        <v>#DIV/0!</v>
      </c>
      <c r="E471" s="24" t="str">
        <f t="shared" si="164"/>
        <v>#DIV/0!</v>
      </c>
      <c r="F471" s="24" t="str">
        <f t="shared" si="164"/>
        <v>#DIV/0!</v>
      </c>
      <c r="G471" s="24" t="str">
        <f t="shared" si="164"/>
        <v>#DIV/0!</v>
      </c>
      <c r="H471" s="24" t="str">
        <f t="shared" si="164"/>
        <v>#DIV/0!</v>
      </c>
      <c r="I471" s="24" t="str">
        <f t="shared" si="164"/>
        <v>#DIV/0!</v>
      </c>
      <c r="J471" s="24" t="str">
        <f t="shared" si="164"/>
        <v>#DIV/0!</v>
      </c>
      <c r="K471" s="24" t="str">
        <f t="shared" si="164"/>
        <v>#DIV/0!</v>
      </c>
      <c r="L471" s="24" t="str">
        <f t="shared" si="164"/>
        <v>#DIV/0!</v>
      </c>
      <c r="M471" s="24" t="str">
        <f t="shared" si="164"/>
        <v>#DIV/0!</v>
      </c>
      <c r="N471" s="24" t="str">
        <f t="shared" si="164"/>
        <v>#DIV/0!</v>
      </c>
      <c r="O471" s="24" t="str">
        <f t="shared" si="164"/>
        <v>#DIV/0!</v>
      </c>
      <c r="P471" s="24" t="str">
        <f t="shared" si="164"/>
        <v>#DIV/0!</v>
      </c>
      <c r="Q471" s="24" t="str">
        <f t="shared" si="164"/>
        <v>#DIV/0!</v>
      </c>
      <c r="R471" s="24" t="str">
        <f t="shared" si="164"/>
        <v>#DIV/0!</v>
      </c>
      <c r="S471" s="24" t="str">
        <f t="shared" si="164"/>
        <v>#DIV/0!</v>
      </c>
      <c r="T471" s="24" t="str">
        <f t="shared" si="164"/>
        <v>#DIV/0!</v>
      </c>
      <c r="U471" s="24" t="str">
        <f t="shared" si="164"/>
        <v>#DIV/0!</v>
      </c>
      <c r="V471" s="24" t="str">
        <f t="shared" si="164"/>
        <v>#DIV/0!</v>
      </c>
      <c r="W471" s="24" t="str">
        <f t="shared" si="164"/>
        <v>#DIV/0!</v>
      </c>
      <c r="X471" s="24" t="str">
        <f t="shared" si="164"/>
        <v>#DIV/0!</v>
      </c>
      <c r="Y471" s="24" t="str">
        <f t="shared" si="164"/>
        <v>#DIV/0!</v>
      </c>
      <c r="Z471" s="24" t="str">
        <f t="shared" si="164"/>
        <v>#DIV/0!</v>
      </c>
      <c r="AA471" s="25"/>
      <c r="AB471" s="26" t="str">
        <f>SUM(AB466:AB469)/4</f>
        <v>#DIV/0!</v>
      </c>
      <c r="AC471" s="2"/>
    </row>
    <row r="472">
      <c r="A472" s="27" t="s">
        <v>44</v>
      </c>
      <c r="B472" s="28"/>
      <c r="C472" s="2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30">
        <f t="shared" ref="AA472:AA474" si="165">SUM(B472:Z472)</f>
        <v>0</v>
      </c>
      <c r="AB472" s="31"/>
      <c r="AC472" s="2"/>
    </row>
    <row r="473">
      <c r="A473" s="32" t="s">
        <v>45</v>
      </c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28"/>
      <c r="W473" s="28"/>
      <c r="X473" s="28"/>
      <c r="Y473" s="28"/>
      <c r="Z473" s="28"/>
      <c r="AA473" s="30">
        <f t="shared" si="165"/>
        <v>0</v>
      </c>
      <c r="AB473" s="31"/>
      <c r="AC473" s="9"/>
    </row>
    <row r="474">
      <c r="A474" s="34" t="s">
        <v>46</v>
      </c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28"/>
      <c r="W474" s="28"/>
      <c r="X474" s="28"/>
      <c r="Y474" s="28"/>
      <c r="Z474" s="28"/>
      <c r="AA474" s="30">
        <f t="shared" si="165"/>
        <v>0</v>
      </c>
      <c r="AB474" s="31"/>
      <c r="AC474" s="9"/>
    </row>
    <row r="475">
      <c r="A475" s="35" t="s">
        <v>47</v>
      </c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7"/>
      <c r="AA475" s="38"/>
      <c r="AB475" s="39"/>
      <c r="AC475" s="2"/>
    </row>
    <row r="476">
      <c r="A476" s="40" t="s">
        <v>48</v>
      </c>
      <c r="B476" s="41"/>
      <c r="C476" s="42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3"/>
      <c r="W476" s="43"/>
      <c r="X476" s="43"/>
      <c r="Y476" s="43"/>
      <c r="Z476" s="43"/>
      <c r="AA476" s="44">
        <f t="shared" ref="AA476:AA477" si="166">SUM(B476:Z476)</f>
        <v>0</v>
      </c>
      <c r="AB476" s="31"/>
      <c r="AC476" s="2"/>
    </row>
    <row r="477">
      <c r="A477" s="40" t="s">
        <v>49</v>
      </c>
      <c r="B477" s="41"/>
      <c r="C477" s="42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3"/>
      <c r="W477" s="43"/>
      <c r="X477" s="43"/>
      <c r="Y477" s="43"/>
      <c r="Z477" s="43"/>
      <c r="AA477" s="44">
        <f t="shared" si="166"/>
        <v>0</v>
      </c>
      <c r="AB477" s="31"/>
      <c r="AC477" s="2"/>
    </row>
    <row r="478">
      <c r="A478" s="40" t="s">
        <v>50</v>
      </c>
      <c r="B478" s="42"/>
      <c r="C478" s="42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3"/>
      <c r="W478" s="43"/>
      <c r="X478" s="43"/>
      <c r="Y478" s="43"/>
      <c r="Z478" s="43"/>
      <c r="AA478" s="44" t="str">
        <f>AVERAGE(B478:Z478)</f>
        <v>#DIV/0!</v>
      </c>
      <c r="AB478" s="31"/>
      <c r="AC478" s="2"/>
    </row>
    <row r="479">
      <c r="A479" s="45" t="s">
        <v>51</v>
      </c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7"/>
      <c r="AA479" s="46"/>
      <c r="AB479" s="39"/>
      <c r="AC479" s="2"/>
    </row>
    <row r="480">
      <c r="A480" s="47" t="s">
        <v>48</v>
      </c>
      <c r="B480" s="48"/>
      <c r="C480" s="49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50"/>
      <c r="W480" s="50"/>
      <c r="X480" s="50"/>
      <c r="Y480" s="50"/>
      <c r="Z480" s="50"/>
      <c r="AA480" s="51">
        <f t="shared" ref="AA480:AA481" si="167">SUM(B480:Z480)</f>
        <v>0</v>
      </c>
      <c r="AB480" s="31"/>
      <c r="AC480" s="2"/>
    </row>
    <row r="481">
      <c r="A481" s="47" t="s">
        <v>49</v>
      </c>
      <c r="B481" s="48"/>
      <c r="C481" s="49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50"/>
      <c r="W481" s="50"/>
      <c r="X481" s="50"/>
      <c r="Y481" s="50"/>
      <c r="Z481" s="50"/>
      <c r="AA481" s="51">
        <f t="shared" si="167"/>
        <v>0</v>
      </c>
      <c r="AB481" s="31"/>
      <c r="AC481" s="2"/>
    </row>
    <row r="482">
      <c r="A482" s="47" t="s">
        <v>50</v>
      </c>
      <c r="B482" s="49"/>
      <c r="C482" s="49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50"/>
      <c r="W482" s="50"/>
      <c r="X482" s="50"/>
      <c r="Y482" s="50"/>
      <c r="Z482" s="50"/>
      <c r="AA482" s="51" t="str">
        <f>AVERAGE(B482:Z482)</f>
        <v>#DIV/0!</v>
      </c>
      <c r="AB482" s="31"/>
      <c r="AC482" s="2"/>
    </row>
    <row r="483">
      <c r="A483" s="52" t="s">
        <v>53</v>
      </c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7"/>
      <c r="AA483" s="38"/>
      <c r="AB483" s="39"/>
      <c r="AC483" s="2"/>
    </row>
    <row r="484">
      <c r="A484" s="40" t="s">
        <v>48</v>
      </c>
      <c r="B484" s="41"/>
      <c r="C484" s="42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3"/>
      <c r="W484" s="43"/>
      <c r="X484" s="43"/>
      <c r="Y484" s="43"/>
      <c r="Z484" s="43"/>
      <c r="AA484" s="44">
        <f t="shared" ref="AA484:AA485" si="168">SUM(B484:Z484)</f>
        <v>0</v>
      </c>
      <c r="AB484" s="31"/>
      <c r="AC484" s="2"/>
    </row>
    <row r="485">
      <c r="A485" s="40" t="s">
        <v>49</v>
      </c>
      <c r="B485" s="41"/>
      <c r="C485" s="42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3"/>
      <c r="W485" s="43"/>
      <c r="X485" s="43"/>
      <c r="Y485" s="43"/>
      <c r="Z485" s="43"/>
      <c r="AA485" s="44">
        <f t="shared" si="168"/>
        <v>0</v>
      </c>
      <c r="AB485" s="31"/>
      <c r="AC485" s="2"/>
    </row>
    <row r="486">
      <c r="A486" s="53" t="s">
        <v>50</v>
      </c>
      <c r="B486" s="54"/>
      <c r="C486" s="54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6"/>
      <c r="W486" s="56"/>
      <c r="X486" s="56"/>
      <c r="Y486" s="56"/>
      <c r="Z486" s="56"/>
      <c r="AA486" s="57" t="str">
        <f>AVERAGE(B486:Z486)</f>
        <v>#DIV/0!</v>
      </c>
      <c r="AB486" s="58"/>
      <c r="AC486" s="2"/>
    </row>
    <row r="487">
      <c r="A487" s="9"/>
      <c r="B487" s="9"/>
      <c r="C487" s="9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71" t="s">
        <v>54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5" t="s">
        <v>37</v>
      </c>
      <c r="AB488" s="16" t="s">
        <v>38</v>
      </c>
      <c r="AC488" s="2"/>
    </row>
    <row r="489">
      <c r="A489" s="17" t="s">
        <v>39</v>
      </c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20">
        <f t="shared" ref="AA489:AA493" si="169">SUM(B489:Z489)</f>
        <v>0</v>
      </c>
      <c r="AB489" s="21" t="str">
        <f t="shared" ref="AB489:AB492" si="170">AA489/(COUNT(B489:Z489)*1)</f>
        <v>#DIV/0!</v>
      </c>
      <c r="AC489" s="2"/>
    </row>
    <row r="490">
      <c r="A490" s="17" t="s">
        <v>40</v>
      </c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20">
        <f t="shared" si="169"/>
        <v>0</v>
      </c>
      <c r="AB490" s="21" t="str">
        <f t="shared" si="170"/>
        <v>#DIV/0!</v>
      </c>
      <c r="AC490" s="2"/>
    </row>
    <row r="491">
      <c r="A491" s="17" t="s">
        <v>41</v>
      </c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20">
        <f t="shared" si="169"/>
        <v>0</v>
      </c>
      <c r="AB491" s="21" t="str">
        <f t="shared" si="170"/>
        <v>#DIV/0!</v>
      </c>
      <c r="AC491" s="2"/>
    </row>
    <row r="492">
      <c r="A492" s="17" t="s">
        <v>42</v>
      </c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20">
        <f t="shared" si="169"/>
        <v>0</v>
      </c>
      <c r="AB492" s="21" t="str">
        <f t="shared" si="170"/>
        <v>#DIV/0!</v>
      </c>
      <c r="AC492" s="2"/>
    </row>
    <row r="493">
      <c r="A493" s="17" t="s">
        <v>43</v>
      </c>
      <c r="B493" s="22">
        <f t="shared" ref="B493:Z493" si="171">SUM(B489:B492)</f>
        <v>0</v>
      </c>
      <c r="C493" s="22">
        <f t="shared" si="171"/>
        <v>0</v>
      </c>
      <c r="D493" s="22">
        <f t="shared" si="171"/>
        <v>0</v>
      </c>
      <c r="E493" s="22">
        <f t="shared" si="171"/>
        <v>0</v>
      </c>
      <c r="F493" s="22">
        <f t="shared" si="171"/>
        <v>0</v>
      </c>
      <c r="G493" s="22">
        <f t="shared" si="171"/>
        <v>0</v>
      </c>
      <c r="H493" s="22">
        <f t="shared" si="171"/>
        <v>0</v>
      </c>
      <c r="I493" s="22">
        <f t="shared" si="171"/>
        <v>0</v>
      </c>
      <c r="J493" s="22">
        <f t="shared" si="171"/>
        <v>0</v>
      </c>
      <c r="K493" s="22">
        <f t="shared" si="171"/>
        <v>0</v>
      </c>
      <c r="L493" s="22">
        <f t="shared" si="171"/>
        <v>0</v>
      </c>
      <c r="M493" s="22">
        <f t="shared" si="171"/>
        <v>0</v>
      </c>
      <c r="N493" s="22">
        <f t="shared" si="171"/>
        <v>0</v>
      </c>
      <c r="O493" s="22">
        <f t="shared" si="171"/>
        <v>0</v>
      </c>
      <c r="P493" s="22">
        <f t="shared" si="171"/>
        <v>0</v>
      </c>
      <c r="Q493" s="22">
        <f t="shared" si="171"/>
        <v>0</v>
      </c>
      <c r="R493" s="22">
        <f t="shared" si="171"/>
        <v>0</v>
      </c>
      <c r="S493" s="22">
        <f t="shared" si="171"/>
        <v>0</v>
      </c>
      <c r="T493" s="22">
        <f t="shared" si="171"/>
        <v>0</v>
      </c>
      <c r="U493" s="22">
        <f t="shared" si="171"/>
        <v>0</v>
      </c>
      <c r="V493" s="22">
        <f t="shared" si="171"/>
        <v>0</v>
      </c>
      <c r="W493" s="22">
        <f t="shared" si="171"/>
        <v>0</v>
      </c>
      <c r="X493" s="22">
        <f t="shared" si="171"/>
        <v>0</v>
      </c>
      <c r="Y493" s="22">
        <f t="shared" si="171"/>
        <v>0</v>
      </c>
      <c r="Z493" s="22">
        <f t="shared" si="171"/>
        <v>0</v>
      </c>
      <c r="AA493" s="20">
        <f t="shared" si="169"/>
        <v>0</v>
      </c>
      <c r="AB493" s="23"/>
      <c r="AC493" s="2"/>
    </row>
    <row r="494">
      <c r="A494" s="17" t="s">
        <v>38</v>
      </c>
      <c r="B494" s="24" t="str">
        <f t="shared" ref="B494:Z494" si="172">B493/(COUNT(B489:B492)*1)</f>
        <v>#DIV/0!</v>
      </c>
      <c r="C494" s="24" t="str">
        <f t="shared" si="172"/>
        <v>#DIV/0!</v>
      </c>
      <c r="D494" s="24" t="str">
        <f t="shared" si="172"/>
        <v>#DIV/0!</v>
      </c>
      <c r="E494" s="24" t="str">
        <f t="shared" si="172"/>
        <v>#DIV/0!</v>
      </c>
      <c r="F494" s="24" t="str">
        <f t="shared" si="172"/>
        <v>#DIV/0!</v>
      </c>
      <c r="G494" s="24" t="str">
        <f t="shared" si="172"/>
        <v>#DIV/0!</v>
      </c>
      <c r="H494" s="24" t="str">
        <f t="shared" si="172"/>
        <v>#DIV/0!</v>
      </c>
      <c r="I494" s="24" t="str">
        <f t="shared" si="172"/>
        <v>#DIV/0!</v>
      </c>
      <c r="J494" s="24" t="str">
        <f t="shared" si="172"/>
        <v>#DIV/0!</v>
      </c>
      <c r="K494" s="24" t="str">
        <f t="shared" si="172"/>
        <v>#DIV/0!</v>
      </c>
      <c r="L494" s="24" t="str">
        <f t="shared" si="172"/>
        <v>#DIV/0!</v>
      </c>
      <c r="M494" s="24" t="str">
        <f t="shared" si="172"/>
        <v>#DIV/0!</v>
      </c>
      <c r="N494" s="24" t="str">
        <f t="shared" si="172"/>
        <v>#DIV/0!</v>
      </c>
      <c r="O494" s="24" t="str">
        <f t="shared" si="172"/>
        <v>#DIV/0!</v>
      </c>
      <c r="P494" s="24" t="str">
        <f t="shared" si="172"/>
        <v>#DIV/0!</v>
      </c>
      <c r="Q494" s="24" t="str">
        <f t="shared" si="172"/>
        <v>#DIV/0!</v>
      </c>
      <c r="R494" s="24" t="str">
        <f t="shared" si="172"/>
        <v>#DIV/0!</v>
      </c>
      <c r="S494" s="24" t="str">
        <f t="shared" si="172"/>
        <v>#DIV/0!</v>
      </c>
      <c r="T494" s="24" t="str">
        <f t="shared" si="172"/>
        <v>#DIV/0!</v>
      </c>
      <c r="U494" s="24" t="str">
        <f t="shared" si="172"/>
        <v>#DIV/0!</v>
      </c>
      <c r="V494" s="24" t="str">
        <f t="shared" si="172"/>
        <v>#DIV/0!</v>
      </c>
      <c r="W494" s="24" t="str">
        <f t="shared" si="172"/>
        <v>#DIV/0!</v>
      </c>
      <c r="X494" s="24" t="str">
        <f t="shared" si="172"/>
        <v>#DIV/0!</v>
      </c>
      <c r="Y494" s="24" t="str">
        <f t="shared" si="172"/>
        <v>#DIV/0!</v>
      </c>
      <c r="Z494" s="24" t="str">
        <f t="shared" si="172"/>
        <v>#DIV/0!</v>
      </c>
      <c r="AA494" s="25"/>
      <c r="AB494" s="26" t="str">
        <f>SUM(AB489:AB492)/4</f>
        <v>#DIV/0!</v>
      </c>
      <c r="AC494" s="2"/>
    </row>
    <row r="495">
      <c r="A495" s="27" t="s">
        <v>44</v>
      </c>
      <c r="B495" s="28"/>
      <c r="C495" s="2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30">
        <f t="shared" ref="AA495:AA497" si="173">SUM(B495:Z495)</f>
        <v>0</v>
      </c>
      <c r="AB495" s="31"/>
      <c r="AC495" s="2"/>
    </row>
    <row r="496">
      <c r="A496" s="32" t="s">
        <v>45</v>
      </c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28"/>
      <c r="W496" s="28"/>
      <c r="X496" s="28"/>
      <c r="Y496" s="28"/>
      <c r="Z496" s="28"/>
      <c r="AA496" s="30">
        <f t="shared" si="173"/>
        <v>0</v>
      </c>
      <c r="AB496" s="31"/>
      <c r="AC496" s="9"/>
    </row>
    <row r="497">
      <c r="A497" s="34" t="s">
        <v>46</v>
      </c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28"/>
      <c r="W497" s="28"/>
      <c r="X497" s="28"/>
      <c r="Y497" s="28"/>
      <c r="Z497" s="28"/>
      <c r="AA497" s="30">
        <f t="shared" si="173"/>
        <v>0</v>
      </c>
      <c r="AB497" s="31"/>
      <c r="AC497" s="9"/>
    </row>
    <row r="498">
      <c r="A498" s="35" t="s">
        <v>47</v>
      </c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7"/>
      <c r="AA498" s="38"/>
      <c r="AB498" s="39"/>
      <c r="AC498" s="2"/>
    </row>
    <row r="499">
      <c r="A499" s="40" t="s">
        <v>48</v>
      </c>
      <c r="B499" s="41"/>
      <c r="C499" s="42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3"/>
      <c r="W499" s="43"/>
      <c r="X499" s="43"/>
      <c r="Y499" s="43"/>
      <c r="Z499" s="43"/>
      <c r="AA499" s="44">
        <f t="shared" ref="AA499:AA500" si="174">SUM(B499:Z499)</f>
        <v>0</v>
      </c>
      <c r="AB499" s="31"/>
      <c r="AC499" s="2"/>
    </row>
    <row r="500">
      <c r="A500" s="40" t="s">
        <v>49</v>
      </c>
      <c r="B500" s="41"/>
      <c r="C500" s="42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3"/>
      <c r="W500" s="43"/>
      <c r="X500" s="43"/>
      <c r="Y500" s="43"/>
      <c r="Z500" s="43"/>
      <c r="AA500" s="44">
        <f t="shared" si="174"/>
        <v>0</v>
      </c>
      <c r="AB500" s="31"/>
      <c r="AC500" s="2"/>
    </row>
    <row r="501">
      <c r="A501" s="40" t="s">
        <v>50</v>
      </c>
      <c r="B501" s="42"/>
      <c r="C501" s="42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3"/>
      <c r="W501" s="43"/>
      <c r="X501" s="43"/>
      <c r="Y501" s="43"/>
      <c r="Z501" s="43"/>
      <c r="AA501" s="44" t="str">
        <f>AVERAGE(B501:Z501)</f>
        <v>#DIV/0!</v>
      </c>
      <c r="AB501" s="31"/>
      <c r="AC501" s="2"/>
    </row>
    <row r="502">
      <c r="A502" s="45" t="s">
        <v>51</v>
      </c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7"/>
      <c r="AA502" s="46"/>
      <c r="AB502" s="39"/>
      <c r="AC502" s="2"/>
    </row>
    <row r="503">
      <c r="A503" s="47" t="s">
        <v>48</v>
      </c>
      <c r="B503" s="48"/>
      <c r="C503" s="49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50"/>
      <c r="W503" s="50"/>
      <c r="X503" s="50"/>
      <c r="Y503" s="50"/>
      <c r="Z503" s="50"/>
      <c r="AA503" s="51">
        <f t="shared" ref="AA503:AA504" si="175">SUM(B503:Z503)</f>
        <v>0</v>
      </c>
      <c r="AB503" s="31"/>
      <c r="AC503" s="2"/>
    </row>
    <row r="504">
      <c r="A504" s="47" t="s">
        <v>49</v>
      </c>
      <c r="B504" s="48"/>
      <c r="C504" s="49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50"/>
      <c r="W504" s="50"/>
      <c r="X504" s="50"/>
      <c r="Y504" s="50"/>
      <c r="Z504" s="50"/>
      <c r="AA504" s="51">
        <f t="shared" si="175"/>
        <v>0</v>
      </c>
      <c r="AB504" s="31"/>
      <c r="AC504" s="2"/>
    </row>
    <row r="505">
      <c r="A505" s="47" t="s">
        <v>50</v>
      </c>
      <c r="B505" s="49"/>
      <c r="C505" s="49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50"/>
      <c r="W505" s="50"/>
      <c r="X505" s="50"/>
      <c r="Y505" s="50"/>
      <c r="Z505" s="50"/>
      <c r="AA505" s="51" t="str">
        <f>AVERAGE(B505:Z505)</f>
        <v>#DIV/0!</v>
      </c>
      <c r="AB505" s="31"/>
      <c r="AC505" s="2"/>
    </row>
    <row r="506">
      <c r="A506" s="52" t="s">
        <v>53</v>
      </c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7"/>
      <c r="AA506" s="38"/>
      <c r="AB506" s="39"/>
      <c r="AC506" s="2"/>
    </row>
    <row r="507">
      <c r="A507" s="40" t="s">
        <v>48</v>
      </c>
      <c r="B507" s="41"/>
      <c r="C507" s="42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3"/>
      <c r="W507" s="43"/>
      <c r="X507" s="43"/>
      <c r="Y507" s="43"/>
      <c r="Z507" s="43"/>
      <c r="AA507" s="44">
        <f t="shared" ref="AA507:AA508" si="176">SUM(B507:Z507)</f>
        <v>0</v>
      </c>
      <c r="AB507" s="31"/>
      <c r="AC507" s="2"/>
    </row>
    <row r="508">
      <c r="A508" s="40" t="s">
        <v>49</v>
      </c>
      <c r="B508" s="41"/>
      <c r="C508" s="42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3"/>
      <c r="W508" s="43"/>
      <c r="X508" s="43"/>
      <c r="Y508" s="43"/>
      <c r="Z508" s="43"/>
      <c r="AA508" s="44">
        <f t="shared" si="176"/>
        <v>0</v>
      </c>
      <c r="AB508" s="31"/>
      <c r="AC508" s="2"/>
    </row>
    <row r="509">
      <c r="A509" s="53" t="s">
        <v>50</v>
      </c>
      <c r="B509" s="54"/>
      <c r="C509" s="54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6"/>
      <c r="W509" s="56"/>
      <c r="X509" s="56"/>
      <c r="Y509" s="56"/>
      <c r="Z509" s="56"/>
      <c r="AA509" s="57" t="str">
        <f>AVERAGE(B509:Z509)</f>
        <v>#DIV/0!</v>
      </c>
      <c r="AB509" s="58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9"/>
      <c r="AB511" s="9"/>
      <c r="AC511" s="2"/>
    </row>
    <row r="512" ht="15.75" customHeight="1">
      <c r="A512" s="72" t="s">
        <v>55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73" t="s">
        <v>56</v>
      </c>
      <c r="AB512" s="73" t="s">
        <v>57</v>
      </c>
      <c r="AC512" s="2"/>
    </row>
    <row r="513" ht="15.75" customHeight="1">
      <c r="A513" s="74" t="s">
        <v>39</v>
      </c>
      <c r="B513" s="75">
        <f t="shared" ref="B513:Z513" si="177">B6+B29+B52+B75+B98+B121+B144+B167+B190+B213+B236+B259+B282+B305+B328+B351+B374+B397+B420+B443+B466+B489</f>
        <v>16</v>
      </c>
      <c r="C513" s="75">
        <f t="shared" si="177"/>
        <v>16</v>
      </c>
      <c r="D513" s="75">
        <f t="shared" si="177"/>
        <v>16</v>
      </c>
      <c r="E513" s="75">
        <f t="shared" si="177"/>
        <v>8</v>
      </c>
      <c r="F513" s="75">
        <f t="shared" si="177"/>
        <v>7</v>
      </c>
      <c r="G513" s="75">
        <f t="shared" si="177"/>
        <v>10</v>
      </c>
      <c r="H513" s="75">
        <f t="shared" si="177"/>
        <v>10</v>
      </c>
      <c r="I513" s="75">
        <f t="shared" si="177"/>
        <v>11</v>
      </c>
      <c r="J513" s="75">
        <f t="shared" si="177"/>
        <v>10</v>
      </c>
      <c r="K513" s="75">
        <f t="shared" si="177"/>
        <v>7</v>
      </c>
      <c r="L513" s="75">
        <f t="shared" si="177"/>
        <v>5</v>
      </c>
      <c r="M513" s="75">
        <f t="shared" si="177"/>
        <v>4</v>
      </c>
      <c r="N513" s="75">
        <f t="shared" si="177"/>
        <v>4</v>
      </c>
      <c r="O513" s="75">
        <f t="shared" si="177"/>
        <v>12</v>
      </c>
      <c r="P513" s="75">
        <f t="shared" si="177"/>
        <v>12</v>
      </c>
      <c r="Q513" s="75">
        <f t="shared" si="177"/>
        <v>11</v>
      </c>
      <c r="R513" s="75">
        <f t="shared" si="177"/>
        <v>9</v>
      </c>
      <c r="S513" s="75">
        <f t="shared" si="177"/>
        <v>6</v>
      </c>
      <c r="T513" s="75">
        <f t="shared" si="177"/>
        <v>3</v>
      </c>
      <c r="U513" s="75">
        <f t="shared" si="177"/>
        <v>7</v>
      </c>
      <c r="V513" s="75">
        <f t="shared" si="177"/>
        <v>7</v>
      </c>
      <c r="W513" s="75">
        <f t="shared" si="177"/>
        <v>5</v>
      </c>
      <c r="X513" s="75">
        <f t="shared" si="177"/>
        <v>5</v>
      </c>
      <c r="Y513" s="75">
        <f t="shared" si="177"/>
        <v>0</v>
      </c>
      <c r="Z513" s="75">
        <f t="shared" si="177"/>
        <v>0</v>
      </c>
      <c r="AA513" s="76">
        <f t="shared" ref="AA513:AA521" si="179">SUM(B513:Z513)</f>
        <v>201</v>
      </c>
      <c r="AB513" s="77">
        <f t="shared" ref="AB513:AB516" si="180">AA513/(COUNT(B6:Z6,B29:Z29,B52:Z52,B75:Z75,B98:Z98,B121:Z121,B144:Z144,B167:Z167,B190:Z190,B213:Z213,B236:Z236,B259:Z259,B282:Z282,B305:Z305,B328:Z328,B351:Z351,B374:Z374,B397:Z397,B420:Z420,B443:Z443,B466:Z466,B489:Z489))</f>
        <v>0.5537190083</v>
      </c>
      <c r="AC513" s="78" t="s">
        <v>39</v>
      </c>
    </row>
    <row r="514" ht="15.75" customHeight="1">
      <c r="A514" s="17" t="s">
        <v>40</v>
      </c>
      <c r="B514" s="20">
        <f t="shared" ref="B514:Z514" si="178">B7+B30+B53+B76+B99+B122+B145+B168+B191+B214+B237+B260+B283+B306+B329+B352+B375+B398+B421+B444+B467+B490</f>
        <v>16</v>
      </c>
      <c r="C514" s="20">
        <f t="shared" si="178"/>
        <v>12</v>
      </c>
      <c r="D514" s="20">
        <f t="shared" si="178"/>
        <v>13</v>
      </c>
      <c r="E514" s="20">
        <f t="shared" si="178"/>
        <v>14</v>
      </c>
      <c r="F514" s="20">
        <f t="shared" si="178"/>
        <v>14</v>
      </c>
      <c r="G514" s="20">
        <f t="shared" si="178"/>
        <v>12</v>
      </c>
      <c r="H514" s="20">
        <f t="shared" si="178"/>
        <v>10</v>
      </c>
      <c r="I514" s="20">
        <f t="shared" si="178"/>
        <v>14</v>
      </c>
      <c r="J514" s="20">
        <f t="shared" si="178"/>
        <v>11</v>
      </c>
      <c r="K514" s="20">
        <f t="shared" si="178"/>
        <v>10</v>
      </c>
      <c r="L514" s="20">
        <f t="shared" si="178"/>
        <v>12</v>
      </c>
      <c r="M514" s="20">
        <f t="shared" si="178"/>
        <v>13</v>
      </c>
      <c r="N514" s="20">
        <f t="shared" si="178"/>
        <v>12</v>
      </c>
      <c r="O514" s="20">
        <f t="shared" si="178"/>
        <v>13</v>
      </c>
      <c r="P514" s="20">
        <f t="shared" si="178"/>
        <v>10</v>
      </c>
      <c r="Q514" s="20">
        <f t="shared" si="178"/>
        <v>13</v>
      </c>
      <c r="R514" s="20">
        <f t="shared" si="178"/>
        <v>12</v>
      </c>
      <c r="S514" s="20">
        <f t="shared" si="178"/>
        <v>11</v>
      </c>
      <c r="T514" s="20">
        <f t="shared" si="178"/>
        <v>8</v>
      </c>
      <c r="U514" s="20">
        <f t="shared" si="178"/>
        <v>11</v>
      </c>
      <c r="V514" s="20">
        <f t="shared" si="178"/>
        <v>10</v>
      </c>
      <c r="W514" s="20">
        <f t="shared" si="178"/>
        <v>13</v>
      </c>
      <c r="X514" s="20">
        <f t="shared" si="178"/>
        <v>13</v>
      </c>
      <c r="Y514" s="20">
        <f t="shared" si="178"/>
        <v>1</v>
      </c>
      <c r="Z514" s="20">
        <f t="shared" si="178"/>
        <v>0</v>
      </c>
      <c r="AA514" s="79">
        <f t="shared" si="179"/>
        <v>278</v>
      </c>
      <c r="AB514" s="80">
        <f t="shared" si="180"/>
        <v>0.7658402204</v>
      </c>
      <c r="AC514" s="81" t="s">
        <v>40</v>
      </c>
    </row>
    <row r="515" ht="15.75" customHeight="1">
      <c r="A515" s="17" t="s">
        <v>41</v>
      </c>
      <c r="B515" s="20">
        <f t="shared" ref="B515:Z515" si="181">B8+B31+B54+B77+B100+B123+B146+B169+B192+B215+B238+B261+B284+B307+B330+B353+B376+B399+B422+B445+B468+B491</f>
        <v>10</v>
      </c>
      <c r="C515" s="20">
        <f t="shared" si="181"/>
        <v>6</v>
      </c>
      <c r="D515" s="20">
        <f t="shared" si="181"/>
        <v>8</v>
      </c>
      <c r="E515" s="20">
        <f t="shared" si="181"/>
        <v>11</v>
      </c>
      <c r="F515" s="20">
        <f t="shared" si="181"/>
        <v>13</v>
      </c>
      <c r="G515" s="20">
        <f t="shared" si="181"/>
        <v>5</v>
      </c>
      <c r="H515" s="20">
        <f t="shared" si="181"/>
        <v>8</v>
      </c>
      <c r="I515" s="20">
        <f t="shared" si="181"/>
        <v>8</v>
      </c>
      <c r="J515" s="20">
        <f t="shared" si="181"/>
        <v>9</v>
      </c>
      <c r="K515" s="20">
        <f t="shared" si="181"/>
        <v>7</v>
      </c>
      <c r="L515" s="20">
        <f t="shared" si="181"/>
        <v>10</v>
      </c>
      <c r="M515" s="20">
        <f t="shared" si="181"/>
        <v>8</v>
      </c>
      <c r="N515" s="20">
        <f t="shared" si="181"/>
        <v>4</v>
      </c>
      <c r="O515" s="20">
        <f t="shared" si="181"/>
        <v>12</v>
      </c>
      <c r="P515" s="20">
        <f t="shared" si="181"/>
        <v>10</v>
      </c>
      <c r="Q515" s="20">
        <f t="shared" si="181"/>
        <v>10</v>
      </c>
      <c r="R515" s="20">
        <f t="shared" si="181"/>
        <v>9</v>
      </c>
      <c r="S515" s="20">
        <f t="shared" si="181"/>
        <v>5</v>
      </c>
      <c r="T515" s="20">
        <f t="shared" si="181"/>
        <v>9</v>
      </c>
      <c r="U515" s="20">
        <f t="shared" si="181"/>
        <v>8</v>
      </c>
      <c r="V515" s="20">
        <f t="shared" si="181"/>
        <v>6</v>
      </c>
      <c r="W515" s="20">
        <f t="shared" si="181"/>
        <v>10</v>
      </c>
      <c r="X515" s="20">
        <f t="shared" si="181"/>
        <v>10</v>
      </c>
      <c r="Y515" s="20">
        <f t="shared" si="181"/>
        <v>1</v>
      </c>
      <c r="Z515" s="20">
        <f t="shared" si="181"/>
        <v>0</v>
      </c>
      <c r="AA515" s="79">
        <f t="shared" si="179"/>
        <v>197</v>
      </c>
      <c r="AB515" s="80">
        <f t="shared" si="180"/>
        <v>0.5426997245</v>
      </c>
      <c r="AC515" s="81" t="s">
        <v>41</v>
      </c>
    </row>
    <row r="516" ht="15.75" customHeight="1">
      <c r="A516" s="17" t="s">
        <v>42</v>
      </c>
      <c r="B516" s="20">
        <f t="shared" ref="B516:Z516" si="182">B9+B32+B55+B78+B101+B124+B147+B170+B193+B216+B239+B262+B285+B308+B331+B354+B377+B400+B423+B446+B469+B492</f>
        <v>12</v>
      </c>
      <c r="C516" s="20">
        <f t="shared" si="182"/>
        <v>7</v>
      </c>
      <c r="D516" s="20">
        <f t="shared" si="182"/>
        <v>10</v>
      </c>
      <c r="E516" s="20">
        <f t="shared" si="182"/>
        <v>9</v>
      </c>
      <c r="F516" s="20">
        <f t="shared" si="182"/>
        <v>10</v>
      </c>
      <c r="G516" s="20">
        <f t="shared" si="182"/>
        <v>9</v>
      </c>
      <c r="H516" s="20">
        <f t="shared" si="182"/>
        <v>4</v>
      </c>
      <c r="I516" s="20">
        <f t="shared" si="182"/>
        <v>5</v>
      </c>
      <c r="J516" s="20">
        <f t="shared" si="182"/>
        <v>7</v>
      </c>
      <c r="K516" s="20">
        <f t="shared" si="182"/>
        <v>6</v>
      </c>
      <c r="L516" s="20">
        <f t="shared" si="182"/>
        <v>8</v>
      </c>
      <c r="M516" s="20">
        <f t="shared" si="182"/>
        <v>9</v>
      </c>
      <c r="N516" s="20">
        <f t="shared" si="182"/>
        <v>8</v>
      </c>
      <c r="O516" s="20">
        <f t="shared" si="182"/>
        <v>7</v>
      </c>
      <c r="P516" s="20">
        <f t="shared" si="182"/>
        <v>10</v>
      </c>
      <c r="Q516" s="20">
        <f t="shared" si="182"/>
        <v>9</v>
      </c>
      <c r="R516" s="20">
        <f t="shared" si="182"/>
        <v>10</v>
      </c>
      <c r="S516" s="20">
        <f t="shared" si="182"/>
        <v>8</v>
      </c>
      <c r="T516" s="20">
        <f t="shared" si="182"/>
        <v>9</v>
      </c>
      <c r="U516" s="20">
        <f t="shared" si="182"/>
        <v>11</v>
      </c>
      <c r="V516" s="20">
        <f t="shared" si="182"/>
        <v>8</v>
      </c>
      <c r="W516" s="20">
        <f t="shared" si="182"/>
        <v>9</v>
      </c>
      <c r="X516" s="20">
        <f t="shared" si="182"/>
        <v>10</v>
      </c>
      <c r="Y516" s="20">
        <f t="shared" si="182"/>
        <v>1</v>
      </c>
      <c r="Z516" s="20">
        <f t="shared" si="182"/>
        <v>0</v>
      </c>
      <c r="AA516" s="79">
        <f t="shared" si="179"/>
        <v>196</v>
      </c>
      <c r="AB516" s="80">
        <f t="shared" si="180"/>
        <v>0.5399449036</v>
      </c>
      <c r="AC516" s="81" t="s">
        <v>42</v>
      </c>
    </row>
    <row r="517" ht="15.75" hidden="1" customHeight="1">
      <c r="A517" s="82"/>
      <c r="B517" s="20">
        <f t="shared" ref="B517:Z517" si="183">B513+B514+B515+B516</f>
        <v>54</v>
      </c>
      <c r="C517" s="20">
        <f t="shared" si="183"/>
        <v>41</v>
      </c>
      <c r="D517" s="20">
        <f t="shared" si="183"/>
        <v>47</v>
      </c>
      <c r="E517" s="20">
        <f t="shared" si="183"/>
        <v>42</v>
      </c>
      <c r="F517" s="20">
        <f t="shared" si="183"/>
        <v>44</v>
      </c>
      <c r="G517" s="20">
        <f t="shared" si="183"/>
        <v>36</v>
      </c>
      <c r="H517" s="20">
        <f t="shared" si="183"/>
        <v>32</v>
      </c>
      <c r="I517" s="20">
        <f t="shared" si="183"/>
        <v>38</v>
      </c>
      <c r="J517" s="20">
        <f t="shared" si="183"/>
        <v>37</v>
      </c>
      <c r="K517" s="20">
        <f t="shared" si="183"/>
        <v>30</v>
      </c>
      <c r="L517" s="20">
        <f t="shared" si="183"/>
        <v>35</v>
      </c>
      <c r="M517" s="20">
        <f t="shared" si="183"/>
        <v>34</v>
      </c>
      <c r="N517" s="20">
        <f t="shared" si="183"/>
        <v>28</v>
      </c>
      <c r="O517" s="20">
        <f t="shared" si="183"/>
        <v>44</v>
      </c>
      <c r="P517" s="20">
        <f t="shared" si="183"/>
        <v>42</v>
      </c>
      <c r="Q517" s="20">
        <f t="shared" si="183"/>
        <v>43</v>
      </c>
      <c r="R517" s="20">
        <f t="shared" si="183"/>
        <v>40</v>
      </c>
      <c r="S517" s="20">
        <f t="shared" si="183"/>
        <v>30</v>
      </c>
      <c r="T517" s="20">
        <f t="shared" si="183"/>
        <v>29</v>
      </c>
      <c r="U517" s="20">
        <f t="shared" si="183"/>
        <v>37</v>
      </c>
      <c r="V517" s="20">
        <f t="shared" si="183"/>
        <v>31</v>
      </c>
      <c r="W517" s="20">
        <f t="shared" si="183"/>
        <v>37</v>
      </c>
      <c r="X517" s="20">
        <f t="shared" si="183"/>
        <v>38</v>
      </c>
      <c r="Y517" s="20">
        <f t="shared" si="183"/>
        <v>3</v>
      </c>
      <c r="Z517" s="20">
        <f t="shared" si="183"/>
        <v>0</v>
      </c>
      <c r="AA517" s="79">
        <f t="shared" si="179"/>
        <v>872</v>
      </c>
      <c r="AB517" s="83"/>
      <c r="AC517" s="82"/>
    </row>
    <row r="518" ht="15.75" customHeight="1">
      <c r="A518" s="84" t="s">
        <v>58</v>
      </c>
      <c r="B518" s="85">
        <f t="shared" ref="B518:Z518" si="184">B517/(COUNT(B6:B9,B29:B32,B52:B55,B75:B78,B98:B101,B121:B124,B144:B147,B167:B170,B190:B193,B213:B216,B236:B239,B259:B262,B282:B285,B305:B308,B328:B331,B351:B354,B374:B377,B397:B400,B420:B423,B443:B446,B466:B469,B489:B492)*1)</f>
        <v>0.7941176471</v>
      </c>
      <c r="C518" s="85">
        <f t="shared" si="184"/>
        <v>0.6029411765</v>
      </c>
      <c r="D518" s="85">
        <f t="shared" si="184"/>
        <v>0.6911764706</v>
      </c>
      <c r="E518" s="85">
        <f t="shared" si="184"/>
        <v>0.6176470588</v>
      </c>
      <c r="F518" s="85">
        <f t="shared" si="184"/>
        <v>0.6470588235</v>
      </c>
      <c r="G518" s="85">
        <f t="shared" si="184"/>
        <v>0.5294117647</v>
      </c>
      <c r="H518" s="85">
        <f t="shared" si="184"/>
        <v>0.4705882353</v>
      </c>
      <c r="I518" s="85">
        <f t="shared" si="184"/>
        <v>0.5588235294</v>
      </c>
      <c r="J518" s="85">
        <f t="shared" si="184"/>
        <v>0.5441176471</v>
      </c>
      <c r="K518" s="85">
        <f t="shared" si="184"/>
        <v>0.46875</v>
      </c>
      <c r="L518" s="85">
        <f t="shared" si="184"/>
        <v>0.546875</v>
      </c>
      <c r="M518" s="85">
        <f t="shared" si="184"/>
        <v>0.53125</v>
      </c>
      <c r="N518" s="85">
        <f t="shared" si="184"/>
        <v>0.4666666667</v>
      </c>
      <c r="O518" s="85">
        <f t="shared" si="184"/>
        <v>0.7857142857</v>
      </c>
      <c r="P518" s="85">
        <f t="shared" si="184"/>
        <v>0.8076923077</v>
      </c>
      <c r="Q518" s="85">
        <f t="shared" si="184"/>
        <v>0.7166666667</v>
      </c>
      <c r="R518" s="85">
        <f t="shared" si="184"/>
        <v>0.6666666667</v>
      </c>
      <c r="S518" s="85">
        <f t="shared" si="184"/>
        <v>0.5</v>
      </c>
      <c r="T518" s="85">
        <f t="shared" si="184"/>
        <v>0.4833333333</v>
      </c>
      <c r="U518" s="85">
        <f t="shared" si="184"/>
        <v>0.6166666667</v>
      </c>
      <c r="V518" s="85">
        <f t="shared" si="184"/>
        <v>0.5166666667</v>
      </c>
      <c r="W518" s="85">
        <f t="shared" si="184"/>
        <v>0.6166666667</v>
      </c>
      <c r="X518" s="85">
        <f t="shared" si="184"/>
        <v>0.6785714286</v>
      </c>
      <c r="Y518" s="85">
        <f t="shared" si="184"/>
        <v>0.75</v>
      </c>
      <c r="Z518" s="85" t="str">
        <f t="shared" si="184"/>
        <v>#DIV/0!</v>
      </c>
      <c r="AA518" s="79" t="str">
        <f t="shared" si="179"/>
        <v>#DIV/0!</v>
      </c>
      <c r="AB518" s="80">
        <f>SUM(AB513:AB516)/4</f>
        <v>0.6005509642</v>
      </c>
      <c r="AC518" s="87" t="s">
        <v>58</v>
      </c>
    </row>
    <row r="519">
      <c r="A519" s="27" t="s">
        <v>44</v>
      </c>
      <c r="B519" s="88">
        <f t="shared" ref="B519:Z519" si="185">B12+B35+B58+B81+B104+B127+B150+B173+B196+B219+B242+B265+B288+B311+B334+B357+B380+B403+B426+B449+B472+B495</f>
        <v>0</v>
      </c>
      <c r="C519" s="88">
        <f t="shared" si="185"/>
        <v>10</v>
      </c>
      <c r="D519" s="88">
        <f t="shared" si="185"/>
        <v>10</v>
      </c>
      <c r="E519" s="88">
        <f t="shared" si="185"/>
        <v>40</v>
      </c>
      <c r="F519" s="88">
        <f t="shared" si="185"/>
        <v>40</v>
      </c>
      <c r="G519" s="88">
        <f t="shared" si="185"/>
        <v>40</v>
      </c>
      <c r="H519" s="88">
        <f t="shared" si="185"/>
        <v>40</v>
      </c>
      <c r="I519" s="88">
        <f t="shared" si="185"/>
        <v>21</v>
      </c>
      <c r="J519" s="88">
        <f t="shared" si="185"/>
        <v>21</v>
      </c>
      <c r="K519" s="88">
        <f t="shared" si="185"/>
        <v>31</v>
      </c>
      <c r="L519" s="88">
        <f t="shared" si="185"/>
        <v>41</v>
      </c>
      <c r="M519" s="88">
        <f t="shared" si="185"/>
        <v>16</v>
      </c>
      <c r="N519" s="88">
        <f t="shared" si="185"/>
        <v>16</v>
      </c>
      <c r="O519" s="88">
        <f t="shared" si="185"/>
        <v>0</v>
      </c>
      <c r="P519" s="88">
        <f t="shared" si="185"/>
        <v>0</v>
      </c>
      <c r="Q519" s="88">
        <f t="shared" si="185"/>
        <v>40</v>
      </c>
      <c r="R519" s="88">
        <f t="shared" si="185"/>
        <v>40</v>
      </c>
      <c r="S519" s="88">
        <f t="shared" si="185"/>
        <v>21</v>
      </c>
      <c r="T519" s="88">
        <f t="shared" si="185"/>
        <v>36</v>
      </c>
      <c r="U519" s="88">
        <f t="shared" si="185"/>
        <v>40</v>
      </c>
      <c r="V519" s="88">
        <f t="shared" si="185"/>
        <v>45</v>
      </c>
      <c r="W519" s="88">
        <f t="shared" si="185"/>
        <v>4</v>
      </c>
      <c r="X519" s="88">
        <f t="shared" si="185"/>
        <v>0</v>
      </c>
      <c r="Y519" s="88">
        <f t="shared" si="185"/>
        <v>0</v>
      </c>
      <c r="Z519" s="88">
        <f t="shared" si="185"/>
        <v>0</v>
      </c>
      <c r="AA519" s="89">
        <f t="shared" si="179"/>
        <v>552</v>
      </c>
      <c r="AB519" s="90" t="s">
        <v>59</v>
      </c>
      <c r="AC519" s="91"/>
    </row>
    <row r="520" ht="15.75" customHeight="1">
      <c r="A520" s="32" t="s">
        <v>45</v>
      </c>
      <c r="B520" s="88">
        <f t="shared" ref="B520:Z520" si="186">B13+B36+B59+B82+B105+B128+B151+B174+B197+B220+B243+B266+B289+B312+B335+B358+B381+B404+B427+B450+B473+B496</f>
        <v>0</v>
      </c>
      <c r="C520" s="88">
        <f t="shared" si="186"/>
        <v>0</v>
      </c>
      <c r="D520" s="88">
        <f t="shared" si="186"/>
        <v>0</v>
      </c>
      <c r="E520" s="88">
        <f t="shared" si="186"/>
        <v>22</v>
      </c>
      <c r="F520" s="88">
        <f t="shared" si="186"/>
        <v>6</v>
      </c>
      <c r="G520" s="88">
        <f t="shared" si="186"/>
        <v>18</v>
      </c>
      <c r="H520" s="88">
        <f t="shared" si="186"/>
        <v>9</v>
      </c>
      <c r="I520" s="88">
        <f t="shared" si="186"/>
        <v>26</v>
      </c>
      <c r="J520" s="88">
        <f t="shared" si="186"/>
        <v>36</v>
      </c>
      <c r="K520" s="88">
        <f t="shared" si="186"/>
        <v>45</v>
      </c>
      <c r="L520" s="88">
        <f t="shared" si="186"/>
        <v>39</v>
      </c>
      <c r="M520" s="88">
        <f t="shared" si="186"/>
        <v>40</v>
      </c>
      <c r="N520" s="88">
        <f t="shared" si="186"/>
        <v>22</v>
      </c>
      <c r="O520" s="88">
        <f t="shared" si="186"/>
        <v>0</v>
      </c>
      <c r="P520" s="88">
        <f t="shared" si="186"/>
        <v>0</v>
      </c>
      <c r="Q520" s="88">
        <f t="shared" si="186"/>
        <v>17</v>
      </c>
      <c r="R520" s="88">
        <f t="shared" si="186"/>
        <v>9</v>
      </c>
      <c r="S520" s="88">
        <f t="shared" si="186"/>
        <v>28</v>
      </c>
      <c r="T520" s="88">
        <f t="shared" si="186"/>
        <v>35</v>
      </c>
      <c r="U520" s="88">
        <f t="shared" si="186"/>
        <v>6</v>
      </c>
      <c r="V520" s="88">
        <f t="shared" si="186"/>
        <v>6</v>
      </c>
      <c r="W520" s="88">
        <f t="shared" si="186"/>
        <v>25</v>
      </c>
      <c r="X520" s="88">
        <f t="shared" si="186"/>
        <v>10</v>
      </c>
      <c r="Y520" s="88">
        <f t="shared" si="186"/>
        <v>0</v>
      </c>
      <c r="Z520" s="88">
        <f t="shared" si="186"/>
        <v>0</v>
      </c>
      <c r="AA520" s="89">
        <f t="shared" si="179"/>
        <v>399</v>
      </c>
      <c r="AB520" s="90" t="s">
        <v>59</v>
      </c>
      <c r="AC520" s="92"/>
    </row>
    <row r="521">
      <c r="A521" s="93" t="s">
        <v>46</v>
      </c>
      <c r="B521" s="88">
        <f t="shared" ref="B521:Z521" si="187">B14+B37+B60+B83+B106+B129+B152+B175+B198+B221+B244+B267+B290+B313+B336+B359+B382+B405+B428+B451+B474+B497</f>
        <v>0</v>
      </c>
      <c r="C521" s="88">
        <f t="shared" si="187"/>
        <v>0</v>
      </c>
      <c r="D521" s="88">
        <f t="shared" si="187"/>
        <v>0</v>
      </c>
      <c r="E521" s="88">
        <f t="shared" si="187"/>
        <v>0</v>
      </c>
      <c r="F521" s="88">
        <f t="shared" si="187"/>
        <v>0</v>
      </c>
      <c r="G521" s="88">
        <f t="shared" si="187"/>
        <v>0</v>
      </c>
      <c r="H521" s="88">
        <f t="shared" si="187"/>
        <v>0</v>
      </c>
      <c r="I521" s="88">
        <f t="shared" si="187"/>
        <v>2</v>
      </c>
      <c r="J521" s="88">
        <f t="shared" si="187"/>
        <v>2</v>
      </c>
      <c r="K521" s="88">
        <f t="shared" si="187"/>
        <v>2</v>
      </c>
      <c r="L521" s="88">
        <f t="shared" si="187"/>
        <v>2</v>
      </c>
      <c r="M521" s="88">
        <f t="shared" si="187"/>
        <v>2</v>
      </c>
      <c r="N521" s="88">
        <f t="shared" si="187"/>
        <v>2</v>
      </c>
      <c r="O521" s="88">
        <f t="shared" si="187"/>
        <v>0</v>
      </c>
      <c r="P521" s="88">
        <f t="shared" si="187"/>
        <v>0</v>
      </c>
      <c r="Q521" s="88">
        <f t="shared" si="187"/>
        <v>0</v>
      </c>
      <c r="R521" s="88">
        <f t="shared" si="187"/>
        <v>0</v>
      </c>
      <c r="S521" s="88">
        <f t="shared" si="187"/>
        <v>2</v>
      </c>
      <c r="T521" s="88">
        <f t="shared" si="187"/>
        <v>2</v>
      </c>
      <c r="U521" s="88">
        <f t="shared" si="187"/>
        <v>0</v>
      </c>
      <c r="V521" s="88">
        <f t="shared" si="187"/>
        <v>0</v>
      </c>
      <c r="W521" s="88">
        <f t="shared" si="187"/>
        <v>2</v>
      </c>
      <c r="X521" s="88">
        <f t="shared" si="187"/>
        <v>0</v>
      </c>
      <c r="Y521" s="88">
        <f t="shared" si="187"/>
        <v>0</v>
      </c>
      <c r="Z521" s="88">
        <f t="shared" si="187"/>
        <v>0</v>
      </c>
      <c r="AA521" s="89">
        <f t="shared" si="179"/>
        <v>18</v>
      </c>
      <c r="AB521" s="90" t="s">
        <v>59</v>
      </c>
      <c r="AC521" s="92"/>
    </row>
    <row r="522">
      <c r="A522" s="94" t="s">
        <v>47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95"/>
      <c r="AB522" s="96" t="s">
        <v>47</v>
      </c>
      <c r="AC522" s="95"/>
    </row>
    <row r="523" ht="15.75" customHeight="1">
      <c r="A523" s="97" t="s">
        <v>48</v>
      </c>
      <c r="B523" s="98">
        <f t="shared" ref="B523:Z523" si="188">B16+B39+B62+B85+B108+B131+B154+B177+B200+B223+B246+B269+B292+B315+B338+B361+B384+B407+B430+B453+B476+B499</f>
        <v>0</v>
      </c>
      <c r="C523" s="98">
        <f t="shared" si="188"/>
        <v>2</v>
      </c>
      <c r="D523" s="98">
        <f t="shared" si="188"/>
        <v>2</v>
      </c>
      <c r="E523" s="98">
        <f t="shared" si="188"/>
        <v>6</v>
      </c>
      <c r="F523" s="98">
        <f t="shared" si="188"/>
        <v>3</v>
      </c>
      <c r="G523" s="98">
        <f t="shared" si="188"/>
        <v>5</v>
      </c>
      <c r="H523" s="98">
        <f t="shared" si="188"/>
        <v>5</v>
      </c>
      <c r="I523" s="98">
        <f t="shared" si="188"/>
        <v>3</v>
      </c>
      <c r="J523" s="98">
        <f t="shared" si="188"/>
        <v>5</v>
      </c>
      <c r="K523" s="98">
        <f t="shared" si="188"/>
        <v>6</v>
      </c>
      <c r="L523" s="98">
        <f t="shared" si="188"/>
        <v>8</v>
      </c>
      <c r="M523" s="98">
        <f t="shared" si="188"/>
        <v>6</v>
      </c>
      <c r="N523" s="98">
        <f t="shared" si="188"/>
        <v>4</v>
      </c>
      <c r="O523" s="98">
        <f t="shared" si="188"/>
        <v>0</v>
      </c>
      <c r="P523" s="98">
        <f t="shared" si="188"/>
        <v>0</v>
      </c>
      <c r="Q523" s="98">
        <f t="shared" si="188"/>
        <v>3</v>
      </c>
      <c r="R523" s="98">
        <f t="shared" si="188"/>
        <v>4</v>
      </c>
      <c r="S523" s="98">
        <f t="shared" si="188"/>
        <v>5</v>
      </c>
      <c r="T523" s="98">
        <f t="shared" si="188"/>
        <v>8</v>
      </c>
      <c r="U523" s="98">
        <f t="shared" si="188"/>
        <v>6</v>
      </c>
      <c r="V523" s="98">
        <f t="shared" si="188"/>
        <v>7</v>
      </c>
      <c r="W523" s="98">
        <f t="shared" si="188"/>
        <v>7</v>
      </c>
      <c r="X523" s="98">
        <f t="shared" si="188"/>
        <v>6</v>
      </c>
      <c r="Y523" s="98">
        <f t="shared" si="188"/>
        <v>1</v>
      </c>
      <c r="Z523" s="98">
        <f t="shared" si="188"/>
        <v>0</v>
      </c>
      <c r="AA523" s="99">
        <f t="shared" ref="AA523:AA524" si="190">SUM(B523:Z523)</f>
        <v>102</v>
      </c>
      <c r="AB523" s="100" t="s">
        <v>60</v>
      </c>
      <c r="AC523" s="95"/>
    </row>
    <row r="524" ht="15.75" customHeight="1">
      <c r="A524" s="97" t="s">
        <v>49</v>
      </c>
      <c r="B524" s="98">
        <f t="shared" ref="B524:Z524" si="189">B17+B40+B63+B86+B109+B132+B155+B178+B201+B224+B247+B270+B293+B316+B339+B362+B385+B408+B431+B454+B477+B500</f>
        <v>0</v>
      </c>
      <c r="C524" s="98">
        <f t="shared" si="189"/>
        <v>30</v>
      </c>
      <c r="D524" s="98">
        <f t="shared" si="189"/>
        <v>30</v>
      </c>
      <c r="E524" s="98">
        <f t="shared" si="189"/>
        <v>115</v>
      </c>
      <c r="F524" s="98">
        <f t="shared" si="189"/>
        <v>60</v>
      </c>
      <c r="G524" s="98">
        <f t="shared" si="189"/>
        <v>100</v>
      </c>
      <c r="H524" s="98">
        <f t="shared" si="189"/>
        <v>100</v>
      </c>
      <c r="I524" s="98">
        <f t="shared" si="189"/>
        <v>60</v>
      </c>
      <c r="J524" s="98">
        <f t="shared" si="189"/>
        <v>95</v>
      </c>
      <c r="K524" s="98">
        <f t="shared" si="189"/>
        <v>110</v>
      </c>
      <c r="L524" s="98">
        <f t="shared" si="189"/>
        <v>120</v>
      </c>
      <c r="M524" s="98">
        <f t="shared" si="189"/>
        <v>105</v>
      </c>
      <c r="N524" s="98">
        <f t="shared" si="189"/>
        <v>60</v>
      </c>
      <c r="O524" s="98">
        <f t="shared" si="189"/>
        <v>0</v>
      </c>
      <c r="P524" s="98">
        <f t="shared" si="189"/>
        <v>0</v>
      </c>
      <c r="Q524" s="98">
        <f t="shared" si="189"/>
        <v>60</v>
      </c>
      <c r="R524" s="98">
        <f t="shared" si="189"/>
        <v>65</v>
      </c>
      <c r="S524" s="98">
        <f t="shared" si="189"/>
        <v>100</v>
      </c>
      <c r="T524" s="98">
        <f t="shared" si="189"/>
        <v>180</v>
      </c>
      <c r="U524" s="98">
        <f t="shared" si="189"/>
        <v>130</v>
      </c>
      <c r="V524" s="98">
        <f t="shared" si="189"/>
        <v>140</v>
      </c>
      <c r="W524" s="98">
        <f t="shared" si="189"/>
        <v>70</v>
      </c>
      <c r="X524" s="98">
        <f t="shared" si="189"/>
        <v>60</v>
      </c>
      <c r="Y524" s="98">
        <f t="shared" si="189"/>
        <v>10</v>
      </c>
      <c r="Z524" s="98">
        <f t="shared" si="189"/>
        <v>0</v>
      </c>
      <c r="AA524" s="99">
        <f t="shared" si="190"/>
        <v>1800</v>
      </c>
      <c r="AB524" s="100" t="s">
        <v>61</v>
      </c>
      <c r="AC524" s="95"/>
    </row>
    <row r="525" ht="15.75" customHeight="1">
      <c r="A525" s="101" t="s">
        <v>62</v>
      </c>
      <c r="B525" s="102">
        <f t="shared" ref="B525:Z525" si="191">SUM(B18,B41,B64,B87,B110,B133,B156,B179,B202,B225,B248,B271,B294,B317,B340,B363,B386,B409,B432,B455,B478,B501)</f>
        <v>0</v>
      </c>
      <c r="C525" s="102">
        <f t="shared" si="191"/>
        <v>3</v>
      </c>
      <c r="D525" s="102">
        <f t="shared" si="191"/>
        <v>4</v>
      </c>
      <c r="E525" s="102">
        <f t="shared" si="191"/>
        <v>13</v>
      </c>
      <c r="F525" s="102">
        <f t="shared" si="191"/>
        <v>6</v>
      </c>
      <c r="G525" s="102">
        <f t="shared" si="191"/>
        <v>10</v>
      </c>
      <c r="H525" s="102">
        <f t="shared" si="191"/>
        <v>10</v>
      </c>
      <c r="I525" s="102">
        <f t="shared" si="191"/>
        <v>6</v>
      </c>
      <c r="J525" s="102">
        <f t="shared" si="191"/>
        <v>11</v>
      </c>
      <c r="K525" s="102">
        <f t="shared" si="191"/>
        <v>12</v>
      </c>
      <c r="L525" s="102">
        <f t="shared" si="191"/>
        <v>13</v>
      </c>
      <c r="M525" s="102">
        <f t="shared" si="191"/>
        <v>11</v>
      </c>
      <c r="N525" s="102">
        <f t="shared" si="191"/>
        <v>7</v>
      </c>
      <c r="O525" s="102">
        <f t="shared" si="191"/>
        <v>0</v>
      </c>
      <c r="P525" s="102">
        <f t="shared" si="191"/>
        <v>0</v>
      </c>
      <c r="Q525" s="102">
        <f t="shared" si="191"/>
        <v>6</v>
      </c>
      <c r="R525" s="102">
        <f t="shared" si="191"/>
        <v>8</v>
      </c>
      <c r="S525" s="102">
        <f t="shared" si="191"/>
        <v>10</v>
      </c>
      <c r="T525" s="102">
        <f t="shared" si="191"/>
        <v>17</v>
      </c>
      <c r="U525" s="102">
        <f t="shared" si="191"/>
        <v>12</v>
      </c>
      <c r="V525" s="102">
        <f t="shared" si="191"/>
        <v>13</v>
      </c>
      <c r="W525" s="102">
        <f t="shared" si="191"/>
        <v>12</v>
      </c>
      <c r="X525" s="102">
        <f t="shared" si="191"/>
        <v>10</v>
      </c>
      <c r="Y525" s="102">
        <f t="shared" si="191"/>
        <v>1</v>
      </c>
      <c r="Z525" s="102">
        <f t="shared" si="191"/>
        <v>0</v>
      </c>
      <c r="AA525" s="103"/>
      <c r="AB525" s="104"/>
      <c r="AC525" s="105"/>
    </row>
    <row r="526" ht="15.75" customHeight="1">
      <c r="A526" s="106" t="s">
        <v>50</v>
      </c>
      <c r="B526" s="107" t="str">
        <f t="shared" ref="B526:Z526" si="192">B525/COUNT(B18,B41,B64,B87,B110,B133,B156,B179,B202,B225,B248,B271,B294,B317,B340,B363,B386,B409,B432,B455,B478,B501)</f>
        <v>#DIV/0!</v>
      </c>
      <c r="C526" s="107">
        <f t="shared" si="192"/>
        <v>1.5</v>
      </c>
      <c r="D526" s="107">
        <f t="shared" si="192"/>
        <v>2</v>
      </c>
      <c r="E526" s="107">
        <f t="shared" si="192"/>
        <v>2.166666667</v>
      </c>
      <c r="F526" s="107">
        <f t="shared" si="192"/>
        <v>2</v>
      </c>
      <c r="G526" s="107">
        <f t="shared" si="192"/>
        <v>2</v>
      </c>
      <c r="H526" s="107">
        <f t="shared" si="192"/>
        <v>2</v>
      </c>
      <c r="I526" s="107">
        <f t="shared" si="192"/>
        <v>2</v>
      </c>
      <c r="J526" s="107">
        <f t="shared" si="192"/>
        <v>2.2</v>
      </c>
      <c r="K526" s="107">
        <f t="shared" si="192"/>
        <v>2</v>
      </c>
      <c r="L526" s="107">
        <f t="shared" si="192"/>
        <v>1.625</v>
      </c>
      <c r="M526" s="107">
        <f t="shared" si="192"/>
        <v>1.833333333</v>
      </c>
      <c r="N526" s="107">
        <f t="shared" si="192"/>
        <v>1.75</v>
      </c>
      <c r="O526" s="107" t="str">
        <f t="shared" si="192"/>
        <v>#DIV/0!</v>
      </c>
      <c r="P526" s="107" t="str">
        <f t="shared" si="192"/>
        <v>#DIV/0!</v>
      </c>
      <c r="Q526" s="107">
        <f t="shared" si="192"/>
        <v>2</v>
      </c>
      <c r="R526" s="107">
        <f t="shared" si="192"/>
        <v>2</v>
      </c>
      <c r="S526" s="107">
        <f t="shared" si="192"/>
        <v>2</v>
      </c>
      <c r="T526" s="107">
        <f t="shared" si="192"/>
        <v>1.888888889</v>
      </c>
      <c r="U526" s="107">
        <f t="shared" si="192"/>
        <v>1.714285714</v>
      </c>
      <c r="V526" s="107">
        <f t="shared" si="192"/>
        <v>1.857142857</v>
      </c>
      <c r="W526" s="107">
        <f t="shared" si="192"/>
        <v>1.714285714</v>
      </c>
      <c r="X526" s="107">
        <f t="shared" si="192"/>
        <v>1.666666667</v>
      </c>
      <c r="Y526" s="107">
        <f t="shared" si="192"/>
        <v>1</v>
      </c>
      <c r="Z526" s="107" t="str">
        <f t="shared" si="192"/>
        <v>#DIV/0!</v>
      </c>
      <c r="AA526" s="108">
        <f>round(AVERAGEif(B526:Z526, "&gt;0"),0)</f>
        <v>2</v>
      </c>
      <c r="AB526" s="109" t="s">
        <v>63</v>
      </c>
      <c r="AC526" s="110"/>
    </row>
    <row r="527" ht="15.75" customHeight="1">
      <c r="A527" s="111" t="s">
        <v>51</v>
      </c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3"/>
      <c r="AB527" s="114" t="s">
        <v>51</v>
      </c>
      <c r="AC527" s="113"/>
    </row>
    <row r="528" ht="15.75" customHeight="1">
      <c r="A528" s="115" t="s">
        <v>48</v>
      </c>
      <c r="B528" s="20">
        <f t="shared" ref="B528:Z528" si="193">B20+B43+B66+B89+B112+B135+B158+B181+B204+B227+B250+B273+B296+B319+B342+B365+B388+B411+B434+B457+B480+B503</f>
        <v>0</v>
      </c>
      <c r="C528" s="20">
        <f t="shared" si="193"/>
        <v>0</v>
      </c>
      <c r="D528" s="20">
        <f t="shared" si="193"/>
        <v>0</v>
      </c>
      <c r="E528" s="20">
        <f t="shared" si="193"/>
        <v>0</v>
      </c>
      <c r="F528" s="20">
        <f t="shared" si="193"/>
        <v>0</v>
      </c>
      <c r="G528" s="20">
        <f t="shared" si="193"/>
        <v>0</v>
      </c>
      <c r="H528" s="20">
        <f t="shared" si="193"/>
        <v>0</v>
      </c>
      <c r="I528" s="20">
        <f t="shared" si="193"/>
        <v>0</v>
      </c>
      <c r="J528" s="20">
        <f t="shared" si="193"/>
        <v>0</v>
      </c>
      <c r="K528" s="20">
        <f t="shared" si="193"/>
        <v>0</v>
      </c>
      <c r="L528" s="20">
        <f t="shared" si="193"/>
        <v>0</v>
      </c>
      <c r="M528" s="20">
        <f t="shared" si="193"/>
        <v>0</v>
      </c>
      <c r="N528" s="20">
        <f t="shared" si="193"/>
        <v>0</v>
      </c>
      <c r="O528" s="20">
        <f t="shared" si="193"/>
        <v>0</v>
      </c>
      <c r="P528" s="20">
        <f t="shared" si="193"/>
        <v>0</v>
      </c>
      <c r="Q528" s="20">
        <f t="shared" si="193"/>
        <v>0</v>
      </c>
      <c r="R528" s="20">
        <f t="shared" si="193"/>
        <v>0</v>
      </c>
      <c r="S528" s="20">
        <f t="shared" si="193"/>
        <v>0</v>
      </c>
      <c r="T528" s="20">
        <f t="shared" si="193"/>
        <v>0</v>
      </c>
      <c r="U528" s="20">
        <f t="shared" si="193"/>
        <v>0</v>
      </c>
      <c r="V528" s="20">
        <f t="shared" si="193"/>
        <v>0</v>
      </c>
      <c r="W528" s="20">
        <f t="shared" si="193"/>
        <v>0</v>
      </c>
      <c r="X528" s="20">
        <f t="shared" si="193"/>
        <v>0</v>
      </c>
      <c r="Y528" s="20">
        <f t="shared" si="193"/>
        <v>0</v>
      </c>
      <c r="Z528" s="20">
        <f t="shared" si="193"/>
        <v>0</v>
      </c>
      <c r="AA528" s="116">
        <f t="shared" ref="AA528:AA529" si="195">SUM(B528:Z528)</f>
        <v>0</v>
      </c>
      <c r="AB528" s="114" t="s">
        <v>64</v>
      </c>
      <c r="AC528" s="113"/>
    </row>
    <row r="529" ht="15.75" customHeight="1">
      <c r="A529" s="115" t="s">
        <v>49</v>
      </c>
      <c r="B529" s="20">
        <f t="shared" ref="B529:Z529" si="194">B21+B44+B67+B90+B113+B136+B159+B182+B205+B228+B251+B274+B297+B320+B343+B366+B389+B412+B435+B458+B481+B504</f>
        <v>0</v>
      </c>
      <c r="C529" s="20">
        <f t="shared" si="194"/>
        <v>0</v>
      </c>
      <c r="D529" s="20">
        <f t="shared" si="194"/>
        <v>0</v>
      </c>
      <c r="E529" s="20">
        <f t="shared" si="194"/>
        <v>0</v>
      </c>
      <c r="F529" s="20">
        <f t="shared" si="194"/>
        <v>0</v>
      </c>
      <c r="G529" s="20">
        <f t="shared" si="194"/>
        <v>0</v>
      </c>
      <c r="H529" s="20">
        <f t="shared" si="194"/>
        <v>0</v>
      </c>
      <c r="I529" s="20">
        <f t="shared" si="194"/>
        <v>0</v>
      </c>
      <c r="J529" s="20">
        <f t="shared" si="194"/>
        <v>0</v>
      </c>
      <c r="K529" s="20">
        <f t="shared" si="194"/>
        <v>0</v>
      </c>
      <c r="L529" s="20">
        <f t="shared" si="194"/>
        <v>0</v>
      </c>
      <c r="M529" s="20">
        <f t="shared" si="194"/>
        <v>0</v>
      </c>
      <c r="N529" s="20">
        <f t="shared" si="194"/>
        <v>0</v>
      </c>
      <c r="O529" s="20">
        <f t="shared" si="194"/>
        <v>0</v>
      </c>
      <c r="P529" s="20">
        <f t="shared" si="194"/>
        <v>0</v>
      </c>
      <c r="Q529" s="20">
        <f t="shared" si="194"/>
        <v>0</v>
      </c>
      <c r="R529" s="20">
        <f t="shared" si="194"/>
        <v>0</v>
      </c>
      <c r="S529" s="20">
        <f t="shared" si="194"/>
        <v>0</v>
      </c>
      <c r="T529" s="20">
        <f t="shared" si="194"/>
        <v>0</v>
      </c>
      <c r="U529" s="20">
        <f t="shared" si="194"/>
        <v>0</v>
      </c>
      <c r="V529" s="20">
        <f t="shared" si="194"/>
        <v>0</v>
      </c>
      <c r="W529" s="20">
        <f t="shared" si="194"/>
        <v>0</v>
      </c>
      <c r="X529" s="20">
        <f t="shared" si="194"/>
        <v>0</v>
      </c>
      <c r="Y529" s="20">
        <f t="shared" si="194"/>
        <v>0</v>
      </c>
      <c r="Z529" s="20">
        <f t="shared" si="194"/>
        <v>0</v>
      </c>
      <c r="AA529" s="116">
        <f t="shared" si="195"/>
        <v>0</v>
      </c>
      <c r="AB529" s="114" t="s">
        <v>65</v>
      </c>
      <c r="AC529" s="113"/>
    </row>
    <row r="530" ht="15.75" customHeight="1">
      <c r="A530" s="101" t="s">
        <v>62</v>
      </c>
      <c r="B530" s="102">
        <f t="shared" ref="B530:Z530" si="196">sum(B22,B45,B68,B91,B114,B137,B160,B183,B206,B229,B252,B275,B298,B321,B344,B367,B390,B413,B436,B459,B482,B505)</f>
        <v>0</v>
      </c>
      <c r="C530" s="102">
        <f t="shared" si="196"/>
        <v>0</v>
      </c>
      <c r="D530" s="102">
        <f t="shared" si="196"/>
        <v>0</v>
      </c>
      <c r="E530" s="102">
        <f t="shared" si="196"/>
        <v>0</v>
      </c>
      <c r="F530" s="102">
        <f t="shared" si="196"/>
        <v>0</v>
      </c>
      <c r="G530" s="102">
        <f t="shared" si="196"/>
        <v>0</v>
      </c>
      <c r="H530" s="102">
        <f t="shared" si="196"/>
        <v>0</v>
      </c>
      <c r="I530" s="102">
        <f t="shared" si="196"/>
        <v>0</v>
      </c>
      <c r="J530" s="102">
        <f t="shared" si="196"/>
        <v>0</v>
      </c>
      <c r="K530" s="102">
        <f t="shared" si="196"/>
        <v>0</v>
      </c>
      <c r="L530" s="102">
        <f t="shared" si="196"/>
        <v>0</v>
      </c>
      <c r="M530" s="102">
        <f t="shared" si="196"/>
        <v>0</v>
      </c>
      <c r="N530" s="102">
        <f t="shared" si="196"/>
        <v>0</v>
      </c>
      <c r="O530" s="102">
        <f t="shared" si="196"/>
        <v>0</v>
      </c>
      <c r="P530" s="102">
        <f t="shared" si="196"/>
        <v>0</v>
      </c>
      <c r="Q530" s="102">
        <f t="shared" si="196"/>
        <v>0</v>
      </c>
      <c r="R530" s="102">
        <f t="shared" si="196"/>
        <v>0</v>
      </c>
      <c r="S530" s="102">
        <f t="shared" si="196"/>
        <v>0</v>
      </c>
      <c r="T530" s="102">
        <f t="shared" si="196"/>
        <v>0</v>
      </c>
      <c r="U530" s="102">
        <f t="shared" si="196"/>
        <v>0</v>
      </c>
      <c r="V530" s="102">
        <f t="shared" si="196"/>
        <v>0</v>
      </c>
      <c r="W530" s="102">
        <f t="shared" si="196"/>
        <v>0</v>
      </c>
      <c r="X530" s="102">
        <f t="shared" si="196"/>
        <v>0</v>
      </c>
      <c r="Y530" s="102">
        <f t="shared" si="196"/>
        <v>0</v>
      </c>
      <c r="Z530" s="102">
        <f t="shared" si="196"/>
        <v>0</v>
      </c>
      <c r="AA530" s="105"/>
      <c r="AB530" s="104"/>
      <c r="AC530" s="105"/>
    </row>
    <row r="531" ht="15.75" customHeight="1">
      <c r="A531" s="115" t="s">
        <v>50</v>
      </c>
      <c r="B531" s="20" t="str">
        <f t="shared" ref="B531:Z531" si="197">B530/count(B22,B45,B68,B91,B114,B137,B160,B183,B206,B229,B252,B275,B298,B321,B344,B367,B390,B413,B436,B459,B482,B505)</f>
        <v>#DIV/0!</v>
      </c>
      <c r="C531" s="20" t="str">
        <f t="shared" si="197"/>
        <v>#DIV/0!</v>
      </c>
      <c r="D531" s="20" t="str">
        <f t="shared" si="197"/>
        <v>#DIV/0!</v>
      </c>
      <c r="E531" s="20" t="str">
        <f t="shared" si="197"/>
        <v>#DIV/0!</v>
      </c>
      <c r="F531" s="20" t="str">
        <f t="shared" si="197"/>
        <v>#DIV/0!</v>
      </c>
      <c r="G531" s="20" t="str">
        <f t="shared" si="197"/>
        <v>#DIV/0!</v>
      </c>
      <c r="H531" s="20" t="str">
        <f t="shared" si="197"/>
        <v>#DIV/0!</v>
      </c>
      <c r="I531" s="20" t="str">
        <f t="shared" si="197"/>
        <v>#DIV/0!</v>
      </c>
      <c r="J531" s="20" t="str">
        <f t="shared" si="197"/>
        <v>#DIV/0!</v>
      </c>
      <c r="K531" s="20" t="str">
        <f t="shared" si="197"/>
        <v>#DIV/0!</v>
      </c>
      <c r="L531" s="20" t="str">
        <f t="shared" si="197"/>
        <v>#DIV/0!</v>
      </c>
      <c r="M531" s="20" t="str">
        <f t="shared" si="197"/>
        <v>#DIV/0!</v>
      </c>
      <c r="N531" s="20" t="str">
        <f t="shared" si="197"/>
        <v>#DIV/0!</v>
      </c>
      <c r="O531" s="20" t="str">
        <f t="shared" si="197"/>
        <v>#DIV/0!</v>
      </c>
      <c r="P531" s="20" t="str">
        <f t="shared" si="197"/>
        <v>#DIV/0!</v>
      </c>
      <c r="Q531" s="20" t="str">
        <f t="shared" si="197"/>
        <v>#DIV/0!</v>
      </c>
      <c r="R531" s="20" t="str">
        <f t="shared" si="197"/>
        <v>#DIV/0!</v>
      </c>
      <c r="S531" s="20" t="str">
        <f t="shared" si="197"/>
        <v>#DIV/0!</v>
      </c>
      <c r="T531" s="20" t="str">
        <f t="shared" si="197"/>
        <v>#DIV/0!</v>
      </c>
      <c r="U531" s="20" t="str">
        <f t="shared" si="197"/>
        <v>#DIV/0!</v>
      </c>
      <c r="V531" s="20" t="str">
        <f t="shared" si="197"/>
        <v>#DIV/0!</v>
      </c>
      <c r="W531" s="20" t="str">
        <f t="shared" si="197"/>
        <v>#DIV/0!</v>
      </c>
      <c r="X531" s="20" t="str">
        <f t="shared" si="197"/>
        <v>#DIV/0!</v>
      </c>
      <c r="Y531" s="20" t="str">
        <f t="shared" si="197"/>
        <v>#DIV/0!</v>
      </c>
      <c r="Z531" s="20" t="str">
        <f t="shared" si="197"/>
        <v>#DIV/0!</v>
      </c>
      <c r="AA531" s="116" t="str">
        <f>round(AVERAGEif(B531:Z531, "&gt;0"),0)</f>
        <v>#DIV/0!</v>
      </c>
      <c r="AB531" s="114" t="s">
        <v>63</v>
      </c>
      <c r="AC531" s="113"/>
    </row>
    <row r="532" ht="15.75" customHeight="1">
      <c r="A532" s="117" t="s">
        <v>53</v>
      </c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9"/>
      <c r="AB532" s="120" t="s">
        <v>53</v>
      </c>
      <c r="AC532" s="119"/>
    </row>
    <row r="533" ht="15.75" customHeight="1">
      <c r="A533" s="97" t="s">
        <v>48</v>
      </c>
      <c r="B533" s="98">
        <f t="shared" ref="B533:Z533" si="198">B24+B47+B70+B93+B116+B139+B162+B185+B208+B231+B254+B277+B300+B323+B346+B369+B392+B415+B438+B461+B484+B507</f>
        <v>0</v>
      </c>
      <c r="C533" s="98">
        <f t="shared" si="198"/>
        <v>0</v>
      </c>
      <c r="D533" s="98">
        <f t="shared" si="198"/>
        <v>0</v>
      </c>
      <c r="E533" s="98">
        <f t="shared" si="198"/>
        <v>0</v>
      </c>
      <c r="F533" s="98">
        <f t="shared" si="198"/>
        <v>0</v>
      </c>
      <c r="G533" s="98">
        <f t="shared" si="198"/>
        <v>0</v>
      </c>
      <c r="H533" s="98">
        <f t="shared" si="198"/>
        <v>0</v>
      </c>
      <c r="I533" s="98">
        <f t="shared" si="198"/>
        <v>0</v>
      </c>
      <c r="J533" s="98">
        <f t="shared" si="198"/>
        <v>0</v>
      </c>
      <c r="K533" s="98">
        <f t="shared" si="198"/>
        <v>0</v>
      </c>
      <c r="L533" s="98">
        <f t="shared" si="198"/>
        <v>0</v>
      </c>
      <c r="M533" s="98">
        <f t="shared" si="198"/>
        <v>0</v>
      </c>
      <c r="N533" s="98">
        <f t="shared" si="198"/>
        <v>0</v>
      </c>
      <c r="O533" s="98">
        <f t="shared" si="198"/>
        <v>0</v>
      </c>
      <c r="P533" s="98">
        <f t="shared" si="198"/>
        <v>0</v>
      </c>
      <c r="Q533" s="98">
        <f t="shared" si="198"/>
        <v>0</v>
      </c>
      <c r="R533" s="98">
        <f t="shared" si="198"/>
        <v>0</v>
      </c>
      <c r="S533" s="98">
        <f t="shared" si="198"/>
        <v>0</v>
      </c>
      <c r="T533" s="98">
        <f t="shared" si="198"/>
        <v>0</v>
      </c>
      <c r="U533" s="98">
        <f t="shared" si="198"/>
        <v>0</v>
      </c>
      <c r="V533" s="98">
        <f t="shared" si="198"/>
        <v>0</v>
      </c>
      <c r="W533" s="98">
        <f t="shared" si="198"/>
        <v>0</v>
      </c>
      <c r="X533" s="98">
        <f t="shared" si="198"/>
        <v>0</v>
      </c>
      <c r="Y533" s="98">
        <f t="shared" si="198"/>
        <v>0</v>
      </c>
      <c r="Z533" s="98">
        <f t="shared" si="198"/>
        <v>0</v>
      </c>
      <c r="AA533" s="121">
        <f t="shared" ref="AA533:AA534" si="200">SUM(B533:Z533)</f>
        <v>0</v>
      </c>
      <c r="AB533" s="120" t="s">
        <v>66</v>
      </c>
      <c r="AC533" s="119"/>
    </row>
    <row r="534" ht="15.75" customHeight="1">
      <c r="A534" s="97" t="s">
        <v>49</v>
      </c>
      <c r="B534" s="98">
        <f t="shared" ref="B534:Z534" si="199">B25+B48+B71+B94+B117+B140+B163+B186+B209+B232+B255+B278+B301+B324+B347+B370+B393+B416+B439+B462+B485+B508</f>
        <v>0</v>
      </c>
      <c r="C534" s="98">
        <f t="shared" si="199"/>
        <v>0</v>
      </c>
      <c r="D534" s="98">
        <f t="shared" si="199"/>
        <v>0</v>
      </c>
      <c r="E534" s="98">
        <f t="shared" si="199"/>
        <v>0</v>
      </c>
      <c r="F534" s="98">
        <f t="shared" si="199"/>
        <v>0</v>
      </c>
      <c r="G534" s="98">
        <f t="shared" si="199"/>
        <v>0</v>
      </c>
      <c r="H534" s="98">
        <f t="shared" si="199"/>
        <v>0</v>
      </c>
      <c r="I534" s="98">
        <f t="shared" si="199"/>
        <v>0</v>
      </c>
      <c r="J534" s="98">
        <f t="shared" si="199"/>
        <v>0</v>
      </c>
      <c r="K534" s="98">
        <f t="shared" si="199"/>
        <v>0</v>
      </c>
      <c r="L534" s="98">
        <f t="shared" si="199"/>
        <v>0</v>
      </c>
      <c r="M534" s="98">
        <f t="shared" si="199"/>
        <v>0</v>
      </c>
      <c r="N534" s="98">
        <f t="shared" si="199"/>
        <v>0</v>
      </c>
      <c r="O534" s="98">
        <f t="shared" si="199"/>
        <v>0</v>
      </c>
      <c r="P534" s="98">
        <f t="shared" si="199"/>
        <v>0</v>
      </c>
      <c r="Q534" s="98">
        <f t="shared" si="199"/>
        <v>0</v>
      </c>
      <c r="R534" s="98">
        <f t="shared" si="199"/>
        <v>0</v>
      </c>
      <c r="S534" s="98">
        <f t="shared" si="199"/>
        <v>0</v>
      </c>
      <c r="T534" s="98">
        <f t="shared" si="199"/>
        <v>0</v>
      </c>
      <c r="U534" s="98">
        <f t="shared" si="199"/>
        <v>0</v>
      </c>
      <c r="V534" s="98">
        <f t="shared" si="199"/>
        <v>0</v>
      </c>
      <c r="W534" s="98">
        <f t="shared" si="199"/>
        <v>0</v>
      </c>
      <c r="X534" s="98">
        <f t="shared" si="199"/>
        <v>0</v>
      </c>
      <c r="Y534" s="98">
        <f t="shared" si="199"/>
        <v>0</v>
      </c>
      <c r="Z534" s="98">
        <f t="shared" si="199"/>
        <v>0</v>
      </c>
      <c r="AA534" s="121">
        <f t="shared" si="200"/>
        <v>0</v>
      </c>
      <c r="AB534" s="120" t="s">
        <v>67</v>
      </c>
      <c r="AC534" s="119"/>
    </row>
    <row r="535" ht="15.75" customHeight="1">
      <c r="A535" s="122" t="s">
        <v>62</v>
      </c>
      <c r="B535" s="123">
        <f t="shared" ref="B535:Z535" si="201">sum(B26,B49,B72,B95,B118,B141,B164,B187,B210,B233,B256,B279,B302,B325,B348,B371,B394,B417,B440,B463,B486,B509)</f>
        <v>0</v>
      </c>
      <c r="C535" s="123">
        <f t="shared" si="201"/>
        <v>0</v>
      </c>
      <c r="D535" s="123">
        <f t="shared" si="201"/>
        <v>0</v>
      </c>
      <c r="E535" s="123">
        <f t="shared" si="201"/>
        <v>0</v>
      </c>
      <c r="F535" s="123">
        <f t="shared" si="201"/>
        <v>0</v>
      </c>
      <c r="G535" s="123">
        <f t="shared" si="201"/>
        <v>0</v>
      </c>
      <c r="H535" s="123">
        <f t="shared" si="201"/>
        <v>0</v>
      </c>
      <c r="I535" s="123">
        <f t="shared" si="201"/>
        <v>0</v>
      </c>
      <c r="J535" s="123">
        <f t="shared" si="201"/>
        <v>0</v>
      </c>
      <c r="K535" s="123">
        <f t="shared" si="201"/>
        <v>0</v>
      </c>
      <c r="L535" s="123">
        <f t="shared" si="201"/>
        <v>0</v>
      </c>
      <c r="M535" s="123">
        <f t="shared" si="201"/>
        <v>0</v>
      </c>
      <c r="N535" s="123">
        <f t="shared" si="201"/>
        <v>0</v>
      </c>
      <c r="O535" s="123">
        <f t="shared" si="201"/>
        <v>0</v>
      </c>
      <c r="P535" s="123">
        <f t="shared" si="201"/>
        <v>0</v>
      </c>
      <c r="Q535" s="123">
        <f t="shared" si="201"/>
        <v>0</v>
      </c>
      <c r="R535" s="123">
        <f t="shared" si="201"/>
        <v>0</v>
      </c>
      <c r="S535" s="123">
        <f t="shared" si="201"/>
        <v>0</v>
      </c>
      <c r="T535" s="123">
        <f t="shared" si="201"/>
        <v>0</v>
      </c>
      <c r="U535" s="123">
        <f t="shared" si="201"/>
        <v>0</v>
      </c>
      <c r="V535" s="123">
        <f t="shared" si="201"/>
        <v>0</v>
      </c>
      <c r="W535" s="123">
        <f t="shared" si="201"/>
        <v>0</v>
      </c>
      <c r="X535" s="123">
        <f t="shared" si="201"/>
        <v>0</v>
      </c>
      <c r="Y535" s="123">
        <f t="shared" si="201"/>
        <v>0</v>
      </c>
      <c r="Z535" s="123">
        <f t="shared" si="201"/>
        <v>0</v>
      </c>
      <c r="AA535" s="124"/>
      <c r="AB535" s="124"/>
      <c r="AC535" s="122"/>
    </row>
    <row r="536" ht="15.75" customHeight="1">
      <c r="A536" s="106" t="s">
        <v>50</v>
      </c>
      <c r="B536" s="107" t="str">
        <f t="shared" ref="B536:Z536" si="202">B535/count(B26,B49,B72,B95,B118,B141,B164,B187,B210,B233,B256,B279,B302,B325,B348,B371,B394,B417,B440,B463,B486,B509)</f>
        <v>#DIV/0!</v>
      </c>
      <c r="C536" s="107" t="str">
        <f t="shared" si="202"/>
        <v>#DIV/0!</v>
      </c>
      <c r="D536" s="107" t="str">
        <f t="shared" si="202"/>
        <v>#DIV/0!</v>
      </c>
      <c r="E536" s="107" t="str">
        <f t="shared" si="202"/>
        <v>#DIV/0!</v>
      </c>
      <c r="F536" s="107" t="str">
        <f t="shared" si="202"/>
        <v>#DIV/0!</v>
      </c>
      <c r="G536" s="107" t="str">
        <f t="shared" si="202"/>
        <v>#DIV/0!</v>
      </c>
      <c r="H536" s="107" t="str">
        <f t="shared" si="202"/>
        <v>#DIV/0!</v>
      </c>
      <c r="I536" s="107" t="str">
        <f t="shared" si="202"/>
        <v>#DIV/0!</v>
      </c>
      <c r="J536" s="107" t="str">
        <f t="shared" si="202"/>
        <v>#DIV/0!</v>
      </c>
      <c r="K536" s="107" t="str">
        <f t="shared" si="202"/>
        <v>#DIV/0!</v>
      </c>
      <c r="L536" s="107" t="str">
        <f t="shared" si="202"/>
        <v>#DIV/0!</v>
      </c>
      <c r="M536" s="107" t="str">
        <f t="shared" si="202"/>
        <v>#DIV/0!</v>
      </c>
      <c r="N536" s="107" t="str">
        <f t="shared" si="202"/>
        <v>#DIV/0!</v>
      </c>
      <c r="O536" s="107" t="str">
        <f t="shared" si="202"/>
        <v>#DIV/0!</v>
      </c>
      <c r="P536" s="107" t="str">
        <f t="shared" si="202"/>
        <v>#DIV/0!</v>
      </c>
      <c r="Q536" s="107" t="str">
        <f t="shared" si="202"/>
        <v>#DIV/0!</v>
      </c>
      <c r="R536" s="107" t="str">
        <f t="shared" si="202"/>
        <v>#DIV/0!</v>
      </c>
      <c r="S536" s="107" t="str">
        <f t="shared" si="202"/>
        <v>#DIV/0!</v>
      </c>
      <c r="T536" s="107" t="str">
        <f t="shared" si="202"/>
        <v>#DIV/0!</v>
      </c>
      <c r="U536" s="107" t="str">
        <f t="shared" si="202"/>
        <v>#DIV/0!</v>
      </c>
      <c r="V536" s="107" t="str">
        <f t="shared" si="202"/>
        <v>#DIV/0!</v>
      </c>
      <c r="W536" s="107" t="str">
        <f t="shared" si="202"/>
        <v>#DIV/0!</v>
      </c>
      <c r="X536" s="107" t="str">
        <f t="shared" si="202"/>
        <v>#DIV/0!</v>
      </c>
      <c r="Y536" s="107" t="str">
        <f t="shared" si="202"/>
        <v>#DIV/0!</v>
      </c>
      <c r="Z536" s="107" t="str">
        <f t="shared" si="202"/>
        <v>#DIV/0!</v>
      </c>
      <c r="AA536" s="125" t="str">
        <f>round(AVERAGEif(B536:Z536, "&gt;0"),0)</f>
        <v>#DIV/0!</v>
      </c>
      <c r="AB536" s="126" t="s">
        <v>63</v>
      </c>
      <c r="AC536" s="127"/>
    </row>
  </sheetData>
  <mergeCells count="78">
    <mergeCell ref="A222:Z222"/>
    <mergeCell ref="A226:Z226"/>
    <mergeCell ref="A230:Z230"/>
    <mergeCell ref="A245:Z245"/>
    <mergeCell ref="A249:Z249"/>
    <mergeCell ref="A253:Z253"/>
    <mergeCell ref="A268:Z268"/>
    <mergeCell ref="A272:Z272"/>
    <mergeCell ref="A276:Z276"/>
    <mergeCell ref="A291:Z291"/>
    <mergeCell ref="A295:Z295"/>
    <mergeCell ref="A299:Z299"/>
    <mergeCell ref="A314:Z314"/>
    <mergeCell ref="A318:Z318"/>
    <mergeCell ref="A322:Z322"/>
    <mergeCell ref="A337:Z337"/>
    <mergeCell ref="A341:Z341"/>
    <mergeCell ref="A345:Z345"/>
    <mergeCell ref="A360:Z360"/>
    <mergeCell ref="A364:Z364"/>
    <mergeCell ref="A368:Z368"/>
    <mergeCell ref="A383:Z383"/>
    <mergeCell ref="A387:Z387"/>
    <mergeCell ref="A391:Z391"/>
    <mergeCell ref="A406:Z406"/>
    <mergeCell ref="A410:Z410"/>
    <mergeCell ref="A414:Z414"/>
    <mergeCell ref="A429:Z429"/>
    <mergeCell ref="A483:Z483"/>
    <mergeCell ref="A498:Z498"/>
    <mergeCell ref="A502:Z502"/>
    <mergeCell ref="A506:Z506"/>
    <mergeCell ref="A433:Z433"/>
    <mergeCell ref="A437:Z437"/>
    <mergeCell ref="A452:Z452"/>
    <mergeCell ref="A456:Z456"/>
    <mergeCell ref="A460:Z460"/>
    <mergeCell ref="A475:Z475"/>
    <mergeCell ref="A479:Z479"/>
    <mergeCell ref="Q2:R2"/>
    <mergeCell ref="S2:T2"/>
    <mergeCell ref="U2:V2"/>
    <mergeCell ref="W2:Y2"/>
    <mergeCell ref="A1:AB1"/>
    <mergeCell ref="C2:D2"/>
    <mergeCell ref="E2:F2"/>
    <mergeCell ref="G2:H2"/>
    <mergeCell ref="I2:J2"/>
    <mergeCell ref="K2:L2"/>
    <mergeCell ref="M2:P2"/>
    <mergeCell ref="A4:AB4"/>
    <mergeCell ref="A15:Z15"/>
    <mergeCell ref="A19:Z19"/>
    <mergeCell ref="A23:Z23"/>
    <mergeCell ref="A38:Z38"/>
    <mergeCell ref="A42:Z42"/>
    <mergeCell ref="A46:Z46"/>
    <mergeCell ref="A61:Z61"/>
    <mergeCell ref="A65:Z65"/>
    <mergeCell ref="A69:Z69"/>
    <mergeCell ref="A84:Z84"/>
    <mergeCell ref="A88:Z88"/>
    <mergeCell ref="A92:Z92"/>
    <mergeCell ref="A107:Z107"/>
    <mergeCell ref="A111:Z111"/>
    <mergeCell ref="A115:Z115"/>
    <mergeCell ref="A130:Z130"/>
    <mergeCell ref="A134:Z134"/>
    <mergeCell ref="A138:Z138"/>
    <mergeCell ref="A153:Z153"/>
    <mergeCell ref="A157:Z157"/>
    <mergeCell ref="A161:Z161"/>
    <mergeCell ref="A176:Z176"/>
    <mergeCell ref="A180:Z180"/>
    <mergeCell ref="A184:Z184"/>
    <mergeCell ref="A199:Z199"/>
    <mergeCell ref="A203:Z203"/>
    <mergeCell ref="A207:Z20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5.71"/>
    <col customWidth="1" min="2" max="2" width="8.86"/>
    <col customWidth="1" min="3" max="4" width="5.86"/>
    <col customWidth="1" min="5" max="5" width="9.43"/>
    <col customWidth="1" min="6" max="14" width="5.86"/>
    <col customWidth="1" min="15" max="16" width="8.71"/>
    <col customWidth="1" min="17" max="17" width="6.43"/>
    <col customWidth="1" min="18" max="23" width="5.86"/>
    <col customWidth="1" min="24" max="24" width="12.71"/>
    <col customWidth="1" min="25" max="25" width="5.86"/>
    <col customWidth="1" min="26" max="26" width="9.57"/>
    <col customWidth="1" min="27" max="27" width="8.14"/>
    <col customWidth="1" min="28" max="28" width="9.14"/>
    <col customWidth="1" min="29" max="29" width="28.0"/>
  </cols>
  <sheetData>
    <row r="1">
      <c r="A1" s="1" t="s">
        <v>0</v>
      </c>
      <c r="AC1" s="2"/>
    </row>
    <row r="2">
      <c r="A2" s="3"/>
      <c r="B2" s="4"/>
      <c r="C2" s="5" t="s">
        <v>1</v>
      </c>
      <c r="D2" s="6"/>
      <c r="E2" s="5" t="s">
        <v>2</v>
      </c>
      <c r="F2" s="6"/>
      <c r="G2" s="5" t="s">
        <v>3</v>
      </c>
      <c r="H2" s="6"/>
      <c r="I2" s="5" t="s">
        <v>4</v>
      </c>
      <c r="J2" s="6"/>
      <c r="K2" s="5" t="s">
        <v>5</v>
      </c>
      <c r="L2" s="6"/>
      <c r="M2" s="5" t="s">
        <v>6</v>
      </c>
      <c r="N2" s="7"/>
      <c r="O2" s="7"/>
      <c r="P2" s="6"/>
      <c r="Q2" s="5" t="s">
        <v>7</v>
      </c>
      <c r="R2" s="6"/>
      <c r="S2" s="5" t="s">
        <v>8</v>
      </c>
      <c r="T2" s="6"/>
      <c r="U2" s="5" t="s">
        <v>9</v>
      </c>
      <c r="V2" s="6"/>
      <c r="W2" s="5" t="s">
        <v>1</v>
      </c>
      <c r="X2" s="7"/>
      <c r="Y2" s="6"/>
      <c r="Z2" s="8"/>
      <c r="AA2" s="3"/>
      <c r="AB2" s="3"/>
      <c r="AC2" s="9"/>
    </row>
    <row r="3">
      <c r="A3" s="3"/>
      <c r="B3" s="10" t="s">
        <v>10</v>
      </c>
      <c r="C3" s="10" t="s">
        <v>11</v>
      </c>
      <c r="D3" s="11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3"/>
      <c r="AB3" s="3"/>
      <c r="AC3" s="9"/>
    </row>
    <row r="4">
      <c r="A4" s="1" t="s">
        <v>68</v>
      </c>
      <c r="AC4" s="12" t="s">
        <v>36</v>
      </c>
    </row>
    <row r="5">
      <c r="A5" s="13">
        <v>46028.0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 t="s">
        <v>37</v>
      </c>
      <c r="AB5" s="16" t="s">
        <v>38</v>
      </c>
      <c r="AC5" s="2"/>
    </row>
    <row r="6">
      <c r="A6" s="17" t="s">
        <v>39</v>
      </c>
      <c r="B6" s="19">
        <v>1.0</v>
      </c>
      <c r="C6" s="19">
        <v>1.0</v>
      </c>
      <c r="D6" s="19">
        <v>1.0</v>
      </c>
      <c r="E6" s="19">
        <v>0.0</v>
      </c>
      <c r="F6" s="19">
        <v>0.0</v>
      </c>
      <c r="G6" s="19">
        <v>1.0</v>
      </c>
      <c r="H6" s="19">
        <v>1.0</v>
      </c>
      <c r="I6" s="19">
        <v>1.0</v>
      </c>
      <c r="J6" s="19">
        <v>1.0</v>
      </c>
      <c r="K6" s="19">
        <v>1.0</v>
      </c>
      <c r="L6" s="19">
        <v>1.0</v>
      </c>
      <c r="M6" s="19">
        <v>1.0</v>
      </c>
      <c r="N6" s="19">
        <v>1.0</v>
      </c>
      <c r="O6" s="19">
        <v>1.0</v>
      </c>
      <c r="P6" s="19">
        <v>1.0</v>
      </c>
      <c r="Q6" s="19">
        <v>1.0</v>
      </c>
      <c r="R6" s="19">
        <v>1.0</v>
      </c>
      <c r="S6" s="19">
        <v>1.0</v>
      </c>
      <c r="T6" s="19">
        <v>1.0</v>
      </c>
      <c r="U6" s="19">
        <v>1.0</v>
      </c>
      <c r="V6" s="18"/>
      <c r="W6" s="18"/>
      <c r="X6" s="18"/>
      <c r="Y6" s="18"/>
      <c r="Z6" s="18"/>
      <c r="AA6" s="20">
        <f t="shared" ref="AA6:AA10" si="1">SUM(B6:Z6)</f>
        <v>18</v>
      </c>
      <c r="AB6" s="21">
        <f t="shared" ref="AB6:AB9" si="2">AA6/(COUNT(B6:Z6)*1)</f>
        <v>0.9</v>
      </c>
      <c r="AC6" s="2"/>
    </row>
    <row r="7">
      <c r="A7" s="17" t="s">
        <v>40</v>
      </c>
      <c r="B7" s="19">
        <v>1.0</v>
      </c>
      <c r="C7" s="19">
        <v>1.0</v>
      </c>
      <c r="D7" s="19">
        <v>1.0</v>
      </c>
      <c r="E7" s="19">
        <v>1.0</v>
      </c>
      <c r="F7" s="19">
        <v>1.0</v>
      </c>
      <c r="G7" s="19">
        <v>1.0</v>
      </c>
      <c r="H7" s="19">
        <v>1.0</v>
      </c>
      <c r="I7" s="19">
        <v>1.0</v>
      </c>
      <c r="J7" s="19">
        <v>1.0</v>
      </c>
      <c r="K7" s="19">
        <v>1.0</v>
      </c>
      <c r="L7" s="19">
        <v>1.0</v>
      </c>
      <c r="M7" s="19">
        <v>1.0</v>
      </c>
      <c r="N7" s="19">
        <v>1.0</v>
      </c>
      <c r="O7" s="19">
        <v>1.0</v>
      </c>
      <c r="P7" s="19">
        <v>1.0</v>
      </c>
      <c r="Q7" s="19">
        <v>1.0</v>
      </c>
      <c r="R7" s="19">
        <v>1.0</v>
      </c>
      <c r="S7" s="19">
        <v>1.0</v>
      </c>
      <c r="T7" s="19">
        <v>1.0</v>
      </c>
      <c r="U7" s="19">
        <v>1.0</v>
      </c>
      <c r="V7" s="18"/>
      <c r="W7" s="18"/>
      <c r="X7" s="18"/>
      <c r="Y7" s="18"/>
      <c r="Z7" s="18"/>
      <c r="AA7" s="20">
        <f t="shared" si="1"/>
        <v>20</v>
      </c>
      <c r="AB7" s="21">
        <f t="shared" si="2"/>
        <v>1</v>
      </c>
      <c r="AC7" s="2"/>
    </row>
    <row r="8">
      <c r="A8" s="17" t="s">
        <v>41</v>
      </c>
      <c r="B8" s="19">
        <v>1.0</v>
      </c>
      <c r="C8" s="19">
        <v>1.0</v>
      </c>
      <c r="D8" s="19">
        <v>1.0</v>
      </c>
      <c r="E8" s="19">
        <v>1.0</v>
      </c>
      <c r="F8" s="19">
        <v>1.0</v>
      </c>
      <c r="G8" s="19">
        <v>1.0</v>
      </c>
      <c r="H8" s="19">
        <v>1.0</v>
      </c>
      <c r="I8" s="19">
        <v>1.0</v>
      </c>
      <c r="J8" s="19">
        <v>0.0</v>
      </c>
      <c r="K8" s="19">
        <v>1.0</v>
      </c>
      <c r="L8" s="19">
        <v>1.0</v>
      </c>
      <c r="M8" s="19">
        <v>1.0</v>
      </c>
      <c r="N8" s="19">
        <v>1.0</v>
      </c>
      <c r="O8" s="19">
        <v>0.0</v>
      </c>
      <c r="P8" s="19">
        <v>1.0</v>
      </c>
      <c r="Q8" s="19">
        <v>1.0</v>
      </c>
      <c r="R8" s="19">
        <v>1.0</v>
      </c>
      <c r="S8" s="19">
        <v>0.0</v>
      </c>
      <c r="T8" s="19">
        <v>0.0</v>
      </c>
      <c r="U8" s="19">
        <v>0.0</v>
      </c>
      <c r="V8" s="18"/>
      <c r="W8" s="18"/>
      <c r="X8" s="18"/>
      <c r="Y8" s="18"/>
      <c r="Z8" s="18"/>
      <c r="AA8" s="20">
        <f t="shared" si="1"/>
        <v>15</v>
      </c>
      <c r="AB8" s="21">
        <f t="shared" si="2"/>
        <v>0.75</v>
      </c>
      <c r="AC8" s="2"/>
    </row>
    <row r="9">
      <c r="A9" s="17" t="s">
        <v>42</v>
      </c>
      <c r="B9" s="19">
        <v>1.0</v>
      </c>
      <c r="C9" s="19">
        <v>1.0</v>
      </c>
      <c r="D9" s="19">
        <v>1.0</v>
      </c>
      <c r="E9" s="19">
        <v>1.0</v>
      </c>
      <c r="F9" s="19">
        <v>1.0</v>
      </c>
      <c r="G9" s="19">
        <v>1.0</v>
      </c>
      <c r="H9" s="19">
        <v>1.0</v>
      </c>
      <c r="I9" s="19">
        <v>1.0</v>
      </c>
      <c r="J9" s="19">
        <v>1.0</v>
      </c>
      <c r="K9" s="19">
        <v>1.0</v>
      </c>
      <c r="L9" s="19">
        <v>1.0</v>
      </c>
      <c r="M9" s="19">
        <v>1.0</v>
      </c>
      <c r="N9" s="19">
        <v>1.0</v>
      </c>
      <c r="O9" s="19">
        <v>1.0</v>
      </c>
      <c r="P9" s="19">
        <v>0.0</v>
      </c>
      <c r="Q9" s="19">
        <v>0.0</v>
      </c>
      <c r="R9" s="19">
        <v>1.0</v>
      </c>
      <c r="S9" s="19">
        <v>1.0</v>
      </c>
      <c r="T9" s="19">
        <v>1.0</v>
      </c>
      <c r="U9" s="19">
        <v>1.0</v>
      </c>
      <c r="V9" s="18"/>
      <c r="W9" s="18"/>
      <c r="X9" s="18"/>
      <c r="Y9" s="18"/>
      <c r="Z9" s="18"/>
      <c r="AA9" s="20">
        <f t="shared" si="1"/>
        <v>18</v>
      </c>
      <c r="AB9" s="21">
        <f t="shared" si="2"/>
        <v>0.9</v>
      </c>
      <c r="AC9" s="2"/>
    </row>
    <row r="10">
      <c r="A10" s="17" t="s">
        <v>43</v>
      </c>
      <c r="B10" s="22">
        <f t="shared" ref="B10:Z10" si="3">SUM(B6:B9)</f>
        <v>4</v>
      </c>
      <c r="C10" s="22">
        <f t="shared" si="3"/>
        <v>4</v>
      </c>
      <c r="D10" s="22">
        <f t="shared" si="3"/>
        <v>4</v>
      </c>
      <c r="E10" s="22">
        <f t="shared" si="3"/>
        <v>3</v>
      </c>
      <c r="F10" s="22">
        <f t="shared" si="3"/>
        <v>3</v>
      </c>
      <c r="G10" s="22">
        <f t="shared" si="3"/>
        <v>4</v>
      </c>
      <c r="H10" s="22">
        <f t="shared" si="3"/>
        <v>4</v>
      </c>
      <c r="I10" s="22">
        <f t="shared" si="3"/>
        <v>4</v>
      </c>
      <c r="J10" s="22">
        <f t="shared" si="3"/>
        <v>3</v>
      </c>
      <c r="K10" s="22">
        <f t="shared" si="3"/>
        <v>4</v>
      </c>
      <c r="L10" s="22">
        <f t="shared" si="3"/>
        <v>4</v>
      </c>
      <c r="M10" s="22">
        <f t="shared" si="3"/>
        <v>4</v>
      </c>
      <c r="N10" s="22">
        <f t="shared" si="3"/>
        <v>4</v>
      </c>
      <c r="O10" s="22">
        <f t="shared" si="3"/>
        <v>3</v>
      </c>
      <c r="P10" s="22">
        <f t="shared" si="3"/>
        <v>3</v>
      </c>
      <c r="Q10" s="22">
        <f t="shared" si="3"/>
        <v>3</v>
      </c>
      <c r="R10" s="22">
        <f t="shared" si="3"/>
        <v>4</v>
      </c>
      <c r="S10" s="22">
        <f t="shared" si="3"/>
        <v>3</v>
      </c>
      <c r="T10" s="22">
        <f t="shared" si="3"/>
        <v>3</v>
      </c>
      <c r="U10" s="22">
        <f t="shared" si="3"/>
        <v>3</v>
      </c>
      <c r="V10" s="22">
        <f t="shared" si="3"/>
        <v>0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0">
        <f t="shared" si="1"/>
        <v>71</v>
      </c>
      <c r="AB10" s="23"/>
      <c r="AC10" s="2"/>
    </row>
    <row r="11">
      <c r="A11" s="17" t="s">
        <v>38</v>
      </c>
      <c r="B11" s="24">
        <f t="shared" ref="B11:Z11" si="4">B10/(COUNT(B6:B9)*1)</f>
        <v>1</v>
      </c>
      <c r="C11" s="24">
        <f t="shared" si="4"/>
        <v>1</v>
      </c>
      <c r="D11" s="24">
        <f t="shared" si="4"/>
        <v>1</v>
      </c>
      <c r="E11" s="24">
        <f t="shared" si="4"/>
        <v>0.75</v>
      </c>
      <c r="F11" s="24">
        <f t="shared" si="4"/>
        <v>0.75</v>
      </c>
      <c r="G11" s="24">
        <f t="shared" si="4"/>
        <v>1</v>
      </c>
      <c r="H11" s="24">
        <f t="shared" si="4"/>
        <v>1</v>
      </c>
      <c r="I11" s="24">
        <f t="shared" si="4"/>
        <v>1</v>
      </c>
      <c r="J11" s="24">
        <f t="shared" si="4"/>
        <v>0.75</v>
      </c>
      <c r="K11" s="24">
        <f t="shared" si="4"/>
        <v>1</v>
      </c>
      <c r="L11" s="24">
        <f t="shared" si="4"/>
        <v>1</v>
      </c>
      <c r="M11" s="24">
        <f t="shared" si="4"/>
        <v>1</v>
      </c>
      <c r="N11" s="24">
        <f t="shared" si="4"/>
        <v>1</v>
      </c>
      <c r="O11" s="24">
        <f t="shared" si="4"/>
        <v>0.75</v>
      </c>
      <c r="P11" s="24">
        <f t="shared" si="4"/>
        <v>0.75</v>
      </c>
      <c r="Q11" s="24">
        <f t="shared" si="4"/>
        <v>0.75</v>
      </c>
      <c r="R11" s="24">
        <f t="shared" si="4"/>
        <v>1</v>
      </c>
      <c r="S11" s="24">
        <f t="shared" si="4"/>
        <v>0.75</v>
      </c>
      <c r="T11" s="24">
        <f t="shared" si="4"/>
        <v>0.75</v>
      </c>
      <c r="U11" s="24">
        <f t="shared" si="4"/>
        <v>0.75</v>
      </c>
      <c r="V11" s="24" t="str">
        <f t="shared" si="4"/>
        <v>#DIV/0!</v>
      </c>
      <c r="W11" s="24" t="str">
        <f t="shared" si="4"/>
        <v>#DIV/0!</v>
      </c>
      <c r="X11" s="24" t="str">
        <f t="shared" si="4"/>
        <v>#DIV/0!</v>
      </c>
      <c r="Y11" s="24" t="str">
        <f t="shared" si="4"/>
        <v>#DIV/0!</v>
      </c>
      <c r="Z11" s="24" t="str">
        <f t="shared" si="4"/>
        <v>#DIV/0!</v>
      </c>
      <c r="AA11" s="25"/>
      <c r="AB11" s="26">
        <f>SUM(AB6:AB9)/4</f>
        <v>0.8875</v>
      </c>
      <c r="AC11" s="2"/>
    </row>
    <row r="12">
      <c r="A12" s="27" t="s">
        <v>44</v>
      </c>
      <c r="B12" s="60"/>
      <c r="C12" s="61"/>
      <c r="D12" s="60"/>
      <c r="E12" s="60"/>
      <c r="F12" s="60"/>
      <c r="G12" s="60"/>
      <c r="H12" s="60"/>
      <c r="I12" s="68">
        <v>20.0</v>
      </c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30">
        <f t="shared" ref="AA12:AA14" si="5">SUM(B12:Z12)</f>
        <v>20</v>
      </c>
      <c r="AB12" s="31"/>
      <c r="AC12" s="2"/>
    </row>
    <row r="13">
      <c r="A13" s="32" t="s">
        <v>45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0"/>
      <c r="W13" s="60"/>
      <c r="X13" s="60"/>
      <c r="Y13" s="60"/>
      <c r="Z13" s="60"/>
      <c r="AA13" s="30">
        <f t="shared" si="5"/>
        <v>0</v>
      </c>
      <c r="AB13" s="31"/>
      <c r="AC13" s="9"/>
    </row>
    <row r="14">
      <c r="A14" s="34" t="s">
        <v>46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0"/>
      <c r="W14" s="60"/>
      <c r="X14" s="60"/>
      <c r="Y14" s="60"/>
      <c r="Z14" s="60"/>
      <c r="AA14" s="30">
        <f t="shared" si="5"/>
        <v>0</v>
      </c>
      <c r="AB14" s="31"/>
      <c r="AC14" s="9"/>
    </row>
    <row r="15">
      <c r="A15" s="35" t="s">
        <v>47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8"/>
      <c r="AB15" s="39"/>
      <c r="AC15" s="2"/>
    </row>
    <row r="16">
      <c r="A16" s="40" t="s">
        <v>48</v>
      </c>
      <c r="B16" s="63"/>
      <c r="C16" s="64"/>
      <c r="D16" s="63"/>
      <c r="E16" s="63"/>
      <c r="F16" s="63"/>
      <c r="G16" s="63"/>
      <c r="H16" s="65">
        <v>1.0</v>
      </c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6"/>
      <c r="W16" s="66"/>
      <c r="X16" s="66"/>
      <c r="Y16" s="66"/>
      <c r="Z16" s="66"/>
      <c r="AA16" s="44">
        <f t="shared" ref="AA16:AA17" si="6">SUM(B16:Z16)</f>
        <v>1</v>
      </c>
      <c r="AB16" s="31"/>
      <c r="AC16" s="2"/>
    </row>
    <row r="17">
      <c r="A17" s="40" t="s">
        <v>49</v>
      </c>
      <c r="B17" s="63"/>
      <c r="C17" s="64"/>
      <c r="D17" s="63"/>
      <c r="E17" s="63"/>
      <c r="F17" s="63"/>
      <c r="G17" s="63"/>
      <c r="H17" s="65">
        <v>20.0</v>
      </c>
      <c r="I17" s="65">
        <v>20.0</v>
      </c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6"/>
      <c r="W17" s="66"/>
      <c r="X17" s="66"/>
      <c r="Y17" s="66"/>
      <c r="Z17" s="66"/>
      <c r="AA17" s="44">
        <f t="shared" si="6"/>
        <v>40</v>
      </c>
      <c r="AB17" s="31"/>
      <c r="AC17" s="2"/>
    </row>
    <row r="18">
      <c r="A18" s="40" t="s">
        <v>50</v>
      </c>
      <c r="B18" s="64"/>
      <c r="C18" s="64"/>
      <c r="D18" s="63"/>
      <c r="E18" s="63"/>
      <c r="F18" s="63"/>
      <c r="G18" s="63"/>
      <c r="H18" s="65">
        <v>1.0</v>
      </c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6"/>
      <c r="W18" s="66"/>
      <c r="X18" s="66"/>
      <c r="Y18" s="66"/>
      <c r="Z18" s="66"/>
      <c r="AA18" s="44">
        <f>AVERAGE(B18:Z18)</f>
        <v>1</v>
      </c>
      <c r="AB18" s="31"/>
      <c r="AC18" s="2"/>
    </row>
    <row r="19">
      <c r="A19" s="45" t="s">
        <v>51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7"/>
      <c r="AA19" s="46"/>
      <c r="AB19" s="39"/>
      <c r="AC19" s="2"/>
    </row>
    <row r="20">
      <c r="A20" s="47" t="s">
        <v>48</v>
      </c>
      <c r="B20" s="137"/>
      <c r="C20" s="18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8"/>
      <c r="W20" s="138"/>
      <c r="X20" s="138"/>
      <c r="Y20" s="138"/>
      <c r="Z20" s="138"/>
      <c r="AA20" s="51">
        <f t="shared" ref="AA20:AA21" si="7">SUM(B20:Z20)</f>
        <v>0</v>
      </c>
      <c r="AB20" s="31"/>
      <c r="AC20" s="2"/>
    </row>
    <row r="21">
      <c r="A21" s="47" t="s">
        <v>49</v>
      </c>
      <c r="B21" s="137"/>
      <c r="C21" s="18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8"/>
      <c r="W21" s="138"/>
      <c r="X21" s="138"/>
      <c r="Y21" s="138"/>
      <c r="Z21" s="138"/>
      <c r="AA21" s="51">
        <f t="shared" si="7"/>
        <v>0</v>
      </c>
      <c r="AB21" s="31"/>
      <c r="AC21" s="2"/>
    </row>
    <row r="22">
      <c r="A22" s="47" t="s">
        <v>52</v>
      </c>
      <c r="B22" s="18"/>
      <c r="C22" s="18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8"/>
      <c r="W22" s="138"/>
      <c r="X22" s="138"/>
      <c r="Y22" s="138"/>
      <c r="Z22" s="138"/>
      <c r="AA22" s="51" t="str">
        <f>AVERAGE(B22:Z22)</f>
        <v>#DIV/0!</v>
      </c>
      <c r="AB22" s="31"/>
      <c r="AC22" s="2"/>
    </row>
    <row r="23">
      <c r="A23" s="52" t="s">
        <v>53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7"/>
      <c r="AA23" s="38"/>
      <c r="AB23" s="39"/>
      <c r="AC23" s="2"/>
    </row>
    <row r="24">
      <c r="A24" s="40" t="s">
        <v>48</v>
      </c>
      <c r="B24" s="63"/>
      <c r="C24" s="64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6"/>
      <c r="W24" s="66"/>
      <c r="X24" s="66"/>
      <c r="Y24" s="66"/>
      <c r="Z24" s="66"/>
      <c r="AA24" s="44">
        <f t="shared" ref="AA24:AA25" si="8">SUM(B24:Z24)</f>
        <v>0</v>
      </c>
      <c r="AB24" s="31"/>
      <c r="AC24" s="2"/>
    </row>
    <row r="25">
      <c r="A25" s="40" t="s">
        <v>49</v>
      </c>
      <c r="B25" s="63"/>
      <c r="C25" s="64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6"/>
      <c r="W25" s="66"/>
      <c r="X25" s="66"/>
      <c r="Y25" s="66"/>
      <c r="Z25" s="66"/>
      <c r="AA25" s="44">
        <f t="shared" si="8"/>
        <v>0</v>
      </c>
      <c r="AB25" s="31"/>
      <c r="AC25" s="2"/>
    </row>
    <row r="26">
      <c r="A26" s="53" t="s">
        <v>50</v>
      </c>
      <c r="B26" s="139"/>
      <c r="C26" s="139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1"/>
      <c r="W26" s="141"/>
      <c r="X26" s="141"/>
      <c r="Y26" s="141"/>
      <c r="Z26" s="141"/>
      <c r="AA26" s="57" t="str">
        <f>AVERAGE(B26:Z26)</f>
        <v>#DIV/0!</v>
      </c>
      <c r="AB26" s="58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59"/>
      <c r="AB27" s="59"/>
      <c r="AC27" s="2"/>
    </row>
    <row r="28">
      <c r="A28" s="13">
        <v>45664.0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 t="s">
        <v>37</v>
      </c>
      <c r="AB28" s="16" t="s">
        <v>38</v>
      </c>
      <c r="AC28" s="2"/>
    </row>
    <row r="29">
      <c r="A29" s="17" t="s">
        <v>39</v>
      </c>
      <c r="B29" s="19">
        <v>1.0</v>
      </c>
      <c r="C29" s="19">
        <v>1.0</v>
      </c>
      <c r="D29" s="19">
        <v>1.0</v>
      </c>
      <c r="E29" s="19">
        <v>1.0</v>
      </c>
      <c r="F29" s="19">
        <v>1.0</v>
      </c>
      <c r="G29" s="19">
        <v>1.0</v>
      </c>
      <c r="H29" s="19">
        <v>1.0</v>
      </c>
      <c r="I29" s="19">
        <v>1.0</v>
      </c>
      <c r="J29" s="19">
        <v>1.0</v>
      </c>
      <c r="K29" s="19">
        <v>1.0</v>
      </c>
      <c r="L29" s="19">
        <v>1.0</v>
      </c>
      <c r="M29" s="19">
        <v>1.0</v>
      </c>
      <c r="N29" s="19">
        <v>1.0</v>
      </c>
      <c r="O29" s="19">
        <v>1.0</v>
      </c>
      <c r="P29" s="19">
        <v>1.0</v>
      </c>
      <c r="Q29" s="19">
        <v>1.0</v>
      </c>
      <c r="R29" s="19">
        <v>1.0</v>
      </c>
      <c r="S29" s="19">
        <v>1.0</v>
      </c>
      <c r="T29" s="19">
        <v>1.0</v>
      </c>
      <c r="U29" s="19">
        <v>1.0</v>
      </c>
      <c r="V29" s="19">
        <v>1.0</v>
      </c>
      <c r="W29" s="19">
        <v>1.0</v>
      </c>
      <c r="X29" s="19">
        <v>1.0</v>
      </c>
      <c r="Y29" s="19">
        <v>1.0</v>
      </c>
      <c r="Z29" s="18"/>
      <c r="AA29" s="20">
        <f t="shared" ref="AA29:AA33" si="9">SUM(B29:Z29)</f>
        <v>24</v>
      </c>
      <c r="AB29" s="21">
        <f t="shared" ref="AB29:AB32" si="10">AA29/(COUNT(B29:Z29)*1)</f>
        <v>1</v>
      </c>
      <c r="AC29" s="2"/>
    </row>
    <row r="30">
      <c r="A30" s="17" t="s">
        <v>40</v>
      </c>
      <c r="B30" s="19">
        <v>1.0</v>
      </c>
      <c r="C30" s="19">
        <v>1.0</v>
      </c>
      <c r="D30" s="19">
        <v>1.0</v>
      </c>
      <c r="E30" s="19">
        <v>1.0</v>
      </c>
      <c r="F30" s="19">
        <v>1.0</v>
      </c>
      <c r="G30" s="19">
        <v>1.0</v>
      </c>
      <c r="H30" s="19">
        <v>1.0</v>
      </c>
      <c r="I30" s="19">
        <v>1.0</v>
      </c>
      <c r="J30" s="19">
        <v>1.0</v>
      </c>
      <c r="K30" s="19">
        <v>1.0</v>
      </c>
      <c r="L30" s="19">
        <v>1.0</v>
      </c>
      <c r="M30" s="19">
        <v>1.0</v>
      </c>
      <c r="N30" s="19">
        <v>1.0</v>
      </c>
      <c r="O30" s="19">
        <v>1.0</v>
      </c>
      <c r="P30" s="19">
        <v>1.0</v>
      </c>
      <c r="Q30" s="19">
        <v>1.0</v>
      </c>
      <c r="R30" s="19">
        <v>1.0</v>
      </c>
      <c r="S30" s="19">
        <v>1.0</v>
      </c>
      <c r="T30" s="19">
        <v>1.0</v>
      </c>
      <c r="U30" s="19">
        <v>1.0</v>
      </c>
      <c r="V30" s="19">
        <v>1.0</v>
      </c>
      <c r="W30" s="19">
        <v>1.0</v>
      </c>
      <c r="X30" s="19">
        <v>1.0</v>
      </c>
      <c r="Y30" s="19">
        <v>1.0</v>
      </c>
      <c r="Z30" s="18"/>
      <c r="AA30" s="20">
        <f t="shared" si="9"/>
        <v>24</v>
      </c>
      <c r="AB30" s="21">
        <f t="shared" si="10"/>
        <v>1</v>
      </c>
      <c r="AC30" s="2"/>
    </row>
    <row r="31">
      <c r="A31" s="17" t="s">
        <v>41</v>
      </c>
      <c r="B31" s="19">
        <v>1.0</v>
      </c>
      <c r="C31" s="19">
        <v>1.0</v>
      </c>
      <c r="D31" s="19">
        <v>1.0</v>
      </c>
      <c r="E31" s="19">
        <v>1.0</v>
      </c>
      <c r="F31" s="19">
        <v>1.0</v>
      </c>
      <c r="G31" s="19">
        <v>1.0</v>
      </c>
      <c r="H31" s="19">
        <v>1.0</v>
      </c>
      <c r="I31" s="19">
        <v>1.0</v>
      </c>
      <c r="J31" s="19">
        <v>1.0</v>
      </c>
      <c r="K31" s="19">
        <v>1.0</v>
      </c>
      <c r="L31" s="19">
        <v>1.0</v>
      </c>
      <c r="M31" s="19">
        <v>1.0</v>
      </c>
      <c r="N31" s="19">
        <v>1.0</v>
      </c>
      <c r="O31" s="19">
        <v>1.0</v>
      </c>
      <c r="P31" s="19">
        <v>1.0</v>
      </c>
      <c r="Q31" s="19">
        <v>1.0</v>
      </c>
      <c r="R31" s="19">
        <v>1.0</v>
      </c>
      <c r="S31" s="19">
        <v>1.0</v>
      </c>
      <c r="T31" s="19">
        <v>1.0</v>
      </c>
      <c r="U31" s="19">
        <v>1.0</v>
      </c>
      <c r="V31" s="19">
        <v>0.0</v>
      </c>
      <c r="W31" s="19">
        <v>1.0</v>
      </c>
      <c r="X31" s="19">
        <v>1.0</v>
      </c>
      <c r="Y31" s="19">
        <v>1.0</v>
      </c>
      <c r="Z31" s="18"/>
      <c r="AA31" s="20">
        <f t="shared" si="9"/>
        <v>23</v>
      </c>
      <c r="AB31" s="21">
        <f t="shared" si="10"/>
        <v>0.9583333333</v>
      </c>
      <c r="AC31" s="2"/>
    </row>
    <row r="32">
      <c r="A32" s="17" t="s">
        <v>42</v>
      </c>
      <c r="B32" s="19">
        <v>1.0</v>
      </c>
      <c r="C32" s="19">
        <v>1.0</v>
      </c>
      <c r="D32" s="19">
        <v>1.0</v>
      </c>
      <c r="E32" s="19">
        <v>1.0</v>
      </c>
      <c r="F32" s="19">
        <v>1.0</v>
      </c>
      <c r="G32" s="19">
        <v>1.0</v>
      </c>
      <c r="H32" s="19">
        <v>1.0</v>
      </c>
      <c r="I32" s="19">
        <v>1.0</v>
      </c>
      <c r="J32" s="19">
        <v>1.0</v>
      </c>
      <c r="K32" s="19">
        <v>1.0</v>
      </c>
      <c r="L32" s="19">
        <v>1.0</v>
      </c>
      <c r="M32" s="19">
        <v>1.0</v>
      </c>
      <c r="N32" s="19">
        <v>1.0</v>
      </c>
      <c r="O32" s="19">
        <v>1.0</v>
      </c>
      <c r="P32" s="19">
        <v>1.0</v>
      </c>
      <c r="Q32" s="19">
        <v>1.0</v>
      </c>
      <c r="R32" s="19">
        <v>1.0</v>
      </c>
      <c r="S32" s="19">
        <v>1.0</v>
      </c>
      <c r="T32" s="19">
        <v>1.0</v>
      </c>
      <c r="U32" s="19">
        <v>1.0</v>
      </c>
      <c r="V32" s="19">
        <v>0.0</v>
      </c>
      <c r="W32" s="19">
        <v>1.0</v>
      </c>
      <c r="X32" s="19">
        <v>1.0</v>
      </c>
      <c r="Y32" s="19">
        <v>1.0</v>
      </c>
      <c r="Z32" s="18"/>
      <c r="AA32" s="20">
        <f t="shared" si="9"/>
        <v>23</v>
      </c>
      <c r="AB32" s="21">
        <f t="shared" si="10"/>
        <v>0.9583333333</v>
      </c>
      <c r="AC32" s="2"/>
    </row>
    <row r="33">
      <c r="A33" s="17" t="s">
        <v>43</v>
      </c>
      <c r="B33" s="22">
        <f t="shared" ref="B33:Z33" si="11">SUM(B29:B32)</f>
        <v>4</v>
      </c>
      <c r="C33" s="22">
        <f t="shared" si="11"/>
        <v>4</v>
      </c>
      <c r="D33" s="22">
        <f t="shared" si="11"/>
        <v>4</v>
      </c>
      <c r="E33" s="22">
        <f t="shared" si="11"/>
        <v>4</v>
      </c>
      <c r="F33" s="22">
        <f t="shared" si="11"/>
        <v>4</v>
      </c>
      <c r="G33" s="22">
        <f t="shared" si="11"/>
        <v>4</v>
      </c>
      <c r="H33" s="22">
        <f t="shared" si="11"/>
        <v>4</v>
      </c>
      <c r="I33" s="22">
        <f t="shared" si="11"/>
        <v>4</v>
      </c>
      <c r="J33" s="22">
        <f t="shared" si="11"/>
        <v>4</v>
      </c>
      <c r="K33" s="22">
        <f t="shared" si="11"/>
        <v>4</v>
      </c>
      <c r="L33" s="22">
        <f t="shared" si="11"/>
        <v>4</v>
      </c>
      <c r="M33" s="22">
        <f t="shared" si="11"/>
        <v>4</v>
      </c>
      <c r="N33" s="22">
        <f t="shared" si="11"/>
        <v>4</v>
      </c>
      <c r="O33" s="22">
        <f t="shared" si="11"/>
        <v>4</v>
      </c>
      <c r="P33" s="22">
        <f t="shared" si="11"/>
        <v>4</v>
      </c>
      <c r="Q33" s="22">
        <f t="shared" si="11"/>
        <v>4</v>
      </c>
      <c r="R33" s="22">
        <f t="shared" si="11"/>
        <v>4</v>
      </c>
      <c r="S33" s="22">
        <f t="shared" si="11"/>
        <v>4</v>
      </c>
      <c r="T33" s="22">
        <f t="shared" si="11"/>
        <v>4</v>
      </c>
      <c r="U33" s="22">
        <f t="shared" si="11"/>
        <v>4</v>
      </c>
      <c r="V33" s="22">
        <f t="shared" si="11"/>
        <v>2</v>
      </c>
      <c r="W33" s="22">
        <f t="shared" si="11"/>
        <v>4</v>
      </c>
      <c r="X33" s="22">
        <f t="shared" si="11"/>
        <v>4</v>
      </c>
      <c r="Y33" s="22">
        <f t="shared" si="11"/>
        <v>4</v>
      </c>
      <c r="Z33" s="22">
        <f t="shared" si="11"/>
        <v>0</v>
      </c>
      <c r="AA33" s="20">
        <f t="shared" si="9"/>
        <v>94</v>
      </c>
      <c r="AB33" s="23"/>
      <c r="AC33" s="2"/>
    </row>
    <row r="34">
      <c r="A34" s="17" t="s">
        <v>38</v>
      </c>
      <c r="B34" s="24">
        <f t="shared" ref="B34:Z34" si="12">B33/(COUNT(B29:B32)*1)</f>
        <v>1</v>
      </c>
      <c r="C34" s="24">
        <f t="shared" si="12"/>
        <v>1</v>
      </c>
      <c r="D34" s="24">
        <f t="shared" si="12"/>
        <v>1</v>
      </c>
      <c r="E34" s="24">
        <f t="shared" si="12"/>
        <v>1</v>
      </c>
      <c r="F34" s="24">
        <f t="shared" si="12"/>
        <v>1</v>
      </c>
      <c r="G34" s="24">
        <f t="shared" si="12"/>
        <v>1</v>
      </c>
      <c r="H34" s="24">
        <f t="shared" si="12"/>
        <v>1</v>
      </c>
      <c r="I34" s="24">
        <f t="shared" si="12"/>
        <v>1</v>
      </c>
      <c r="J34" s="24">
        <f t="shared" si="12"/>
        <v>1</v>
      </c>
      <c r="K34" s="24">
        <f t="shared" si="12"/>
        <v>1</v>
      </c>
      <c r="L34" s="24">
        <f t="shared" si="12"/>
        <v>1</v>
      </c>
      <c r="M34" s="24">
        <f t="shared" si="12"/>
        <v>1</v>
      </c>
      <c r="N34" s="24">
        <f t="shared" si="12"/>
        <v>1</v>
      </c>
      <c r="O34" s="24">
        <f t="shared" si="12"/>
        <v>1</v>
      </c>
      <c r="P34" s="24">
        <f t="shared" si="12"/>
        <v>1</v>
      </c>
      <c r="Q34" s="24">
        <f t="shared" si="12"/>
        <v>1</v>
      </c>
      <c r="R34" s="24">
        <f t="shared" si="12"/>
        <v>1</v>
      </c>
      <c r="S34" s="24">
        <f t="shared" si="12"/>
        <v>1</v>
      </c>
      <c r="T34" s="24">
        <f t="shared" si="12"/>
        <v>1</v>
      </c>
      <c r="U34" s="24">
        <f t="shared" si="12"/>
        <v>1</v>
      </c>
      <c r="V34" s="24">
        <f t="shared" si="12"/>
        <v>0.5</v>
      </c>
      <c r="W34" s="24">
        <f t="shared" si="12"/>
        <v>1</v>
      </c>
      <c r="X34" s="24">
        <f t="shared" si="12"/>
        <v>1</v>
      </c>
      <c r="Y34" s="24">
        <f t="shared" si="12"/>
        <v>1</v>
      </c>
      <c r="Z34" s="24" t="str">
        <f t="shared" si="12"/>
        <v>#DIV/0!</v>
      </c>
      <c r="AA34" s="25"/>
      <c r="AB34" s="26">
        <f>SUM(AB29:AB32)/4</f>
        <v>0.9791666667</v>
      </c>
      <c r="AC34" s="2"/>
    </row>
    <row r="35">
      <c r="A35" s="27" t="s">
        <v>44</v>
      </c>
      <c r="B35" s="28"/>
      <c r="C35" s="29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30">
        <f t="shared" ref="AA35:AA37" si="13">SUM(B35:Z35)</f>
        <v>0</v>
      </c>
      <c r="AB35" s="31"/>
      <c r="AC35" s="2"/>
    </row>
    <row r="36">
      <c r="A36" s="32" t="s">
        <v>45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28"/>
      <c r="W36" s="28"/>
      <c r="X36" s="28"/>
      <c r="Y36" s="28"/>
      <c r="Z36" s="28"/>
      <c r="AA36" s="30">
        <f t="shared" si="13"/>
        <v>0</v>
      </c>
      <c r="AB36" s="31"/>
      <c r="AC36" s="9"/>
    </row>
    <row r="37">
      <c r="A37" s="34" t="s">
        <v>46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28"/>
      <c r="W37" s="28"/>
      <c r="X37" s="28"/>
      <c r="Y37" s="28"/>
      <c r="Z37" s="28"/>
      <c r="AA37" s="30">
        <f t="shared" si="13"/>
        <v>0</v>
      </c>
      <c r="AB37" s="31"/>
      <c r="AC37" s="9"/>
    </row>
    <row r="38">
      <c r="A38" s="35" t="s">
        <v>47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7"/>
      <c r="AA38" s="38"/>
      <c r="AB38" s="39"/>
      <c r="AC38" s="2"/>
    </row>
    <row r="39">
      <c r="A39" s="40" t="s">
        <v>48</v>
      </c>
      <c r="B39" s="41"/>
      <c r="C39" s="42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3"/>
      <c r="W39" s="43"/>
      <c r="X39" s="43"/>
      <c r="Y39" s="43"/>
      <c r="Z39" s="43"/>
      <c r="AA39" s="44">
        <f t="shared" ref="AA39:AA40" si="14">SUM(B39:Z39)</f>
        <v>0</v>
      </c>
      <c r="AB39" s="31"/>
      <c r="AC39" s="2"/>
    </row>
    <row r="40">
      <c r="A40" s="40" t="s">
        <v>49</v>
      </c>
      <c r="B40" s="41"/>
      <c r="C40" s="42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3"/>
      <c r="W40" s="43"/>
      <c r="X40" s="43"/>
      <c r="Y40" s="43"/>
      <c r="Z40" s="43"/>
      <c r="AA40" s="44">
        <f t="shared" si="14"/>
        <v>0</v>
      </c>
      <c r="AB40" s="31"/>
      <c r="AC40" s="2"/>
    </row>
    <row r="41">
      <c r="A41" s="40" t="s">
        <v>50</v>
      </c>
      <c r="B41" s="42"/>
      <c r="C41" s="42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3"/>
      <c r="W41" s="43"/>
      <c r="X41" s="43"/>
      <c r="Y41" s="43"/>
      <c r="Z41" s="43"/>
      <c r="AA41" s="44" t="str">
        <f>AVERAGE(B41:Z41)</f>
        <v>#DIV/0!</v>
      </c>
      <c r="AB41" s="31"/>
      <c r="AC41" s="2"/>
    </row>
    <row r="42">
      <c r="A42" s="45" t="s">
        <v>51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7"/>
      <c r="AA42" s="46"/>
      <c r="AB42" s="39"/>
      <c r="AC42" s="2"/>
    </row>
    <row r="43">
      <c r="A43" s="47" t="s">
        <v>48</v>
      </c>
      <c r="B43" s="48"/>
      <c r="C43" s="49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50"/>
      <c r="W43" s="50"/>
      <c r="X43" s="50"/>
      <c r="Y43" s="50"/>
      <c r="Z43" s="50"/>
      <c r="AA43" s="51">
        <f t="shared" ref="AA43:AA44" si="15">SUM(B43:Z43)</f>
        <v>0</v>
      </c>
      <c r="AB43" s="31"/>
      <c r="AC43" s="2"/>
    </row>
    <row r="44">
      <c r="A44" s="47" t="s">
        <v>49</v>
      </c>
      <c r="B44" s="48"/>
      <c r="C44" s="49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50"/>
      <c r="W44" s="50"/>
      <c r="X44" s="50"/>
      <c r="Y44" s="50"/>
      <c r="Z44" s="50"/>
      <c r="AA44" s="51">
        <f t="shared" si="15"/>
        <v>0</v>
      </c>
      <c r="AB44" s="31"/>
      <c r="AC44" s="2"/>
    </row>
    <row r="45">
      <c r="A45" s="47" t="s">
        <v>50</v>
      </c>
      <c r="B45" s="49"/>
      <c r="C45" s="49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50"/>
      <c r="W45" s="50"/>
      <c r="X45" s="50"/>
      <c r="Y45" s="50"/>
      <c r="Z45" s="50"/>
      <c r="AA45" s="51" t="str">
        <f>AVERAGE(B45:Z45)</f>
        <v>#DIV/0!</v>
      </c>
      <c r="AB45" s="31"/>
      <c r="AC45" s="2"/>
    </row>
    <row r="46">
      <c r="A46" s="52" t="s">
        <v>53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7"/>
      <c r="AA46" s="38"/>
      <c r="AB46" s="39"/>
      <c r="AC46" s="2"/>
    </row>
    <row r="47">
      <c r="A47" s="40" t="s">
        <v>48</v>
      </c>
      <c r="B47" s="41"/>
      <c r="C47" s="42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3"/>
      <c r="W47" s="43"/>
      <c r="X47" s="43"/>
      <c r="Y47" s="43"/>
      <c r="Z47" s="43"/>
      <c r="AA47" s="44">
        <f t="shared" ref="AA47:AA48" si="16">SUM(B47:Z47)</f>
        <v>0</v>
      </c>
      <c r="AB47" s="31"/>
      <c r="AC47" s="2"/>
    </row>
    <row r="48">
      <c r="A48" s="40" t="s">
        <v>49</v>
      </c>
      <c r="B48" s="41"/>
      <c r="C48" s="42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3"/>
      <c r="W48" s="43"/>
      <c r="X48" s="43"/>
      <c r="Y48" s="43"/>
      <c r="Z48" s="43"/>
      <c r="AA48" s="44">
        <f t="shared" si="16"/>
        <v>0</v>
      </c>
      <c r="AB48" s="31"/>
      <c r="AC48" s="2"/>
    </row>
    <row r="49">
      <c r="A49" s="53" t="s">
        <v>50</v>
      </c>
      <c r="B49" s="54"/>
      <c r="C49" s="54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6"/>
      <c r="W49" s="56"/>
      <c r="X49" s="56"/>
      <c r="Y49" s="56"/>
      <c r="Z49" s="56"/>
      <c r="AA49" s="57" t="str">
        <f>AVERAGE(B49:Z49)</f>
        <v>#DIV/0!</v>
      </c>
      <c r="AB49" s="58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59"/>
      <c r="AB50" s="59"/>
      <c r="AC50" s="2"/>
    </row>
    <row r="51">
      <c r="A51" s="13">
        <v>45665.0</v>
      </c>
      <c r="B51" s="14"/>
      <c r="C51" s="14"/>
      <c r="D51" s="14"/>
      <c r="E51" s="14"/>
      <c r="F51" s="70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5" t="s">
        <v>37</v>
      </c>
      <c r="AB51" s="16" t="s">
        <v>38</v>
      </c>
      <c r="AC51" s="2"/>
    </row>
    <row r="52">
      <c r="A52" s="17" t="s">
        <v>39</v>
      </c>
      <c r="B52" s="19">
        <v>1.0</v>
      </c>
      <c r="C52" s="19">
        <v>1.0</v>
      </c>
      <c r="D52" s="19">
        <v>1.0</v>
      </c>
      <c r="E52" s="19">
        <v>1.0</v>
      </c>
      <c r="F52" s="19">
        <v>1.0</v>
      </c>
      <c r="G52" s="19">
        <v>1.0</v>
      </c>
      <c r="H52" s="19">
        <v>1.0</v>
      </c>
      <c r="I52" s="19">
        <v>1.0</v>
      </c>
      <c r="J52" s="19">
        <v>1.0</v>
      </c>
      <c r="K52" s="19">
        <v>1.0</v>
      </c>
      <c r="L52" s="19">
        <v>1.0</v>
      </c>
      <c r="M52" s="19">
        <v>1.0</v>
      </c>
      <c r="N52" s="19">
        <v>1.0</v>
      </c>
      <c r="O52" s="19">
        <v>1.0</v>
      </c>
      <c r="P52" s="19">
        <v>1.0</v>
      </c>
      <c r="Q52" s="19">
        <v>1.0</v>
      </c>
      <c r="R52" s="19">
        <v>1.0</v>
      </c>
      <c r="S52" s="19">
        <v>1.0</v>
      </c>
      <c r="T52" s="19">
        <v>1.0</v>
      </c>
      <c r="U52" s="19">
        <v>1.0</v>
      </c>
      <c r="V52" s="19">
        <v>1.0</v>
      </c>
      <c r="W52" s="19">
        <v>1.0</v>
      </c>
      <c r="X52" s="19">
        <v>1.0</v>
      </c>
      <c r="Y52" s="19">
        <v>1.0</v>
      </c>
      <c r="Z52" s="18"/>
      <c r="AA52" s="20">
        <f t="shared" ref="AA52:AA56" si="17">SUM(B52:Z52)</f>
        <v>24</v>
      </c>
      <c r="AB52" s="21">
        <f t="shared" ref="AB52:AB55" si="18">AA52/(COUNT(B52:Z52)*1)</f>
        <v>1</v>
      </c>
      <c r="AC52" s="2"/>
    </row>
    <row r="53">
      <c r="A53" s="17" t="s">
        <v>40</v>
      </c>
      <c r="B53" s="19">
        <v>1.0</v>
      </c>
      <c r="C53" s="19">
        <v>1.0</v>
      </c>
      <c r="D53" s="19">
        <v>1.0</v>
      </c>
      <c r="E53" s="19">
        <v>1.0</v>
      </c>
      <c r="F53" s="19">
        <v>1.0</v>
      </c>
      <c r="G53" s="19">
        <v>1.0</v>
      </c>
      <c r="H53" s="19">
        <v>1.0</v>
      </c>
      <c r="I53" s="19">
        <v>1.0</v>
      </c>
      <c r="J53" s="19">
        <v>1.0</v>
      </c>
      <c r="K53" s="19">
        <v>1.0</v>
      </c>
      <c r="L53" s="19">
        <v>1.0</v>
      </c>
      <c r="M53" s="19">
        <v>1.0</v>
      </c>
      <c r="N53" s="19">
        <v>1.0</v>
      </c>
      <c r="O53" s="19">
        <v>1.0</v>
      </c>
      <c r="P53" s="19">
        <v>0.0</v>
      </c>
      <c r="Q53" s="19">
        <v>0.0</v>
      </c>
      <c r="R53" s="19">
        <v>1.0</v>
      </c>
      <c r="S53" s="19">
        <v>1.0</v>
      </c>
      <c r="T53" s="19">
        <v>1.0</v>
      </c>
      <c r="U53" s="19">
        <v>1.0</v>
      </c>
      <c r="V53" s="19">
        <v>1.0</v>
      </c>
      <c r="W53" s="19">
        <v>1.0</v>
      </c>
      <c r="X53" s="19">
        <v>0.0</v>
      </c>
      <c r="Y53" s="19">
        <v>0.0</v>
      </c>
      <c r="Z53" s="18"/>
      <c r="AA53" s="20">
        <f t="shared" si="17"/>
        <v>20</v>
      </c>
      <c r="AB53" s="21">
        <f t="shared" si="18"/>
        <v>0.8333333333</v>
      </c>
      <c r="AC53" s="2"/>
    </row>
    <row r="54">
      <c r="A54" s="17" t="s">
        <v>41</v>
      </c>
      <c r="B54" s="19">
        <v>1.0</v>
      </c>
      <c r="C54" s="19">
        <v>1.0</v>
      </c>
      <c r="D54" s="19">
        <v>1.0</v>
      </c>
      <c r="E54" s="19">
        <v>0.0</v>
      </c>
      <c r="F54" s="19">
        <v>0.0</v>
      </c>
      <c r="G54" s="19">
        <v>1.0</v>
      </c>
      <c r="H54" s="19">
        <v>1.0</v>
      </c>
      <c r="I54" s="19">
        <v>1.0</v>
      </c>
      <c r="J54" s="19">
        <v>1.0</v>
      </c>
      <c r="K54" s="19">
        <v>1.0</v>
      </c>
      <c r="L54" s="19">
        <v>1.0</v>
      </c>
      <c r="M54" s="19">
        <v>1.0</v>
      </c>
      <c r="N54" s="19">
        <v>1.0</v>
      </c>
      <c r="O54" s="19">
        <v>1.0</v>
      </c>
      <c r="P54" s="19">
        <v>0.0</v>
      </c>
      <c r="Q54" s="19">
        <v>1.0</v>
      </c>
      <c r="R54" s="19">
        <v>0.0</v>
      </c>
      <c r="S54" s="19">
        <v>1.0</v>
      </c>
      <c r="T54" s="19">
        <v>0.0</v>
      </c>
      <c r="U54" s="19">
        <v>1.0</v>
      </c>
      <c r="V54" s="19">
        <v>1.0</v>
      </c>
      <c r="W54" s="19">
        <v>0.0</v>
      </c>
      <c r="X54" s="19">
        <v>1.0</v>
      </c>
      <c r="Y54" s="19">
        <v>1.0</v>
      </c>
      <c r="Z54" s="18"/>
      <c r="AA54" s="20">
        <f t="shared" si="17"/>
        <v>18</v>
      </c>
      <c r="AB54" s="21">
        <f t="shared" si="18"/>
        <v>0.75</v>
      </c>
      <c r="AC54" s="2"/>
    </row>
    <row r="55">
      <c r="A55" s="17" t="s">
        <v>42</v>
      </c>
      <c r="B55" s="19">
        <v>1.0</v>
      </c>
      <c r="C55" s="19">
        <v>1.0</v>
      </c>
      <c r="D55" s="19">
        <v>1.0</v>
      </c>
      <c r="E55" s="19">
        <v>1.0</v>
      </c>
      <c r="F55" s="19">
        <v>0.0</v>
      </c>
      <c r="G55" s="19">
        <v>1.0</v>
      </c>
      <c r="H55" s="19">
        <v>1.0</v>
      </c>
      <c r="I55" s="19">
        <v>1.0</v>
      </c>
      <c r="J55" s="19">
        <v>1.0</v>
      </c>
      <c r="K55" s="19">
        <v>1.0</v>
      </c>
      <c r="L55" s="19">
        <v>0.0</v>
      </c>
      <c r="M55" s="19">
        <v>0.0</v>
      </c>
      <c r="N55" s="19">
        <v>0.0</v>
      </c>
      <c r="O55" s="19">
        <v>1.0</v>
      </c>
      <c r="P55" s="19">
        <v>0.0</v>
      </c>
      <c r="Q55" s="19">
        <v>1.0</v>
      </c>
      <c r="R55" s="19">
        <v>1.0</v>
      </c>
      <c r="S55" s="19">
        <v>1.0</v>
      </c>
      <c r="T55" s="19">
        <v>1.0</v>
      </c>
      <c r="U55" s="19">
        <v>1.0</v>
      </c>
      <c r="V55" s="19">
        <v>1.0</v>
      </c>
      <c r="W55" s="19">
        <v>1.0</v>
      </c>
      <c r="X55" s="19">
        <v>0.0</v>
      </c>
      <c r="Y55" s="19">
        <v>0.0</v>
      </c>
      <c r="Z55" s="18"/>
      <c r="AA55" s="20">
        <f t="shared" si="17"/>
        <v>17</v>
      </c>
      <c r="AB55" s="21">
        <f t="shared" si="18"/>
        <v>0.7083333333</v>
      </c>
      <c r="AC55" s="2"/>
    </row>
    <row r="56">
      <c r="A56" s="17" t="s">
        <v>43</v>
      </c>
      <c r="B56" s="22">
        <f t="shared" ref="B56:Z56" si="19">SUM(B52:B55)</f>
        <v>4</v>
      </c>
      <c r="C56" s="22">
        <f t="shared" si="19"/>
        <v>4</v>
      </c>
      <c r="D56" s="22">
        <f t="shared" si="19"/>
        <v>4</v>
      </c>
      <c r="E56" s="22">
        <f t="shared" si="19"/>
        <v>3</v>
      </c>
      <c r="F56" s="22">
        <f t="shared" si="19"/>
        <v>2</v>
      </c>
      <c r="G56" s="22">
        <f t="shared" si="19"/>
        <v>4</v>
      </c>
      <c r="H56" s="22">
        <f t="shared" si="19"/>
        <v>4</v>
      </c>
      <c r="I56" s="22">
        <f t="shared" si="19"/>
        <v>4</v>
      </c>
      <c r="J56" s="22">
        <f t="shared" si="19"/>
        <v>4</v>
      </c>
      <c r="K56" s="22">
        <f t="shared" si="19"/>
        <v>4</v>
      </c>
      <c r="L56" s="22">
        <f t="shared" si="19"/>
        <v>3</v>
      </c>
      <c r="M56" s="22">
        <f t="shared" si="19"/>
        <v>3</v>
      </c>
      <c r="N56" s="22">
        <f t="shared" si="19"/>
        <v>3</v>
      </c>
      <c r="O56" s="22">
        <f t="shared" si="19"/>
        <v>4</v>
      </c>
      <c r="P56" s="22">
        <f t="shared" si="19"/>
        <v>1</v>
      </c>
      <c r="Q56" s="22">
        <f t="shared" si="19"/>
        <v>3</v>
      </c>
      <c r="R56" s="22">
        <f t="shared" si="19"/>
        <v>3</v>
      </c>
      <c r="S56" s="22">
        <f t="shared" si="19"/>
        <v>4</v>
      </c>
      <c r="T56" s="22">
        <f t="shared" si="19"/>
        <v>3</v>
      </c>
      <c r="U56" s="22">
        <f t="shared" si="19"/>
        <v>4</v>
      </c>
      <c r="V56" s="22">
        <f t="shared" si="19"/>
        <v>4</v>
      </c>
      <c r="W56" s="22">
        <f t="shared" si="19"/>
        <v>3</v>
      </c>
      <c r="X56" s="22">
        <f t="shared" si="19"/>
        <v>2</v>
      </c>
      <c r="Y56" s="22">
        <f t="shared" si="19"/>
        <v>2</v>
      </c>
      <c r="Z56" s="22">
        <f t="shared" si="19"/>
        <v>0</v>
      </c>
      <c r="AA56" s="20">
        <f t="shared" si="17"/>
        <v>79</v>
      </c>
      <c r="AB56" s="23"/>
      <c r="AC56" s="2"/>
    </row>
    <row r="57">
      <c r="A57" s="17" t="s">
        <v>38</v>
      </c>
      <c r="B57" s="24">
        <f t="shared" ref="B57:Z57" si="20">B56/(COUNT(B52:B55)*1)</f>
        <v>1</v>
      </c>
      <c r="C57" s="24">
        <f t="shared" si="20"/>
        <v>1</v>
      </c>
      <c r="D57" s="24">
        <f t="shared" si="20"/>
        <v>1</v>
      </c>
      <c r="E57" s="24">
        <f t="shared" si="20"/>
        <v>0.75</v>
      </c>
      <c r="F57" s="24">
        <f t="shared" si="20"/>
        <v>0.5</v>
      </c>
      <c r="G57" s="24">
        <f t="shared" si="20"/>
        <v>1</v>
      </c>
      <c r="H57" s="24">
        <f t="shared" si="20"/>
        <v>1</v>
      </c>
      <c r="I57" s="24">
        <f t="shared" si="20"/>
        <v>1</v>
      </c>
      <c r="J57" s="24">
        <f t="shared" si="20"/>
        <v>1</v>
      </c>
      <c r="K57" s="24">
        <f t="shared" si="20"/>
        <v>1</v>
      </c>
      <c r="L57" s="24">
        <f t="shared" si="20"/>
        <v>0.75</v>
      </c>
      <c r="M57" s="24">
        <f t="shared" si="20"/>
        <v>0.75</v>
      </c>
      <c r="N57" s="24">
        <f t="shared" si="20"/>
        <v>0.75</v>
      </c>
      <c r="O57" s="24">
        <f t="shared" si="20"/>
        <v>1</v>
      </c>
      <c r="P57" s="24">
        <f t="shared" si="20"/>
        <v>0.25</v>
      </c>
      <c r="Q57" s="24">
        <f t="shared" si="20"/>
        <v>0.75</v>
      </c>
      <c r="R57" s="24">
        <f t="shared" si="20"/>
        <v>0.75</v>
      </c>
      <c r="S57" s="24">
        <f t="shared" si="20"/>
        <v>1</v>
      </c>
      <c r="T57" s="24">
        <f t="shared" si="20"/>
        <v>0.75</v>
      </c>
      <c r="U57" s="24">
        <f t="shared" si="20"/>
        <v>1</v>
      </c>
      <c r="V57" s="24">
        <f t="shared" si="20"/>
        <v>1</v>
      </c>
      <c r="W57" s="24">
        <f t="shared" si="20"/>
        <v>0.75</v>
      </c>
      <c r="X57" s="24">
        <f t="shared" si="20"/>
        <v>0.5</v>
      </c>
      <c r="Y57" s="24">
        <f t="shared" si="20"/>
        <v>0.5</v>
      </c>
      <c r="Z57" s="24" t="str">
        <f t="shared" si="20"/>
        <v>#DIV/0!</v>
      </c>
      <c r="AA57" s="25"/>
      <c r="AB57" s="26">
        <f>SUM(AB52:AB55)/4</f>
        <v>0.8229166667</v>
      </c>
      <c r="AC57" s="2"/>
    </row>
    <row r="58">
      <c r="A58" s="27" t="s">
        <v>44</v>
      </c>
      <c r="B58" s="60"/>
      <c r="C58" s="61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8"/>
      <c r="X58" s="60"/>
      <c r="Y58" s="60"/>
      <c r="Z58" s="60"/>
      <c r="AA58" s="30">
        <f t="shared" ref="AA58:AA60" si="21">SUM(B58:Z58)</f>
        <v>0</v>
      </c>
      <c r="AB58" s="31"/>
      <c r="AC58" s="2"/>
    </row>
    <row r="59">
      <c r="A59" s="32" t="s">
        <v>45</v>
      </c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128">
        <v>1.0</v>
      </c>
      <c r="N59" s="128">
        <v>2.0</v>
      </c>
      <c r="O59" s="62"/>
      <c r="P59" s="62"/>
      <c r="Q59" s="62"/>
      <c r="R59" s="62"/>
      <c r="S59" s="62"/>
      <c r="T59" s="62"/>
      <c r="U59" s="62"/>
      <c r="V59" s="60"/>
      <c r="W59" s="68">
        <v>3.0</v>
      </c>
      <c r="X59" s="60"/>
      <c r="Y59" s="60"/>
      <c r="Z59" s="60"/>
      <c r="AA59" s="30">
        <f t="shared" si="21"/>
        <v>6</v>
      </c>
      <c r="AB59" s="31"/>
      <c r="AC59" s="9"/>
    </row>
    <row r="60">
      <c r="A60" s="34" t="s">
        <v>46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0"/>
      <c r="W60" s="60"/>
      <c r="X60" s="60"/>
      <c r="Y60" s="60"/>
      <c r="Z60" s="60"/>
      <c r="AA60" s="30">
        <f t="shared" si="21"/>
        <v>0</v>
      </c>
      <c r="AB60" s="31"/>
      <c r="AC60" s="9"/>
    </row>
    <row r="61">
      <c r="A61" s="35" t="s">
        <v>47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7"/>
      <c r="AA61" s="38"/>
      <c r="AB61" s="39"/>
      <c r="AC61" s="2"/>
    </row>
    <row r="62">
      <c r="A62" s="40" t="s">
        <v>48</v>
      </c>
      <c r="B62" s="63"/>
      <c r="C62" s="64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6"/>
      <c r="W62" s="69">
        <v>1.0</v>
      </c>
      <c r="X62" s="66"/>
      <c r="Y62" s="66"/>
      <c r="Z62" s="66"/>
      <c r="AA62" s="44">
        <f t="shared" ref="AA62:AA63" si="22">SUM(B62:Z62)</f>
        <v>1</v>
      </c>
      <c r="AB62" s="31"/>
      <c r="AC62" s="2"/>
    </row>
    <row r="63">
      <c r="A63" s="40" t="s">
        <v>49</v>
      </c>
      <c r="B63" s="63"/>
      <c r="C63" s="64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6"/>
      <c r="W63" s="69">
        <v>10.0</v>
      </c>
      <c r="X63" s="69">
        <v>10.0</v>
      </c>
      <c r="Y63" s="66"/>
      <c r="Z63" s="66"/>
      <c r="AA63" s="44">
        <f t="shared" si="22"/>
        <v>20</v>
      </c>
      <c r="AB63" s="31"/>
      <c r="AC63" s="2"/>
    </row>
    <row r="64">
      <c r="A64" s="40" t="s">
        <v>50</v>
      </c>
      <c r="B64" s="64"/>
      <c r="C64" s="64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6"/>
      <c r="W64" s="69">
        <v>1.0</v>
      </c>
      <c r="X64" s="66"/>
      <c r="Y64" s="66"/>
      <c r="Z64" s="66"/>
      <c r="AA64" s="44">
        <f>AVERAGE(B64:Z64)</f>
        <v>1</v>
      </c>
      <c r="AB64" s="31"/>
      <c r="AC64" s="2"/>
    </row>
    <row r="65">
      <c r="A65" s="45" t="s">
        <v>51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7"/>
      <c r="AA65" s="46"/>
      <c r="AB65" s="39"/>
      <c r="AC65" s="2"/>
    </row>
    <row r="66">
      <c r="A66" s="47" t="s">
        <v>48</v>
      </c>
      <c r="B66" s="48"/>
      <c r="C66" s="49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50"/>
      <c r="W66" s="50"/>
      <c r="X66" s="50"/>
      <c r="Y66" s="50"/>
      <c r="Z66" s="50"/>
      <c r="AA66" s="51">
        <f t="shared" ref="AA66:AA67" si="23">SUM(B66:Z66)</f>
        <v>0</v>
      </c>
      <c r="AB66" s="31"/>
      <c r="AC66" s="2"/>
    </row>
    <row r="67">
      <c r="A67" s="47" t="s">
        <v>49</v>
      </c>
      <c r="B67" s="48"/>
      <c r="C67" s="49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50"/>
      <c r="W67" s="50"/>
      <c r="X67" s="50"/>
      <c r="Y67" s="50"/>
      <c r="Z67" s="50"/>
      <c r="AA67" s="51">
        <f t="shared" si="23"/>
        <v>0</v>
      </c>
      <c r="AB67" s="31"/>
      <c r="AC67" s="2"/>
    </row>
    <row r="68">
      <c r="A68" s="47" t="s">
        <v>50</v>
      </c>
      <c r="B68" s="49"/>
      <c r="C68" s="49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50"/>
      <c r="W68" s="50"/>
      <c r="X68" s="50"/>
      <c r="Y68" s="50"/>
      <c r="Z68" s="50"/>
      <c r="AA68" s="51" t="str">
        <f>AVERAGE(B68:Z68)</f>
        <v>#DIV/0!</v>
      </c>
      <c r="AB68" s="31"/>
      <c r="AC68" s="2"/>
    </row>
    <row r="69">
      <c r="A69" s="52" t="s">
        <v>53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7"/>
      <c r="AA69" s="38"/>
      <c r="AB69" s="39"/>
      <c r="AC69" s="2"/>
    </row>
    <row r="70">
      <c r="A70" s="40" t="s">
        <v>48</v>
      </c>
      <c r="B70" s="41"/>
      <c r="C70" s="42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3"/>
      <c r="W70" s="43"/>
      <c r="X70" s="43"/>
      <c r="Y70" s="43"/>
      <c r="Z70" s="43"/>
      <c r="AA70" s="44">
        <f t="shared" ref="AA70:AA71" si="24">SUM(B70:Z70)</f>
        <v>0</v>
      </c>
      <c r="AB70" s="31"/>
      <c r="AC70" s="2"/>
    </row>
    <row r="71">
      <c r="A71" s="40" t="s">
        <v>49</v>
      </c>
      <c r="B71" s="41"/>
      <c r="C71" s="42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3"/>
      <c r="W71" s="43"/>
      <c r="X71" s="43"/>
      <c r="Y71" s="43"/>
      <c r="Z71" s="43"/>
      <c r="AA71" s="44">
        <f t="shared" si="24"/>
        <v>0</v>
      </c>
      <c r="AB71" s="31"/>
      <c r="AC71" s="2"/>
    </row>
    <row r="72">
      <c r="A72" s="53" t="s">
        <v>50</v>
      </c>
      <c r="B72" s="54"/>
      <c r="C72" s="54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6"/>
      <c r="W72" s="56"/>
      <c r="X72" s="56"/>
      <c r="Y72" s="56"/>
      <c r="Z72" s="56"/>
      <c r="AA72" s="57" t="str">
        <f>AVERAGE(B72:Z72)</f>
        <v>#DIV/0!</v>
      </c>
      <c r="AB72" s="58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59"/>
      <c r="AB73" s="59"/>
      <c r="AC73" s="2"/>
    </row>
    <row r="74">
      <c r="A74" s="13">
        <v>46031.0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70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5" t="s">
        <v>37</v>
      </c>
      <c r="AB74" s="16" t="s">
        <v>38</v>
      </c>
      <c r="AC74" s="2"/>
    </row>
    <row r="75">
      <c r="A75" s="17" t="s">
        <v>39</v>
      </c>
      <c r="B75" s="19">
        <v>1.0</v>
      </c>
      <c r="C75" s="19">
        <v>1.0</v>
      </c>
      <c r="D75" s="19">
        <v>1.0</v>
      </c>
      <c r="E75" s="19">
        <v>0.0</v>
      </c>
      <c r="F75" s="19">
        <v>0.0</v>
      </c>
      <c r="G75" s="19">
        <v>1.0</v>
      </c>
      <c r="H75" s="19">
        <v>1.0</v>
      </c>
      <c r="I75" s="19">
        <v>1.0</v>
      </c>
      <c r="J75" s="19">
        <v>1.0</v>
      </c>
      <c r="K75" s="19">
        <v>1.0</v>
      </c>
      <c r="L75" s="19">
        <v>1.0</v>
      </c>
      <c r="M75" s="19">
        <v>0.0</v>
      </c>
      <c r="N75" s="19">
        <v>0.0</v>
      </c>
      <c r="O75" s="19">
        <v>1.0</v>
      </c>
      <c r="P75" s="19">
        <v>1.0</v>
      </c>
      <c r="Q75" s="19">
        <v>0.0</v>
      </c>
      <c r="R75" s="19">
        <v>1.0</v>
      </c>
      <c r="S75" s="19">
        <v>1.0</v>
      </c>
      <c r="T75" s="19">
        <v>1.0</v>
      </c>
      <c r="U75" s="19">
        <v>1.0</v>
      </c>
      <c r="V75" s="19">
        <v>1.0</v>
      </c>
      <c r="W75" s="19">
        <v>0.0</v>
      </c>
      <c r="X75" s="19">
        <v>0.0</v>
      </c>
      <c r="Y75" s="19"/>
      <c r="Z75" s="19"/>
      <c r="AA75" s="20">
        <f t="shared" ref="AA75:AA79" si="25">SUM(B75:Z75)</f>
        <v>16</v>
      </c>
      <c r="AB75" s="21">
        <f t="shared" ref="AB75:AB78" si="26">AA75/(COUNT(B75:Z75)*1)</f>
        <v>0.6956521739</v>
      </c>
      <c r="AC75" s="2"/>
    </row>
    <row r="76">
      <c r="A76" s="17" t="s">
        <v>40</v>
      </c>
      <c r="B76" s="19">
        <v>1.0</v>
      </c>
      <c r="C76" s="19">
        <v>1.0</v>
      </c>
      <c r="D76" s="19">
        <v>1.0</v>
      </c>
      <c r="E76" s="19">
        <v>1.0</v>
      </c>
      <c r="F76" s="19">
        <v>1.0</v>
      </c>
      <c r="G76" s="19">
        <v>1.0</v>
      </c>
      <c r="H76" s="19">
        <v>1.0</v>
      </c>
      <c r="I76" s="19">
        <v>0.0</v>
      </c>
      <c r="J76" s="19">
        <v>1.0</v>
      </c>
      <c r="K76" s="19">
        <v>1.0</v>
      </c>
      <c r="L76" s="19">
        <v>1.0</v>
      </c>
      <c r="M76" s="19">
        <v>1.0</v>
      </c>
      <c r="N76" s="19">
        <v>1.0</v>
      </c>
      <c r="O76" s="19">
        <v>1.0</v>
      </c>
      <c r="P76" s="19">
        <v>1.0</v>
      </c>
      <c r="Q76" s="19">
        <v>1.0</v>
      </c>
      <c r="R76" s="19">
        <v>1.0</v>
      </c>
      <c r="S76" s="19">
        <v>1.0</v>
      </c>
      <c r="T76" s="19">
        <v>1.0</v>
      </c>
      <c r="U76" s="19">
        <v>1.0</v>
      </c>
      <c r="V76" s="19">
        <v>1.0</v>
      </c>
      <c r="W76" s="19">
        <v>1.0</v>
      </c>
      <c r="X76" s="19">
        <v>1.0</v>
      </c>
      <c r="Y76" s="19"/>
      <c r="Z76" s="19"/>
      <c r="AA76" s="20">
        <f t="shared" si="25"/>
        <v>22</v>
      </c>
      <c r="AB76" s="21">
        <f t="shared" si="26"/>
        <v>0.9565217391</v>
      </c>
      <c r="AC76" s="2"/>
    </row>
    <row r="77">
      <c r="A77" s="17" t="s">
        <v>41</v>
      </c>
      <c r="B77" s="19">
        <v>1.0</v>
      </c>
      <c r="C77" s="19">
        <v>1.0</v>
      </c>
      <c r="D77" s="19">
        <v>1.0</v>
      </c>
      <c r="E77" s="19">
        <v>1.0</v>
      </c>
      <c r="F77" s="19">
        <v>1.0</v>
      </c>
      <c r="G77" s="19">
        <v>1.0</v>
      </c>
      <c r="H77" s="19">
        <v>1.0</v>
      </c>
      <c r="I77" s="19">
        <v>0.0</v>
      </c>
      <c r="J77" s="19">
        <v>1.0</v>
      </c>
      <c r="K77" s="19">
        <v>1.0</v>
      </c>
      <c r="L77" s="19">
        <v>1.0</v>
      </c>
      <c r="M77" s="19">
        <v>0.0</v>
      </c>
      <c r="N77" s="19">
        <v>0.0</v>
      </c>
      <c r="O77" s="19">
        <v>1.0</v>
      </c>
      <c r="P77" s="19">
        <v>0.0</v>
      </c>
      <c r="Q77" s="19">
        <v>1.0</v>
      </c>
      <c r="R77" s="19">
        <v>1.0</v>
      </c>
      <c r="S77" s="19">
        <v>1.0</v>
      </c>
      <c r="T77" s="19">
        <v>1.0</v>
      </c>
      <c r="U77" s="19">
        <v>1.0</v>
      </c>
      <c r="V77" s="19">
        <v>1.0</v>
      </c>
      <c r="W77" s="19">
        <v>0.0</v>
      </c>
      <c r="X77" s="19">
        <v>0.0</v>
      </c>
      <c r="Y77" s="19"/>
      <c r="Z77" s="19"/>
      <c r="AA77" s="20">
        <f t="shared" si="25"/>
        <v>17</v>
      </c>
      <c r="AB77" s="21">
        <f t="shared" si="26"/>
        <v>0.7391304348</v>
      </c>
      <c r="AC77" s="2"/>
    </row>
    <row r="78">
      <c r="A78" s="17" t="s">
        <v>42</v>
      </c>
      <c r="B78" s="19">
        <v>1.0</v>
      </c>
      <c r="C78" s="19">
        <v>1.0</v>
      </c>
      <c r="D78" s="19">
        <v>1.0</v>
      </c>
      <c r="E78" s="19">
        <v>1.0</v>
      </c>
      <c r="F78" s="19">
        <v>1.0</v>
      </c>
      <c r="G78" s="19">
        <v>1.0</v>
      </c>
      <c r="H78" s="19">
        <v>1.0</v>
      </c>
      <c r="I78" s="19">
        <v>1.0</v>
      </c>
      <c r="J78" s="19">
        <v>0.0</v>
      </c>
      <c r="K78" s="19">
        <v>0.0</v>
      </c>
      <c r="L78" s="19">
        <v>0.0</v>
      </c>
      <c r="M78" s="19">
        <v>1.0</v>
      </c>
      <c r="N78" s="19">
        <v>1.0</v>
      </c>
      <c r="O78" s="19">
        <v>1.0</v>
      </c>
      <c r="P78" s="19">
        <v>1.0</v>
      </c>
      <c r="Q78" s="19">
        <v>1.0</v>
      </c>
      <c r="R78" s="19">
        <v>1.0</v>
      </c>
      <c r="S78" s="19">
        <v>1.0</v>
      </c>
      <c r="T78" s="19">
        <v>1.0</v>
      </c>
      <c r="U78" s="19">
        <v>1.0</v>
      </c>
      <c r="V78" s="19">
        <v>1.0</v>
      </c>
      <c r="W78" s="19">
        <v>1.0</v>
      </c>
      <c r="X78" s="19">
        <v>1.0</v>
      </c>
      <c r="Y78" s="19"/>
      <c r="Z78" s="19"/>
      <c r="AA78" s="20">
        <f t="shared" si="25"/>
        <v>20</v>
      </c>
      <c r="AB78" s="21">
        <f t="shared" si="26"/>
        <v>0.8695652174</v>
      </c>
      <c r="AC78" s="2"/>
    </row>
    <row r="79">
      <c r="A79" s="17" t="s">
        <v>43</v>
      </c>
      <c r="B79" s="22">
        <f t="shared" ref="B79:Z79" si="27">SUM(B75:B78)</f>
        <v>4</v>
      </c>
      <c r="C79" s="22">
        <f t="shared" si="27"/>
        <v>4</v>
      </c>
      <c r="D79" s="22">
        <f t="shared" si="27"/>
        <v>4</v>
      </c>
      <c r="E79" s="22">
        <f t="shared" si="27"/>
        <v>3</v>
      </c>
      <c r="F79" s="22">
        <f t="shared" si="27"/>
        <v>3</v>
      </c>
      <c r="G79" s="22">
        <f t="shared" si="27"/>
        <v>4</v>
      </c>
      <c r="H79" s="22">
        <f t="shared" si="27"/>
        <v>4</v>
      </c>
      <c r="I79" s="22">
        <f t="shared" si="27"/>
        <v>2</v>
      </c>
      <c r="J79" s="22">
        <f t="shared" si="27"/>
        <v>3</v>
      </c>
      <c r="K79" s="22">
        <f t="shared" si="27"/>
        <v>3</v>
      </c>
      <c r="L79" s="22">
        <f t="shared" si="27"/>
        <v>3</v>
      </c>
      <c r="M79" s="22">
        <f t="shared" si="27"/>
        <v>2</v>
      </c>
      <c r="N79" s="22">
        <f t="shared" si="27"/>
        <v>2</v>
      </c>
      <c r="O79" s="22">
        <f t="shared" si="27"/>
        <v>4</v>
      </c>
      <c r="P79" s="22">
        <f t="shared" si="27"/>
        <v>3</v>
      </c>
      <c r="Q79" s="22">
        <f t="shared" si="27"/>
        <v>3</v>
      </c>
      <c r="R79" s="22">
        <f t="shared" si="27"/>
        <v>4</v>
      </c>
      <c r="S79" s="22">
        <f t="shared" si="27"/>
        <v>4</v>
      </c>
      <c r="T79" s="22">
        <f t="shared" si="27"/>
        <v>4</v>
      </c>
      <c r="U79" s="22">
        <f t="shared" si="27"/>
        <v>4</v>
      </c>
      <c r="V79" s="22">
        <f t="shared" si="27"/>
        <v>4</v>
      </c>
      <c r="W79" s="22">
        <f t="shared" si="27"/>
        <v>2</v>
      </c>
      <c r="X79" s="22">
        <f t="shared" si="27"/>
        <v>2</v>
      </c>
      <c r="Y79" s="22">
        <f t="shared" si="27"/>
        <v>0</v>
      </c>
      <c r="Z79" s="22">
        <f t="shared" si="27"/>
        <v>0</v>
      </c>
      <c r="AA79" s="20">
        <f t="shared" si="25"/>
        <v>75</v>
      </c>
      <c r="AB79" s="23"/>
      <c r="AC79" s="2"/>
    </row>
    <row r="80">
      <c r="A80" s="17" t="s">
        <v>38</v>
      </c>
      <c r="B80" s="24">
        <f t="shared" ref="B80:Z80" si="28">B79/(COUNT(B75:B78)*1)</f>
        <v>1</v>
      </c>
      <c r="C80" s="24">
        <f t="shared" si="28"/>
        <v>1</v>
      </c>
      <c r="D80" s="24">
        <f t="shared" si="28"/>
        <v>1</v>
      </c>
      <c r="E80" s="24">
        <f t="shared" si="28"/>
        <v>0.75</v>
      </c>
      <c r="F80" s="24">
        <f t="shared" si="28"/>
        <v>0.75</v>
      </c>
      <c r="G80" s="24">
        <f t="shared" si="28"/>
        <v>1</v>
      </c>
      <c r="H80" s="24">
        <f t="shared" si="28"/>
        <v>1</v>
      </c>
      <c r="I80" s="24">
        <f t="shared" si="28"/>
        <v>0.5</v>
      </c>
      <c r="J80" s="24">
        <f t="shared" si="28"/>
        <v>0.75</v>
      </c>
      <c r="K80" s="24">
        <f t="shared" si="28"/>
        <v>0.75</v>
      </c>
      <c r="L80" s="24">
        <f t="shared" si="28"/>
        <v>0.75</v>
      </c>
      <c r="M80" s="24">
        <f t="shared" si="28"/>
        <v>0.5</v>
      </c>
      <c r="N80" s="24">
        <f t="shared" si="28"/>
        <v>0.5</v>
      </c>
      <c r="O80" s="24">
        <f t="shared" si="28"/>
        <v>1</v>
      </c>
      <c r="P80" s="24">
        <f t="shared" si="28"/>
        <v>0.75</v>
      </c>
      <c r="Q80" s="24">
        <f t="shared" si="28"/>
        <v>0.75</v>
      </c>
      <c r="R80" s="24">
        <f t="shared" si="28"/>
        <v>1</v>
      </c>
      <c r="S80" s="24">
        <f t="shared" si="28"/>
        <v>1</v>
      </c>
      <c r="T80" s="24">
        <f t="shared" si="28"/>
        <v>1</v>
      </c>
      <c r="U80" s="24">
        <f t="shared" si="28"/>
        <v>1</v>
      </c>
      <c r="V80" s="24">
        <f t="shared" si="28"/>
        <v>1</v>
      </c>
      <c r="W80" s="24">
        <f t="shared" si="28"/>
        <v>0.5</v>
      </c>
      <c r="X80" s="24">
        <f t="shared" si="28"/>
        <v>0.5</v>
      </c>
      <c r="Y80" s="24" t="str">
        <f t="shared" si="28"/>
        <v>#DIV/0!</v>
      </c>
      <c r="Z80" s="24" t="str">
        <f t="shared" si="28"/>
        <v>#DIV/0!</v>
      </c>
      <c r="AA80" s="25"/>
      <c r="AB80" s="26">
        <f>SUM(AB75:AB78)/4</f>
        <v>0.8152173913</v>
      </c>
      <c r="AC80" s="2"/>
    </row>
    <row r="81">
      <c r="A81" s="27" t="s">
        <v>44</v>
      </c>
      <c r="B81" s="60"/>
      <c r="C81" s="61"/>
      <c r="D81" s="60"/>
      <c r="E81" s="68">
        <v>20.0</v>
      </c>
      <c r="F81" s="68">
        <v>20.0</v>
      </c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30">
        <f t="shared" ref="AA81:AA83" si="29">SUM(B81:Z81)</f>
        <v>40</v>
      </c>
      <c r="AB81" s="31"/>
      <c r="AC81" s="2"/>
    </row>
    <row r="82">
      <c r="A82" s="32" t="s">
        <v>45</v>
      </c>
      <c r="B82" s="62"/>
      <c r="C82" s="62"/>
      <c r="D82" s="62"/>
      <c r="E82" s="128">
        <v>1.0</v>
      </c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128">
        <v>4.0</v>
      </c>
      <c r="R82" s="62"/>
      <c r="S82" s="62"/>
      <c r="T82" s="62"/>
      <c r="U82" s="62"/>
      <c r="V82" s="60"/>
      <c r="W82" s="68">
        <v>2.0</v>
      </c>
      <c r="X82" s="68">
        <v>1.0</v>
      </c>
      <c r="Y82" s="60"/>
      <c r="Z82" s="60"/>
      <c r="AA82" s="30">
        <f t="shared" si="29"/>
        <v>8</v>
      </c>
      <c r="AB82" s="31"/>
      <c r="AC82" s="9"/>
    </row>
    <row r="83">
      <c r="A83" s="34" t="s">
        <v>46</v>
      </c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0"/>
      <c r="W83" s="60"/>
      <c r="X83" s="60"/>
      <c r="Y83" s="60"/>
      <c r="Z83" s="60"/>
      <c r="AA83" s="30">
        <f t="shared" si="29"/>
        <v>0</v>
      </c>
      <c r="AB83" s="31"/>
      <c r="AC83" s="9"/>
    </row>
    <row r="84">
      <c r="A84" s="35" t="s">
        <v>47</v>
      </c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7"/>
      <c r="AA84" s="38"/>
      <c r="AB84" s="39"/>
      <c r="AC84" s="2"/>
    </row>
    <row r="85">
      <c r="A85" s="40" t="s">
        <v>48</v>
      </c>
      <c r="B85" s="63"/>
      <c r="C85" s="64"/>
      <c r="D85" s="63"/>
      <c r="E85" s="65">
        <v>1.0</v>
      </c>
      <c r="F85" s="63"/>
      <c r="G85" s="63"/>
      <c r="H85" s="63"/>
      <c r="I85" s="65">
        <v>1.0</v>
      </c>
      <c r="J85" s="63"/>
      <c r="K85" s="63"/>
      <c r="L85" s="63"/>
      <c r="M85" s="65">
        <v>1.0</v>
      </c>
      <c r="N85" s="63"/>
      <c r="O85" s="63"/>
      <c r="P85" s="63"/>
      <c r="Q85" s="63"/>
      <c r="R85" s="63"/>
      <c r="S85" s="63"/>
      <c r="T85" s="63"/>
      <c r="U85" s="63"/>
      <c r="V85" s="66"/>
      <c r="W85" s="69">
        <v>1.0</v>
      </c>
      <c r="X85" s="66"/>
      <c r="Y85" s="66"/>
      <c r="Z85" s="66"/>
      <c r="AA85" s="44">
        <f t="shared" ref="AA85:AA86" si="30">SUM(B85:Z85)</f>
        <v>4</v>
      </c>
      <c r="AB85" s="31"/>
      <c r="AC85" s="2"/>
    </row>
    <row r="86">
      <c r="A86" s="40" t="s">
        <v>49</v>
      </c>
      <c r="B86" s="63"/>
      <c r="C86" s="64"/>
      <c r="D86" s="63"/>
      <c r="E86" s="65">
        <v>20.0</v>
      </c>
      <c r="F86" s="65">
        <v>20.0</v>
      </c>
      <c r="G86" s="63"/>
      <c r="H86" s="63"/>
      <c r="I86" s="65">
        <v>20.0</v>
      </c>
      <c r="J86" s="63"/>
      <c r="K86" s="63"/>
      <c r="L86" s="63"/>
      <c r="M86" s="65">
        <v>20.0</v>
      </c>
      <c r="N86" s="65">
        <v>20.0</v>
      </c>
      <c r="O86" s="63"/>
      <c r="P86" s="63"/>
      <c r="Q86" s="63"/>
      <c r="R86" s="63"/>
      <c r="S86" s="63"/>
      <c r="T86" s="63"/>
      <c r="U86" s="63"/>
      <c r="V86" s="66"/>
      <c r="W86" s="69">
        <v>10.0</v>
      </c>
      <c r="X86" s="69">
        <v>10.0</v>
      </c>
      <c r="Y86" s="66"/>
      <c r="Z86" s="66"/>
      <c r="AA86" s="44">
        <f t="shared" si="30"/>
        <v>120</v>
      </c>
      <c r="AB86" s="31"/>
      <c r="AC86" s="2"/>
    </row>
    <row r="87">
      <c r="A87" s="40" t="s">
        <v>50</v>
      </c>
      <c r="B87" s="64"/>
      <c r="C87" s="64"/>
      <c r="D87" s="63"/>
      <c r="E87" s="65">
        <v>1.0</v>
      </c>
      <c r="F87" s="63"/>
      <c r="G87" s="63"/>
      <c r="H87" s="63"/>
      <c r="I87" s="65">
        <v>1.0</v>
      </c>
      <c r="J87" s="63"/>
      <c r="K87" s="63"/>
      <c r="L87" s="63"/>
      <c r="M87" s="65">
        <v>1.0</v>
      </c>
      <c r="N87" s="63"/>
      <c r="O87" s="63"/>
      <c r="P87" s="63"/>
      <c r="Q87" s="63"/>
      <c r="R87" s="63"/>
      <c r="S87" s="63"/>
      <c r="T87" s="63"/>
      <c r="U87" s="63"/>
      <c r="V87" s="66"/>
      <c r="W87" s="69">
        <v>1.0</v>
      </c>
      <c r="X87" s="66"/>
      <c r="Y87" s="66"/>
      <c r="Z87" s="66"/>
      <c r="AA87" s="44">
        <f>AVERAGE(B87:Z87)</f>
        <v>1</v>
      </c>
      <c r="AB87" s="31"/>
      <c r="AC87" s="2"/>
    </row>
    <row r="88">
      <c r="A88" s="45" t="s">
        <v>51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7"/>
      <c r="AA88" s="46"/>
      <c r="AB88" s="39"/>
      <c r="AC88" s="2"/>
    </row>
    <row r="89">
      <c r="A89" s="47" t="s">
        <v>48</v>
      </c>
      <c r="B89" s="48"/>
      <c r="C89" s="49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50"/>
      <c r="W89" s="50"/>
      <c r="X89" s="50"/>
      <c r="Y89" s="50"/>
      <c r="Z89" s="50"/>
      <c r="AA89" s="51">
        <f t="shared" ref="AA89:AA90" si="31">SUM(B89:Z89)</f>
        <v>0</v>
      </c>
      <c r="AB89" s="31"/>
      <c r="AC89" s="2"/>
    </row>
    <row r="90">
      <c r="A90" s="47" t="s">
        <v>49</v>
      </c>
      <c r="B90" s="48"/>
      <c r="C90" s="49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50"/>
      <c r="W90" s="50"/>
      <c r="X90" s="50"/>
      <c r="Y90" s="50"/>
      <c r="Z90" s="50"/>
      <c r="AA90" s="51">
        <f t="shared" si="31"/>
        <v>0</v>
      </c>
      <c r="AB90" s="31"/>
      <c r="AC90" s="2"/>
    </row>
    <row r="91">
      <c r="A91" s="47" t="s">
        <v>50</v>
      </c>
      <c r="B91" s="49"/>
      <c r="C91" s="49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50"/>
      <c r="W91" s="50"/>
      <c r="X91" s="50"/>
      <c r="Y91" s="50"/>
      <c r="Z91" s="50"/>
      <c r="AA91" s="51" t="str">
        <f>AVERAGE(B91:Z91)</f>
        <v>#DIV/0!</v>
      </c>
      <c r="AB91" s="31"/>
      <c r="AC91" s="2"/>
    </row>
    <row r="92">
      <c r="A92" s="52" t="s">
        <v>53</v>
      </c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7"/>
      <c r="AA92" s="38"/>
      <c r="AB92" s="39"/>
      <c r="AC92" s="2"/>
    </row>
    <row r="93">
      <c r="A93" s="40" t="s">
        <v>48</v>
      </c>
      <c r="B93" s="41"/>
      <c r="C93" s="42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3"/>
      <c r="W93" s="43"/>
      <c r="X93" s="43"/>
      <c r="Y93" s="43"/>
      <c r="Z93" s="43"/>
      <c r="AA93" s="44">
        <f t="shared" ref="AA93:AA94" si="32">SUM(B93:Z93)</f>
        <v>0</v>
      </c>
      <c r="AB93" s="31"/>
      <c r="AC93" s="2"/>
    </row>
    <row r="94">
      <c r="A94" s="40" t="s">
        <v>49</v>
      </c>
      <c r="B94" s="41"/>
      <c r="C94" s="42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3"/>
      <c r="W94" s="43"/>
      <c r="X94" s="43"/>
      <c r="Y94" s="43"/>
      <c r="Z94" s="43"/>
      <c r="AA94" s="44">
        <f t="shared" si="32"/>
        <v>0</v>
      </c>
      <c r="AB94" s="31"/>
      <c r="AC94" s="2"/>
    </row>
    <row r="95">
      <c r="A95" s="53" t="s">
        <v>50</v>
      </c>
      <c r="B95" s="54"/>
      <c r="C95" s="54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6"/>
      <c r="W95" s="56"/>
      <c r="X95" s="56"/>
      <c r="Y95" s="56"/>
      <c r="Z95" s="56"/>
      <c r="AA95" s="57" t="str">
        <f>AVERAGE(B95:Z95)</f>
        <v>#DIV/0!</v>
      </c>
      <c r="AB95" s="58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59"/>
      <c r="AB96" s="59"/>
      <c r="AC96" s="2"/>
    </row>
    <row r="97">
      <c r="A97" s="13">
        <v>46034.0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5" t="s">
        <v>37</v>
      </c>
      <c r="AB97" s="16" t="s">
        <v>38</v>
      </c>
      <c r="AC97" s="2"/>
    </row>
    <row r="98">
      <c r="A98" s="17" t="s">
        <v>39</v>
      </c>
      <c r="B98" s="19">
        <v>1.0</v>
      </c>
      <c r="C98" s="19">
        <v>1.0</v>
      </c>
      <c r="D98" s="19">
        <v>1.0</v>
      </c>
      <c r="E98" s="19">
        <v>1.0</v>
      </c>
      <c r="F98" s="19">
        <v>1.0</v>
      </c>
      <c r="G98" s="19">
        <v>1.0</v>
      </c>
      <c r="H98" s="19">
        <v>1.0</v>
      </c>
      <c r="I98" s="19">
        <v>1.0</v>
      </c>
      <c r="J98" s="19">
        <v>1.0</v>
      </c>
      <c r="K98" s="19">
        <v>1.0</v>
      </c>
      <c r="L98" s="19">
        <v>1.0</v>
      </c>
      <c r="M98" s="19">
        <v>1.0</v>
      </c>
      <c r="N98" s="19">
        <v>1.0</v>
      </c>
      <c r="O98" s="19">
        <v>1.0</v>
      </c>
      <c r="P98" s="19">
        <v>1.0</v>
      </c>
      <c r="Q98" s="19">
        <v>1.0</v>
      </c>
      <c r="R98" s="19">
        <v>1.0</v>
      </c>
      <c r="S98" s="19">
        <v>1.0</v>
      </c>
      <c r="T98" s="19">
        <v>1.0</v>
      </c>
      <c r="U98" s="19">
        <v>1.0</v>
      </c>
      <c r="V98" s="19">
        <v>1.0</v>
      </c>
      <c r="W98" s="19">
        <v>1.0</v>
      </c>
      <c r="X98" s="19">
        <v>1.0</v>
      </c>
      <c r="Y98" s="18"/>
      <c r="Z98" s="18"/>
      <c r="AA98" s="20">
        <f t="shared" ref="AA98:AA102" si="33">SUM(B98:Z98)</f>
        <v>23</v>
      </c>
      <c r="AB98" s="21">
        <f t="shared" ref="AB98:AB101" si="34">AA98/(COUNT(B98:Z98)*1)</f>
        <v>1</v>
      </c>
      <c r="AC98" s="2"/>
    </row>
    <row r="99">
      <c r="A99" s="17" t="s">
        <v>40</v>
      </c>
      <c r="B99" s="19">
        <v>1.0</v>
      </c>
      <c r="C99" s="19">
        <v>1.0</v>
      </c>
      <c r="D99" s="19">
        <v>1.0</v>
      </c>
      <c r="E99" s="19">
        <v>1.0</v>
      </c>
      <c r="F99" s="19">
        <v>1.0</v>
      </c>
      <c r="G99" s="19">
        <v>1.0</v>
      </c>
      <c r="H99" s="19">
        <v>1.0</v>
      </c>
      <c r="I99" s="19">
        <v>1.0</v>
      </c>
      <c r="J99" s="19">
        <v>1.0</v>
      </c>
      <c r="K99" s="19">
        <v>1.0</v>
      </c>
      <c r="L99" s="19">
        <v>1.0</v>
      </c>
      <c r="M99" s="19">
        <v>1.0</v>
      </c>
      <c r="N99" s="19">
        <v>1.0</v>
      </c>
      <c r="O99" s="19">
        <v>1.0</v>
      </c>
      <c r="P99" s="19">
        <v>1.0</v>
      </c>
      <c r="Q99" s="19">
        <v>1.0</v>
      </c>
      <c r="R99" s="19">
        <v>0.0</v>
      </c>
      <c r="S99" s="19">
        <v>1.0</v>
      </c>
      <c r="T99" s="19">
        <v>1.0</v>
      </c>
      <c r="U99" s="19">
        <v>1.0</v>
      </c>
      <c r="V99" s="19">
        <v>1.0</v>
      </c>
      <c r="W99" s="19">
        <v>1.0</v>
      </c>
      <c r="X99" s="19">
        <v>1.0</v>
      </c>
      <c r="Y99" s="18"/>
      <c r="Z99" s="18"/>
      <c r="AA99" s="20">
        <f t="shared" si="33"/>
        <v>22</v>
      </c>
      <c r="AB99" s="21">
        <f t="shared" si="34"/>
        <v>0.9565217391</v>
      </c>
      <c r="AC99" s="2"/>
    </row>
    <row r="100">
      <c r="A100" s="17" t="s">
        <v>41</v>
      </c>
      <c r="B100" s="19">
        <v>1.0</v>
      </c>
      <c r="C100" s="19">
        <v>1.0</v>
      </c>
      <c r="D100" s="19">
        <v>1.0</v>
      </c>
      <c r="E100" s="19">
        <v>1.0</v>
      </c>
      <c r="F100" s="19">
        <v>1.0</v>
      </c>
      <c r="G100" s="19">
        <v>1.0</v>
      </c>
      <c r="H100" s="19">
        <v>0.0</v>
      </c>
      <c r="I100" s="19">
        <v>1.0</v>
      </c>
      <c r="J100" s="19">
        <v>1.0</v>
      </c>
      <c r="K100" s="19">
        <v>1.0</v>
      </c>
      <c r="L100" s="19">
        <v>1.0</v>
      </c>
      <c r="M100" s="19">
        <v>1.0</v>
      </c>
      <c r="N100" s="19">
        <v>1.0</v>
      </c>
      <c r="O100" s="19">
        <v>1.0</v>
      </c>
      <c r="P100" s="19">
        <v>1.0</v>
      </c>
      <c r="Q100" s="19">
        <v>1.0</v>
      </c>
      <c r="R100" s="19">
        <v>0.0</v>
      </c>
      <c r="S100" s="19">
        <v>0.0</v>
      </c>
      <c r="T100" s="19">
        <v>1.0</v>
      </c>
      <c r="U100" s="19">
        <v>0.0</v>
      </c>
      <c r="V100" s="19">
        <v>1.0</v>
      </c>
      <c r="W100" s="19">
        <v>1.0</v>
      </c>
      <c r="X100" s="19">
        <v>1.0</v>
      </c>
      <c r="Y100" s="18"/>
      <c r="Z100" s="18"/>
      <c r="AA100" s="20">
        <f t="shared" si="33"/>
        <v>19</v>
      </c>
      <c r="AB100" s="21">
        <f t="shared" si="34"/>
        <v>0.8260869565</v>
      </c>
      <c r="AC100" s="2"/>
    </row>
    <row r="101">
      <c r="A101" s="17" t="s">
        <v>42</v>
      </c>
      <c r="B101" s="19">
        <v>1.0</v>
      </c>
      <c r="C101" s="19">
        <v>1.0</v>
      </c>
      <c r="D101" s="19">
        <v>1.0</v>
      </c>
      <c r="E101" s="19">
        <v>1.0</v>
      </c>
      <c r="F101" s="19">
        <v>1.0</v>
      </c>
      <c r="G101" s="19">
        <v>1.0</v>
      </c>
      <c r="H101" s="19">
        <v>1.0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1.0</v>
      </c>
      <c r="P101" s="19">
        <v>1.0</v>
      </c>
      <c r="Q101" s="19">
        <v>0.0</v>
      </c>
      <c r="R101" s="19">
        <v>0.0</v>
      </c>
      <c r="S101" s="19">
        <v>0.0</v>
      </c>
      <c r="T101" s="19">
        <v>1.0</v>
      </c>
      <c r="U101" s="19">
        <v>0.0</v>
      </c>
      <c r="V101" s="19">
        <v>0.0</v>
      </c>
      <c r="W101" s="19">
        <v>1.0</v>
      </c>
      <c r="X101" s="19">
        <v>1.0</v>
      </c>
      <c r="Y101" s="18"/>
      <c r="Z101" s="18"/>
      <c r="AA101" s="20">
        <f t="shared" si="33"/>
        <v>12</v>
      </c>
      <c r="AB101" s="21">
        <f t="shared" si="34"/>
        <v>0.5217391304</v>
      </c>
      <c r="AC101" s="2"/>
    </row>
    <row r="102">
      <c r="A102" s="17" t="s">
        <v>43</v>
      </c>
      <c r="B102" s="22">
        <f t="shared" ref="B102:Z102" si="35">SUM(B98:B101)</f>
        <v>4</v>
      </c>
      <c r="C102" s="22">
        <f t="shared" si="35"/>
        <v>4</v>
      </c>
      <c r="D102" s="22">
        <f t="shared" si="35"/>
        <v>4</v>
      </c>
      <c r="E102" s="22">
        <f t="shared" si="35"/>
        <v>4</v>
      </c>
      <c r="F102" s="22">
        <f t="shared" si="35"/>
        <v>4</v>
      </c>
      <c r="G102" s="22">
        <f t="shared" si="35"/>
        <v>4</v>
      </c>
      <c r="H102" s="22">
        <f t="shared" si="35"/>
        <v>3</v>
      </c>
      <c r="I102" s="22">
        <f t="shared" si="35"/>
        <v>3</v>
      </c>
      <c r="J102" s="22">
        <f t="shared" si="35"/>
        <v>3</v>
      </c>
      <c r="K102" s="22">
        <f t="shared" si="35"/>
        <v>3</v>
      </c>
      <c r="L102" s="22">
        <f t="shared" si="35"/>
        <v>3</v>
      </c>
      <c r="M102" s="22">
        <f t="shared" si="35"/>
        <v>3</v>
      </c>
      <c r="N102" s="22">
        <f t="shared" si="35"/>
        <v>3</v>
      </c>
      <c r="O102" s="22">
        <f t="shared" si="35"/>
        <v>4</v>
      </c>
      <c r="P102" s="22">
        <f t="shared" si="35"/>
        <v>4</v>
      </c>
      <c r="Q102" s="22">
        <f t="shared" si="35"/>
        <v>3</v>
      </c>
      <c r="R102" s="22">
        <f t="shared" si="35"/>
        <v>1</v>
      </c>
      <c r="S102" s="22">
        <f t="shared" si="35"/>
        <v>2</v>
      </c>
      <c r="T102" s="22">
        <f t="shared" si="35"/>
        <v>4</v>
      </c>
      <c r="U102" s="22">
        <f t="shared" si="35"/>
        <v>2</v>
      </c>
      <c r="V102" s="22">
        <f t="shared" si="35"/>
        <v>3</v>
      </c>
      <c r="W102" s="22">
        <f t="shared" si="35"/>
        <v>4</v>
      </c>
      <c r="X102" s="22">
        <f t="shared" si="35"/>
        <v>4</v>
      </c>
      <c r="Y102" s="22">
        <f t="shared" si="35"/>
        <v>0</v>
      </c>
      <c r="Z102" s="22">
        <f t="shared" si="35"/>
        <v>0</v>
      </c>
      <c r="AA102" s="20">
        <f t="shared" si="33"/>
        <v>76</v>
      </c>
      <c r="AB102" s="23"/>
      <c r="AC102" s="2"/>
    </row>
    <row r="103">
      <c r="A103" s="17" t="s">
        <v>38</v>
      </c>
      <c r="B103" s="24">
        <f t="shared" ref="B103:Z103" si="36">B102/(COUNT(B98:B101)*1)</f>
        <v>1</v>
      </c>
      <c r="C103" s="24">
        <f t="shared" si="36"/>
        <v>1</v>
      </c>
      <c r="D103" s="24">
        <f t="shared" si="36"/>
        <v>1</v>
      </c>
      <c r="E103" s="24">
        <f t="shared" si="36"/>
        <v>1</v>
      </c>
      <c r="F103" s="24">
        <f t="shared" si="36"/>
        <v>1</v>
      </c>
      <c r="G103" s="24">
        <f t="shared" si="36"/>
        <v>1</v>
      </c>
      <c r="H103" s="24">
        <f t="shared" si="36"/>
        <v>0.75</v>
      </c>
      <c r="I103" s="24">
        <f t="shared" si="36"/>
        <v>0.75</v>
      </c>
      <c r="J103" s="24">
        <f t="shared" si="36"/>
        <v>0.75</v>
      </c>
      <c r="K103" s="24">
        <f t="shared" si="36"/>
        <v>0.75</v>
      </c>
      <c r="L103" s="24">
        <f t="shared" si="36"/>
        <v>0.75</v>
      </c>
      <c r="M103" s="24">
        <f t="shared" si="36"/>
        <v>0.75</v>
      </c>
      <c r="N103" s="24">
        <f t="shared" si="36"/>
        <v>0.75</v>
      </c>
      <c r="O103" s="24">
        <f t="shared" si="36"/>
        <v>1</v>
      </c>
      <c r="P103" s="24">
        <f t="shared" si="36"/>
        <v>1</v>
      </c>
      <c r="Q103" s="24">
        <f t="shared" si="36"/>
        <v>0.75</v>
      </c>
      <c r="R103" s="24">
        <f t="shared" si="36"/>
        <v>0.25</v>
      </c>
      <c r="S103" s="24">
        <f t="shared" si="36"/>
        <v>0.5</v>
      </c>
      <c r="T103" s="24">
        <f t="shared" si="36"/>
        <v>1</v>
      </c>
      <c r="U103" s="24">
        <f t="shared" si="36"/>
        <v>0.5</v>
      </c>
      <c r="V103" s="24">
        <f t="shared" si="36"/>
        <v>0.75</v>
      </c>
      <c r="W103" s="24">
        <f t="shared" si="36"/>
        <v>1</v>
      </c>
      <c r="X103" s="24">
        <f t="shared" si="36"/>
        <v>1</v>
      </c>
      <c r="Y103" s="24" t="str">
        <f t="shared" si="36"/>
        <v>#DIV/0!</v>
      </c>
      <c r="Z103" s="24" t="str">
        <f t="shared" si="36"/>
        <v>#DIV/0!</v>
      </c>
      <c r="AA103" s="25"/>
      <c r="AB103" s="26">
        <f>SUM(AB98:AB101)/4</f>
        <v>0.8260869565</v>
      </c>
      <c r="AC103" s="2"/>
    </row>
    <row r="104">
      <c r="A104" s="27" t="s">
        <v>44</v>
      </c>
      <c r="B104" s="28"/>
      <c r="C104" s="2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30">
        <f t="shared" ref="AA104:AA106" si="37">SUM(B104:Z104)</f>
        <v>0</v>
      </c>
      <c r="AB104" s="31"/>
      <c r="AC104" s="2"/>
    </row>
    <row r="105">
      <c r="A105" s="32" t="s">
        <v>45</v>
      </c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129">
        <v>5.0</v>
      </c>
      <c r="S105" s="33"/>
      <c r="T105" s="33"/>
      <c r="U105" s="33"/>
      <c r="V105" s="28"/>
      <c r="W105" s="28"/>
      <c r="X105" s="28"/>
      <c r="Y105" s="28"/>
      <c r="Z105" s="28"/>
      <c r="AA105" s="30">
        <f t="shared" si="37"/>
        <v>5</v>
      </c>
      <c r="AB105" s="31"/>
      <c r="AC105" s="9"/>
    </row>
    <row r="106">
      <c r="A106" s="34" t="s">
        <v>46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28"/>
      <c r="W106" s="28"/>
      <c r="X106" s="28"/>
      <c r="Y106" s="28"/>
      <c r="Z106" s="28"/>
      <c r="AA106" s="30">
        <f t="shared" si="37"/>
        <v>0</v>
      </c>
      <c r="AB106" s="31"/>
      <c r="AC106" s="9"/>
    </row>
    <row r="107">
      <c r="A107" s="35" t="s">
        <v>47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7"/>
      <c r="AA107" s="38"/>
      <c r="AB107" s="39"/>
      <c r="AC107" s="2"/>
    </row>
    <row r="108">
      <c r="A108" s="40" t="s">
        <v>48</v>
      </c>
      <c r="B108" s="41"/>
      <c r="C108" s="42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3"/>
      <c r="W108" s="43"/>
      <c r="X108" s="43"/>
      <c r="Y108" s="43"/>
      <c r="Z108" s="43"/>
      <c r="AA108" s="44">
        <f t="shared" ref="AA108:AA109" si="38">SUM(B108:Z108)</f>
        <v>0</v>
      </c>
      <c r="AB108" s="31"/>
      <c r="AC108" s="2"/>
    </row>
    <row r="109">
      <c r="A109" s="40" t="s">
        <v>49</v>
      </c>
      <c r="B109" s="41"/>
      <c r="C109" s="42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3"/>
      <c r="W109" s="43"/>
      <c r="X109" s="43"/>
      <c r="Y109" s="43"/>
      <c r="Z109" s="43"/>
      <c r="AA109" s="44">
        <f t="shared" si="38"/>
        <v>0</v>
      </c>
      <c r="AB109" s="31"/>
      <c r="AC109" s="2"/>
    </row>
    <row r="110">
      <c r="A110" s="40" t="s">
        <v>50</v>
      </c>
      <c r="B110" s="42"/>
      <c r="C110" s="42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3"/>
      <c r="W110" s="43"/>
      <c r="X110" s="43"/>
      <c r="Y110" s="43"/>
      <c r="Z110" s="43"/>
      <c r="AA110" s="44" t="str">
        <f>AVERAGE(B110:Z110)</f>
        <v>#DIV/0!</v>
      </c>
      <c r="AB110" s="31"/>
      <c r="AC110" s="2"/>
    </row>
    <row r="111">
      <c r="A111" s="45" t="s">
        <v>51</v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7"/>
      <c r="AA111" s="46"/>
      <c r="AB111" s="39"/>
      <c r="AC111" s="2"/>
    </row>
    <row r="112">
      <c r="A112" s="47" t="s">
        <v>48</v>
      </c>
      <c r="B112" s="48"/>
      <c r="C112" s="49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50"/>
      <c r="W112" s="50"/>
      <c r="X112" s="50"/>
      <c r="Y112" s="50"/>
      <c r="Z112" s="50"/>
      <c r="AA112" s="51">
        <f t="shared" ref="AA112:AA113" si="39">SUM(B112:Z112)</f>
        <v>0</v>
      </c>
      <c r="AB112" s="31"/>
      <c r="AC112" s="2"/>
    </row>
    <row r="113">
      <c r="A113" s="47" t="s">
        <v>49</v>
      </c>
      <c r="B113" s="48"/>
      <c r="C113" s="49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50"/>
      <c r="W113" s="50"/>
      <c r="X113" s="50"/>
      <c r="Y113" s="50"/>
      <c r="Z113" s="50"/>
      <c r="AA113" s="51">
        <f t="shared" si="39"/>
        <v>0</v>
      </c>
      <c r="AB113" s="31"/>
      <c r="AC113" s="2"/>
    </row>
    <row r="114">
      <c r="A114" s="47" t="s">
        <v>50</v>
      </c>
      <c r="B114" s="49"/>
      <c r="C114" s="49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50"/>
      <c r="W114" s="50"/>
      <c r="X114" s="50"/>
      <c r="Y114" s="50"/>
      <c r="Z114" s="50"/>
      <c r="AA114" s="51" t="str">
        <f>AVERAGE(B114:Z114)</f>
        <v>#DIV/0!</v>
      </c>
      <c r="AB114" s="31"/>
      <c r="AC114" s="2"/>
    </row>
    <row r="115">
      <c r="A115" s="52" t="s">
        <v>53</v>
      </c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7"/>
      <c r="AA115" s="38"/>
      <c r="AB115" s="39"/>
      <c r="AC115" s="2"/>
    </row>
    <row r="116">
      <c r="A116" s="40" t="s">
        <v>48</v>
      </c>
      <c r="B116" s="41"/>
      <c r="C116" s="42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3"/>
      <c r="W116" s="43"/>
      <c r="X116" s="43"/>
      <c r="Y116" s="43"/>
      <c r="Z116" s="43"/>
      <c r="AA116" s="44">
        <f t="shared" ref="AA116:AA117" si="40">SUM(B116:Z116)</f>
        <v>0</v>
      </c>
      <c r="AB116" s="31"/>
      <c r="AC116" s="2"/>
    </row>
    <row r="117">
      <c r="A117" s="40" t="s">
        <v>49</v>
      </c>
      <c r="B117" s="41"/>
      <c r="C117" s="42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3"/>
      <c r="W117" s="43"/>
      <c r="X117" s="43"/>
      <c r="Y117" s="43"/>
      <c r="Z117" s="43"/>
      <c r="AA117" s="44">
        <f t="shared" si="40"/>
        <v>0</v>
      </c>
      <c r="AB117" s="31"/>
      <c r="AC117" s="2"/>
    </row>
    <row r="118">
      <c r="A118" s="53" t="s">
        <v>50</v>
      </c>
      <c r="B118" s="54"/>
      <c r="C118" s="54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6"/>
      <c r="W118" s="56"/>
      <c r="X118" s="56"/>
      <c r="Y118" s="56"/>
      <c r="Z118" s="56"/>
      <c r="AA118" s="57" t="str">
        <f>AVERAGE(B118:Z118)</f>
        <v>#DIV/0!</v>
      </c>
      <c r="AB118" s="58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59"/>
      <c r="AB119" s="59"/>
      <c r="AC119" s="2"/>
    </row>
    <row r="120">
      <c r="A120" s="13">
        <v>45670.0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70">
        <v>1.0</v>
      </c>
      <c r="S120" s="14"/>
      <c r="T120" s="14"/>
      <c r="U120" s="14"/>
      <c r="V120" s="14"/>
      <c r="W120" s="14"/>
      <c r="X120" s="14"/>
      <c r="Y120" s="14"/>
      <c r="Z120" s="14"/>
      <c r="AA120" s="15" t="s">
        <v>37</v>
      </c>
      <c r="AB120" s="16" t="s">
        <v>38</v>
      </c>
      <c r="AC120" s="2"/>
    </row>
    <row r="121">
      <c r="A121" s="17" t="s">
        <v>39</v>
      </c>
      <c r="B121" s="19">
        <v>1.0</v>
      </c>
      <c r="C121" s="19">
        <v>1.0</v>
      </c>
      <c r="D121" s="19">
        <v>1.0</v>
      </c>
      <c r="E121" s="19">
        <v>1.0</v>
      </c>
      <c r="F121" s="19">
        <v>1.0</v>
      </c>
      <c r="G121" s="19">
        <v>1.0</v>
      </c>
      <c r="H121" s="19">
        <v>1.0</v>
      </c>
      <c r="I121" s="19">
        <v>1.0</v>
      </c>
      <c r="J121" s="19">
        <v>0.0</v>
      </c>
      <c r="K121" s="19">
        <v>1.0</v>
      </c>
      <c r="L121" s="19">
        <v>1.0</v>
      </c>
      <c r="M121" s="19">
        <v>1.0</v>
      </c>
      <c r="N121" s="19">
        <v>1.0</v>
      </c>
      <c r="O121" s="19">
        <v>1.0</v>
      </c>
      <c r="P121" s="19">
        <v>1.0</v>
      </c>
      <c r="Q121" s="19">
        <v>1.0</v>
      </c>
      <c r="R121" s="19">
        <v>1.0</v>
      </c>
      <c r="S121" s="19">
        <v>1.0</v>
      </c>
      <c r="T121" s="19">
        <v>1.0</v>
      </c>
      <c r="U121" s="19">
        <v>1.0</v>
      </c>
      <c r="V121" s="19">
        <v>1.0</v>
      </c>
      <c r="W121" s="19">
        <v>1.0</v>
      </c>
      <c r="X121" s="19">
        <v>1.0</v>
      </c>
      <c r="Y121" s="19">
        <v>1.0</v>
      </c>
      <c r="Z121" s="18"/>
      <c r="AA121" s="20">
        <f t="shared" ref="AA121:AA125" si="41">SUM(B121:Z121)</f>
        <v>23</v>
      </c>
      <c r="AB121" s="21">
        <f t="shared" ref="AB121:AB124" si="42">AA121/(COUNT(B121:Z121)*1)</f>
        <v>0.9583333333</v>
      </c>
      <c r="AC121" s="2"/>
    </row>
    <row r="122">
      <c r="A122" s="17" t="s">
        <v>40</v>
      </c>
      <c r="B122" s="19">
        <v>1.0</v>
      </c>
      <c r="C122" s="19">
        <v>1.0</v>
      </c>
      <c r="D122" s="19">
        <v>1.0</v>
      </c>
      <c r="E122" s="19">
        <v>1.0</v>
      </c>
      <c r="F122" s="19">
        <v>1.0</v>
      </c>
      <c r="G122" s="19">
        <v>1.0</v>
      </c>
      <c r="H122" s="19">
        <v>1.0</v>
      </c>
      <c r="I122" s="19">
        <v>1.0</v>
      </c>
      <c r="J122" s="19">
        <v>1.0</v>
      </c>
      <c r="K122" s="19">
        <v>1.0</v>
      </c>
      <c r="L122" s="19">
        <v>1.0</v>
      </c>
      <c r="M122" s="19">
        <v>1.0</v>
      </c>
      <c r="N122" s="19">
        <v>1.0</v>
      </c>
      <c r="O122" s="19">
        <v>1.0</v>
      </c>
      <c r="P122" s="19">
        <v>1.0</v>
      </c>
      <c r="Q122" s="19">
        <v>1.0</v>
      </c>
      <c r="R122" s="19">
        <v>1.0</v>
      </c>
      <c r="S122" s="19">
        <v>1.0</v>
      </c>
      <c r="T122" s="19">
        <v>1.0</v>
      </c>
      <c r="U122" s="19">
        <v>1.0</v>
      </c>
      <c r="V122" s="19">
        <v>1.0</v>
      </c>
      <c r="W122" s="19">
        <v>1.0</v>
      </c>
      <c r="X122" s="19">
        <v>1.0</v>
      </c>
      <c r="Y122" s="19">
        <v>1.0</v>
      </c>
      <c r="Z122" s="18"/>
      <c r="AA122" s="20">
        <f t="shared" si="41"/>
        <v>24</v>
      </c>
      <c r="AB122" s="21">
        <f t="shared" si="42"/>
        <v>1</v>
      </c>
      <c r="AC122" s="2"/>
    </row>
    <row r="123">
      <c r="A123" s="17" t="s">
        <v>41</v>
      </c>
      <c r="B123" s="19">
        <v>1.0</v>
      </c>
      <c r="C123" s="19">
        <v>1.0</v>
      </c>
      <c r="D123" s="19">
        <v>1.0</v>
      </c>
      <c r="E123" s="19">
        <v>1.0</v>
      </c>
      <c r="F123" s="19">
        <v>1.0</v>
      </c>
      <c r="G123" s="18"/>
      <c r="H123" s="19">
        <v>1.0</v>
      </c>
      <c r="I123" s="19">
        <v>1.0</v>
      </c>
      <c r="J123" s="19">
        <v>1.0</v>
      </c>
      <c r="K123" s="19">
        <v>1.0</v>
      </c>
      <c r="L123" s="19">
        <v>1.0</v>
      </c>
      <c r="M123" s="19">
        <v>1.0</v>
      </c>
      <c r="N123" s="19">
        <v>1.0</v>
      </c>
      <c r="O123" s="19">
        <v>1.0</v>
      </c>
      <c r="P123" s="19">
        <v>0.0</v>
      </c>
      <c r="Q123" s="19">
        <v>1.0</v>
      </c>
      <c r="R123" s="19">
        <v>1.0</v>
      </c>
      <c r="S123" s="19">
        <v>0.0</v>
      </c>
      <c r="T123" s="19">
        <v>1.0</v>
      </c>
      <c r="U123" s="19">
        <v>1.0</v>
      </c>
      <c r="V123" s="19">
        <v>1.0</v>
      </c>
      <c r="W123" s="19">
        <v>1.0</v>
      </c>
      <c r="X123" s="19">
        <v>1.0</v>
      </c>
      <c r="Y123" s="19">
        <v>1.0</v>
      </c>
      <c r="Z123" s="18"/>
      <c r="AA123" s="20">
        <f t="shared" si="41"/>
        <v>21</v>
      </c>
      <c r="AB123" s="21">
        <f t="shared" si="42"/>
        <v>0.9130434783</v>
      </c>
      <c r="AC123" s="2"/>
    </row>
    <row r="124">
      <c r="A124" s="17" t="s">
        <v>42</v>
      </c>
      <c r="B124" s="19">
        <v>1.0</v>
      </c>
      <c r="C124" s="19">
        <v>0.0</v>
      </c>
      <c r="D124" s="19">
        <v>0.0</v>
      </c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1.0</v>
      </c>
      <c r="N124" s="19">
        <v>1.0</v>
      </c>
      <c r="O124" s="19">
        <v>1.0</v>
      </c>
      <c r="P124" s="19">
        <v>1.0</v>
      </c>
      <c r="Q124" s="19">
        <v>1.0</v>
      </c>
      <c r="R124" s="19">
        <v>0.0</v>
      </c>
      <c r="S124" s="19">
        <v>0.0</v>
      </c>
      <c r="T124" s="19">
        <v>1.0</v>
      </c>
      <c r="U124" s="19">
        <v>1.0</v>
      </c>
      <c r="V124" s="19">
        <v>1.0</v>
      </c>
      <c r="W124" s="19">
        <v>1.0</v>
      </c>
      <c r="X124" s="19">
        <v>1.0</v>
      </c>
      <c r="Y124" s="19">
        <v>1.0</v>
      </c>
      <c r="Z124" s="18"/>
      <c r="AA124" s="20">
        <f t="shared" si="41"/>
        <v>12</v>
      </c>
      <c r="AB124" s="21">
        <f t="shared" si="42"/>
        <v>0.5</v>
      </c>
      <c r="AC124" s="2"/>
    </row>
    <row r="125">
      <c r="A125" s="17" t="s">
        <v>43</v>
      </c>
      <c r="B125" s="22">
        <f t="shared" ref="B125:Z125" si="43">SUM(B121:B124)</f>
        <v>4</v>
      </c>
      <c r="C125" s="22">
        <f t="shared" si="43"/>
        <v>3</v>
      </c>
      <c r="D125" s="22">
        <f t="shared" si="43"/>
        <v>3</v>
      </c>
      <c r="E125" s="22">
        <f t="shared" si="43"/>
        <v>3</v>
      </c>
      <c r="F125" s="22">
        <f t="shared" si="43"/>
        <v>3</v>
      </c>
      <c r="G125" s="22">
        <f t="shared" si="43"/>
        <v>2</v>
      </c>
      <c r="H125" s="22">
        <f t="shared" si="43"/>
        <v>3</v>
      </c>
      <c r="I125" s="22">
        <f t="shared" si="43"/>
        <v>3</v>
      </c>
      <c r="J125" s="22">
        <f t="shared" si="43"/>
        <v>2</v>
      </c>
      <c r="K125" s="22">
        <f t="shared" si="43"/>
        <v>3</v>
      </c>
      <c r="L125" s="22">
        <f t="shared" si="43"/>
        <v>3</v>
      </c>
      <c r="M125" s="22">
        <f t="shared" si="43"/>
        <v>4</v>
      </c>
      <c r="N125" s="22">
        <f t="shared" si="43"/>
        <v>4</v>
      </c>
      <c r="O125" s="22">
        <f t="shared" si="43"/>
        <v>4</v>
      </c>
      <c r="P125" s="22">
        <f t="shared" si="43"/>
        <v>3</v>
      </c>
      <c r="Q125" s="22">
        <f t="shared" si="43"/>
        <v>4</v>
      </c>
      <c r="R125" s="22">
        <f t="shared" si="43"/>
        <v>3</v>
      </c>
      <c r="S125" s="22">
        <f t="shared" si="43"/>
        <v>2</v>
      </c>
      <c r="T125" s="22">
        <f t="shared" si="43"/>
        <v>4</v>
      </c>
      <c r="U125" s="22">
        <f t="shared" si="43"/>
        <v>4</v>
      </c>
      <c r="V125" s="22">
        <f t="shared" si="43"/>
        <v>4</v>
      </c>
      <c r="W125" s="22">
        <f t="shared" si="43"/>
        <v>4</v>
      </c>
      <c r="X125" s="22">
        <f t="shared" si="43"/>
        <v>4</v>
      </c>
      <c r="Y125" s="22">
        <f t="shared" si="43"/>
        <v>4</v>
      </c>
      <c r="Z125" s="22">
        <f t="shared" si="43"/>
        <v>0</v>
      </c>
      <c r="AA125" s="20">
        <f t="shared" si="41"/>
        <v>80</v>
      </c>
      <c r="AB125" s="23"/>
      <c r="AC125" s="2"/>
    </row>
    <row r="126">
      <c r="A126" s="17" t="s">
        <v>38</v>
      </c>
      <c r="B126" s="24">
        <f t="shared" ref="B126:Z126" si="44">B125/(COUNT(B121:B124)*1)</f>
        <v>1</v>
      </c>
      <c r="C126" s="24">
        <f t="shared" si="44"/>
        <v>0.75</v>
      </c>
      <c r="D126" s="24">
        <f t="shared" si="44"/>
        <v>0.75</v>
      </c>
      <c r="E126" s="24">
        <f t="shared" si="44"/>
        <v>0.75</v>
      </c>
      <c r="F126" s="24">
        <f t="shared" si="44"/>
        <v>0.75</v>
      </c>
      <c r="G126" s="24">
        <f t="shared" si="44"/>
        <v>0.6666666667</v>
      </c>
      <c r="H126" s="24">
        <f t="shared" si="44"/>
        <v>0.75</v>
      </c>
      <c r="I126" s="24">
        <f t="shared" si="44"/>
        <v>0.75</v>
      </c>
      <c r="J126" s="24">
        <f t="shared" si="44"/>
        <v>0.5</v>
      </c>
      <c r="K126" s="24">
        <f t="shared" si="44"/>
        <v>0.75</v>
      </c>
      <c r="L126" s="24">
        <f t="shared" si="44"/>
        <v>0.75</v>
      </c>
      <c r="M126" s="24">
        <f t="shared" si="44"/>
        <v>1</v>
      </c>
      <c r="N126" s="24">
        <f t="shared" si="44"/>
        <v>1</v>
      </c>
      <c r="O126" s="24">
        <f t="shared" si="44"/>
        <v>1</v>
      </c>
      <c r="P126" s="24">
        <f t="shared" si="44"/>
        <v>0.75</v>
      </c>
      <c r="Q126" s="24">
        <f t="shared" si="44"/>
        <v>1</v>
      </c>
      <c r="R126" s="24">
        <f t="shared" si="44"/>
        <v>0.75</v>
      </c>
      <c r="S126" s="24">
        <f t="shared" si="44"/>
        <v>0.5</v>
      </c>
      <c r="T126" s="24">
        <f t="shared" si="44"/>
        <v>1</v>
      </c>
      <c r="U126" s="24">
        <f t="shared" si="44"/>
        <v>1</v>
      </c>
      <c r="V126" s="24">
        <f t="shared" si="44"/>
        <v>1</v>
      </c>
      <c r="W126" s="24">
        <f t="shared" si="44"/>
        <v>1</v>
      </c>
      <c r="X126" s="24">
        <f t="shared" si="44"/>
        <v>1</v>
      </c>
      <c r="Y126" s="24">
        <f t="shared" si="44"/>
        <v>1</v>
      </c>
      <c r="Z126" s="24" t="str">
        <f t="shared" si="44"/>
        <v>#DIV/0!</v>
      </c>
      <c r="AA126" s="25"/>
      <c r="AB126" s="26">
        <f>SUM(AB121:AB124)/4</f>
        <v>0.8428442029</v>
      </c>
      <c r="AC126" s="2"/>
    </row>
    <row r="127">
      <c r="A127" s="27" t="s">
        <v>44</v>
      </c>
      <c r="B127" s="28"/>
      <c r="C127" s="2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30">
        <f t="shared" ref="AA127:AA129" si="45">SUM(B127:Z127)</f>
        <v>0</v>
      </c>
      <c r="AB127" s="31"/>
      <c r="AC127" s="2"/>
    </row>
    <row r="128">
      <c r="A128" s="32" t="s">
        <v>45</v>
      </c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28"/>
      <c r="W128" s="28"/>
      <c r="X128" s="28"/>
      <c r="Y128" s="28"/>
      <c r="Z128" s="28"/>
      <c r="AA128" s="30">
        <f t="shared" si="45"/>
        <v>0</v>
      </c>
      <c r="AB128" s="31"/>
      <c r="AC128" s="9"/>
    </row>
    <row r="129">
      <c r="A129" s="34" t="s">
        <v>46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28"/>
      <c r="W129" s="28"/>
      <c r="X129" s="28"/>
      <c r="Y129" s="28"/>
      <c r="Z129" s="28"/>
      <c r="AA129" s="30">
        <f t="shared" si="45"/>
        <v>0</v>
      </c>
      <c r="AB129" s="31"/>
      <c r="AC129" s="9"/>
    </row>
    <row r="130">
      <c r="A130" s="35" t="s">
        <v>47</v>
      </c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7"/>
      <c r="AA130" s="38"/>
      <c r="AB130" s="39"/>
      <c r="AC130" s="2"/>
    </row>
    <row r="131">
      <c r="A131" s="40" t="s">
        <v>48</v>
      </c>
      <c r="B131" s="41"/>
      <c r="C131" s="42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3"/>
      <c r="W131" s="43"/>
      <c r="X131" s="43"/>
      <c r="Y131" s="43"/>
      <c r="Z131" s="43"/>
      <c r="AA131" s="44">
        <f t="shared" ref="AA131:AA132" si="46">SUM(B131:Z131)</f>
        <v>0</v>
      </c>
      <c r="AB131" s="31"/>
      <c r="AC131" s="2"/>
    </row>
    <row r="132">
      <c r="A132" s="40" t="s">
        <v>49</v>
      </c>
      <c r="B132" s="41"/>
      <c r="C132" s="42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3"/>
      <c r="W132" s="43"/>
      <c r="X132" s="43"/>
      <c r="Y132" s="43"/>
      <c r="Z132" s="43"/>
      <c r="AA132" s="44">
        <f t="shared" si="46"/>
        <v>0</v>
      </c>
      <c r="AB132" s="31"/>
      <c r="AC132" s="2"/>
    </row>
    <row r="133">
      <c r="A133" s="40" t="s">
        <v>50</v>
      </c>
      <c r="B133" s="42"/>
      <c r="C133" s="42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3"/>
      <c r="W133" s="43"/>
      <c r="X133" s="43"/>
      <c r="Y133" s="43"/>
      <c r="Z133" s="43"/>
      <c r="AA133" s="44" t="str">
        <f>AVERAGE(B133:Z133)</f>
        <v>#DIV/0!</v>
      </c>
      <c r="AB133" s="31"/>
      <c r="AC133" s="2"/>
    </row>
    <row r="134">
      <c r="A134" s="45" t="s">
        <v>51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7"/>
      <c r="AA134" s="46"/>
      <c r="AB134" s="39"/>
      <c r="AC134" s="2"/>
    </row>
    <row r="135">
      <c r="A135" s="47" t="s">
        <v>48</v>
      </c>
      <c r="B135" s="137"/>
      <c r="C135" s="18"/>
      <c r="D135" s="137"/>
      <c r="E135" s="137"/>
      <c r="F135" s="137"/>
      <c r="G135" s="137"/>
      <c r="H135" s="137"/>
      <c r="I135" s="137"/>
      <c r="J135" s="19">
        <v>1.0</v>
      </c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8"/>
      <c r="W135" s="138"/>
      <c r="X135" s="138"/>
      <c r="Y135" s="138"/>
      <c r="Z135" s="138"/>
      <c r="AA135" s="51">
        <f t="shared" ref="AA135:AA136" si="47">SUM(B135:Z135)</f>
        <v>1</v>
      </c>
      <c r="AB135" s="31"/>
      <c r="AC135" s="2"/>
    </row>
    <row r="136">
      <c r="A136" s="47" t="s">
        <v>49</v>
      </c>
      <c r="B136" s="137"/>
      <c r="C136" s="18"/>
      <c r="D136" s="137"/>
      <c r="E136" s="137"/>
      <c r="F136" s="137"/>
      <c r="G136" s="137"/>
      <c r="H136" s="137"/>
      <c r="I136" s="137"/>
      <c r="J136" s="19">
        <v>20.0</v>
      </c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8"/>
      <c r="W136" s="138"/>
      <c r="X136" s="138"/>
      <c r="Y136" s="138"/>
      <c r="Z136" s="138"/>
      <c r="AA136" s="51">
        <f t="shared" si="47"/>
        <v>20</v>
      </c>
      <c r="AB136" s="31"/>
      <c r="AC136" s="2"/>
    </row>
    <row r="137">
      <c r="A137" s="47" t="s">
        <v>50</v>
      </c>
      <c r="B137" s="18"/>
      <c r="C137" s="18"/>
      <c r="D137" s="137"/>
      <c r="E137" s="137"/>
      <c r="F137" s="137"/>
      <c r="G137" s="137"/>
      <c r="H137" s="137"/>
      <c r="I137" s="137"/>
      <c r="J137" s="19">
        <v>1.0</v>
      </c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8"/>
      <c r="W137" s="138"/>
      <c r="X137" s="138"/>
      <c r="Y137" s="138"/>
      <c r="Z137" s="138"/>
      <c r="AA137" s="51">
        <f>AVERAGE(B137:Z137)</f>
        <v>1</v>
      </c>
      <c r="AB137" s="31"/>
      <c r="AC137" s="2"/>
    </row>
    <row r="138">
      <c r="A138" s="52" t="s">
        <v>53</v>
      </c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7"/>
      <c r="AA138" s="38"/>
      <c r="AB138" s="39"/>
      <c r="AC138" s="2"/>
    </row>
    <row r="139">
      <c r="A139" s="40" t="s">
        <v>48</v>
      </c>
      <c r="B139" s="41"/>
      <c r="C139" s="42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3"/>
      <c r="W139" s="43"/>
      <c r="X139" s="43"/>
      <c r="Y139" s="43"/>
      <c r="Z139" s="43"/>
      <c r="AA139" s="44">
        <f t="shared" ref="AA139:AA140" si="48">SUM(B139:Z139)</f>
        <v>0</v>
      </c>
      <c r="AB139" s="31"/>
      <c r="AC139" s="2"/>
    </row>
    <row r="140">
      <c r="A140" s="40" t="s">
        <v>49</v>
      </c>
      <c r="B140" s="41"/>
      <c r="C140" s="42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3"/>
      <c r="W140" s="43"/>
      <c r="X140" s="43"/>
      <c r="Y140" s="43"/>
      <c r="Z140" s="43"/>
      <c r="AA140" s="44">
        <f t="shared" si="48"/>
        <v>0</v>
      </c>
      <c r="AB140" s="31"/>
      <c r="AC140" s="2"/>
    </row>
    <row r="141">
      <c r="A141" s="53" t="s">
        <v>50</v>
      </c>
      <c r="B141" s="54"/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6"/>
      <c r="W141" s="56"/>
      <c r="X141" s="56"/>
      <c r="Y141" s="56"/>
      <c r="Z141" s="56"/>
      <c r="AA141" s="57" t="str">
        <f>AVERAGE(B141:Z141)</f>
        <v>#DIV/0!</v>
      </c>
      <c r="AB141" s="58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59"/>
      <c r="AB142" s="59"/>
      <c r="AC142" s="2"/>
    </row>
    <row r="143">
      <c r="A143" s="13">
        <v>45671.0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 t="s">
        <v>37</v>
      </c>
      <c r="AB143" s="16" t="s">
        <v>38</v>
      </c>
      <c r="AC143" s="2"/>
    </row>
    <row r="144">
      <c r="A144" s="17" t="s">
        <v>39</v>
      </c>
      <c r="B144" s="19">
        <v>1.0</v>
      </c>
      <c r="C144" s="19">
        <v>1.0</v>
      </c>
      <c r="D144" s="19">
        <v>1.0</v>
      </c>
      <c r="E144" s="19">
        <v>1.0</v>
      </c>
      <c r="F144" s="19">
        <v>1.0</v>
      </c>
      <c r="G144" s="19">
        <v>1.0</v>
      </c>
      <c r="H144" s="19">
        <v>1.0</v>
      </c>
      <c r="I144" s="19">
        <v>1.0</v>
      </c>
      <c r="J144" s="19">
        <v>1.0</v>
      </c>
      <c r="K144" s="19">
        <v>1.0</v>
      </c>
      <c r="L144" s="19">
        <v>1.0</v>
      </c>
      <c r="M144" s="19">
        <v>1.0</v>
      </c>
      <c r="N144" s="19">
        <v>1.0</v>
      </c>
      <c r="O144" s="19">
        <v>1.0</v>
      </c>
      <c r="P144" s="19">
        <v>1.0</v>
      </c>
      <c r="Q144" s="19">
        <v>1.0</v>
      </c>
      <c r="R144" s="19">
        <v>1.0</v>
      </c>
      <c r="S144" s="19">
        <v>1.0</v>
      </c>
      <c r="T144" s="19">
        <v>1.0</v>
      </c>
      <c r="U144" s="19">
        <v>1.0</v>
      </c>
      <c r="V144" s="19">
        <v>1.0</v>
      </c>
      <c r="W144" s="19">
        <v>1.0</v>
      </c>
      <c r="X144" s="19">
        <v>1.0</v>
      </c>
      <c r="Y144" s="18"/>
      <c r="Z144" s="18"/>
      <c r="AA144" s="20">
        <f t="shared" ref="AA144:AA148" si="49">SUM(B144:Z144)</f>
        <v>23</v>
      </c>
      <c r="AB144" s="21">
        <f t="shared" ref="AB144:AB147" si="50">AA144/(COUNT(B144:Z144)*1)</f>
        <v>1</v>
      </c>
      <c r="AC144" s="2"/>
    </row>
    <row r="145">
      <c r="A145" s="17" t="s">
        <v>40</v>
      </c>
      <c r="B145" s="19">
        <v>1.0</v>
      </c>
      <c r="C145" s="19">
        <v>1.0</v>
      </c>
      <c r="D145" s="19">
        <v>1.0</v>
      </c>
      <c r="E145" s="19">
        <v>1.0</v>
      </c>
      <c r="F145" s="19">
        <v>1.0</v>
      </c>
      <c r="G145" s="19">
        <v>1.0</v>
      </c>
      <c r="H145" s="19">
        <v>1.0</v>
      </c>
      <c r="I145" s="19">
        <v>1.0</v>
      </c>
      <c r="J145" s="19">
        <v>1.0</v>
      </c>
      <c r="K145" s="19">
        <v>1.0</v>
      </c>
      <c r="L145" s="19">
        <v>1.0</v>
      </c>
      <c r="M145" s="19">
        <v>1.0</v>
      </c>
      <c r="N145" s="19">
        <v>1.0</v>
      </c>
      <c r="O145" s="19">
        <v>1.0</v>
      </c>
      <c r="P145" s="19">
        <v>1.0</v>
      </c>
      <c r="Q145" s="19">
        <v>1.0</v>
      </c>
      <c r="R145" s="19">
        <v>1.0</v>
      </c>
      <c r="S145" s="19">
        <v>1.0</v>
      </c>
      <c r="T145" s="19">
        <v>1.0</v>
      </c>
      <c r="U145" s="19">
        <v>1.0</v>
      </c>
      <c r="V145" s="19">
        <v>1.0</v>
      </c>
      <c r="W145" s="19">
        <v>1.0</v>
      </c>
      <c r="X145" s="19">
        <v>1.0</v>
      </c>
      <c r="Y145" s="18"/>
      <c r="Z145" s="18"/>
      <c r="AA145" s="20">
        <f t="shared" si="49"/>
        <v>23</v>
      </c>
      <c r="AB145" s="21">
        <f t="shared" si="50"/>
        <v>1</v>
      </c>
      <c r="AC145" s="2"/>
    </row>
    <row r="146">
      <c r="A146" s="17" t="s">
        <v>41</v>
      </c>
      <c r="B146" s="19">
        <v>1.0</v>
      </c>
      <c r="C146" s="19">
        <v>1.0</v>
      </c>
      <c r="D146" s="19">
        <v>1.0</v>
      </c>
      <c r="E146" s="19">
        <v>1.0</v>
      </c>
      <c r="F146" s="19">
        <v>1.0</v>
      </c>
      <c r="G146" s="19">
        <v>1.0</v>
      </c>
      <c r="H146" s="19">
        <v>1.0</v>
      </c>
      <c r="I146" s="19">
        <v>1.0</v>
      </c>
      <c r="J146" s="19">
        <v>1.0</v>
      </c>
      <c r="K146" s="19">
        <v>1.0</v>
      </c>
      <c r="L146" s="19">
        <v>1.0</v>
      </c>
      <c r="M146" s="19">
        <v>1.0</v>
      </c>
      <c r="N146" s="19">
        <v>1.0</v>
      </c>
      <c r="O146" s="19">
        <v>1.0</v>
      </c>
      <c r="P146" s="19">
        <v>1.0</v>
      </c>
      <c r="Q146" s="19">
        <v>1.0</v>
      </c>
      <c r="R146" s="19">
        <v>1.0</v>
      </c>
      <c r="S146" s="19">
        <v>1.0</v>
      </c>
      <c r="T146" s="19">
        <v>1.0</v>
      </c>
      <c r="U146" s="19">
        <v>1.0</v>
      </c>
      <c r="V146" s="19">
        <v>1.0</v>
      </c>
      <c r="W146" s="19">
        <v>1.0</v>
      </c>
      <c r="X146" s="19">
        <v>1.0</v>
      </c>
      <c r="Y146" s="19"/>
      <c r="Z146" s="18"/>
      <c r="AA146" s="20">
        <f t="shared" si="49"/>
        <v>23</v>
      </c>
      <c r="AB146" s="21">
        <f t="shared" si="50"/>
        <v>1</v>
      </c>
      <c r="AC146" s="2"/>
    </row>
    <row r="147">
      <c r="A147" s="17" t="s">
        <v>42</v>
      </c>
      <c r="B147" s="19">
        <v>1.0</v>
      </c>
      <c r="C147" s="19">
        <v>1.0</v>
      </c>
      <c r="D147" s="19">
        <v>0.0</v>
      </c>
      <c r="E147" s="19">
        <v>1.0</v>
      </c>
      <c r="F147" s="19">
        <v>1.0</v>
      </c>
      <c r="G147" s="19">
        <v>0.0</v>
      </c>
      <c r="H147" s="19">
        <v>0.0</v>
      </c>
      <c r="I147" s="19">
        <v>1.0</v>
      </c>
      <c r="J147" s="19">
        <v>1.0</v>
      </c>
      <c r="K147" s="19">
        <v>1.0</v>
      </c>
      <c r="L147" s="19">
        <v>1.0</v>
      </c>
      <c r="M147" s="19">
        <v>0.0</v>
      </c>
      <c r="N147" s="19">
        <v>0.0</v>
      </c>
      <c r="O147" s="19">
        <v>1.0</v>
      </c>
      <c r="P147" s="19">
        <v>1.0</v>
      </c>
      <c r="Q147" s="19">
        <v>1.0</v>
      </c>
      <c r="R147" s="19">
        <v>1.0</v>
      </c>
      <c r="S147" s="19">
        <v>0.0</v>
      </c>
      <c r="T147" s="19">
        <v>1.0</v>
      </c>
      <c r="U147" s="19">
        <v>1.0</v>
      </c>
      <c r="V147" s="19">
        <v>1.0</v>
      </c>
      <c r="W147" s="19">
        <v>1.0</v>
      </c>
      <c r="X147" s="19">
        <v>1.0</v>
      </c>
      <c r="Y147" s="19"/>
      <c r="Z147" s="18"/>
      <c r="AA147" s="20">
        <f t="shared" si="49"/>
        <v>17</v>
      </c>
      <c r="AB147" s="21">
        <f t="shared" si="50"/>
        <v>0.7391304348</v>
      </c>
      <c r="AC147" s="2"/>
    </row>
    <row r="148">
      <c r="A148" s="17" t="s">
        <v>43</v>
      </c>
      <c r="B148" s="22">
        <f t="shared" ref="B148:Z148" si="51">SUM(B144:B147)</f>
        <v>4</v>
      </c>
      <c r="C148" s="22">
        <f t="shared" si="51"/>
        <v>4</v>
      </c>
      <c r="D148" s="22">
        <f t="shared" si="51"/>
        <v>3</v>
      </c>
      <c r="E148" s="22">
        <f t="shared" si="51"/>
        <v>4</v>
      </c>
      <c r="F148" s="22">
        <f t="shared" si="51"/>
        <v>4</v>
      </c>
      <c r="G148" s="22">
        <f t="shared" si="51"/>
        <v>3</v>
      </c>
      <c r="H148" s="22">
        <f t="shared" si="51"/>
        <v>3</v>
      </c>
      <c r="I148" s="22">
        <f t="shared" si="51"/>
        <v>4</v>
      </c>
      <c r="J148" s="22">
        <f t="shared" si="51"/>
        <v>4</v>
      </c>
      <c r="K148" s="22">
        <f t="shared" si="51"/>
        <v>4</v>
      </c>
      <c r="L148" s="22">
        <f t="shared" si="51"/>
        <v>4</v>
      </c>
      <c r="M148" s="22">
        <f t="shared" si="51"/>
        <v>3</v>
      </c>
      <c r="N148" s="22">
        <f t="shared" si="51"/>
        <v>3</v>
      </c>
      <c r="O148" s="22">
        <f t="shared" si="51"/>
        <v>4</v>
      </c>
      <c r="P148" s="22">
        <f t="shared" si="51"/>
        <v>4</v>
      </c>
      <c r="Q148" s="22">
        <f t="shared" si="51"/>
        <v>4</v>
      </c>
      <c r="R148" s="22">
        <f t="shared" si="51"/>
        <v>4</v>
      </c>
      <c r="S148" s="22">
        <f t="shared" si="51"/>
        <v>3</v>
      </c>
      <c r="T148" s="22">
        <f t="shared" si="51"/>
        <v>4</v>
      </c>
      <c r="U148" s="22">
        <f t="shared" si="51"/>
        <v>4</v>
      </c>
      <c r="V148" s="22">
        <f t="shared" si="51"/>
        <v>4</v>
      </c>
      <c r="W148" s="22">
        <f t="shared" si="51"/>
        <v>4</v>
      </c>
      <c r="X148" s="22">
        <f t="shared" si="51"/>
        <v>4</v>
      </c>
      <c r="Y148" s="22">
        <f t="shared" si="51"/>
        <v>0</v>
      </c>
      <c r="Z148" s="22">
        <f t="shared" si="51"/>
        <v>0</v>
      </c>
      <c r="AA148" s="20">
        <f t="shared" si="49"/>
        <v>86</v>
      </c>
      <c r="AB148" s="23"/>
      <c r="AC148" s="2"/>
    </row>
    <row r="149">
      <c r="A149" s="17" t="s">
        <v>38</v>
      </c>
      <c r="B149" s="24">
        <f t="shared" ref="B149:Z149" si="52">B148/(COUNT(B144:B147)*1)</f>
        <v>1</v>
      </c>
      <c r="C149" s="24">
        <f t="shared" si="52"/>
        <v>1</v>
      </c>
      <c r="D149" s="24">
        <f t="shared" si="52"/>
        <v>0.75</v>
      </c>
      <c r="E149" s="24">
        <f t="shared" si="52"/>
        <v>1</v>
      </c>
      <c r="F149" s="24">
        <f t="shared" si="52"/>
        <v>1</v>
      </c>
      <c r="G149" s="24">
        <f t="shared" si="52"/>
        <v>0.75</v>
      </c>
      <c r="H149" s="24">
        <f t="shared" si="52"/>
        <v>0.75</v>
      </c>
      <c r="I149" s="24">
        <f t="shared" si="52"/>
        <v>1</v>
      </c>
      <c r="J149" s="24">
        <f t="shared" si="52"/>
        <v>1</v>
      </c>
      <c r="K149" s="24">
        <f t="shared" si="52"/>
        <v>1</v>
      </c>
      <c r="L149" s="24">
        <f t="shared" si="52"/>
        <v>1</v>
      </c>
      <c r="M149" s="24">
        <f t="shared" si="52"/>
        <v>0.75</v>
      </c>
      <c r="N149" s="24">
        <f t="shared" si="52"/>
        <v>0.75</v>
      </c>
      <c r="O149" s="24">
        <f t="shared" si="52"/>
        <v>1</v>
      </c>
      <c r="P149" s="24">
        <f t="shared" si="52"/>
        <v>1</v>
      </c>
      <c r="Q149" s="24">
        <f t="shared" si="52"/>
        <v>1</v>
      </c>
      <c r="R149" s="24">
        <f t="shared" si="52"/>
        <v>1</v>
      </c>
      <c r="S149" s="24">
        <f t="shared" si="52"/>
        <v>0.75</v>
      </c>
      <c r="T149" s="24">
        <f t="shared" si="52"/>
        <v>1</v>
      </c>
      <c r="U149" s="24">
        <f t="shared" si="52"/>
        <v>1</v>
      </c>
      <c r="V149" s="24">
        <f t="shared" si="52"/>
        <v>1</v>
      </c>
      <c r="W149" s="24">
        <f t="shared" si="52"/>
        <v>1</v>
      </c>
      <c r="X149" s="24">
        <f t="shared" si="52"/>
        <v>1</v>
      </c>
      <c r="Y149" s="24" t="str">
        <f t="shared" si="52"/>
        <v>#DIV/0!</v>
      </c>
      <c r="Z149" s="24" t="str">
        <f t="shared" si="52"/>
        <v>#DIV/0!</v>
      </c>
      <c r="AA149" s="25"/>
      <c r="AB149" s="26">
        <f>SUM(AB144:AB147)/4</f>
        <v>0.9347826087</v>
      </c>
      <c r="AC149" s="2"/>
    </row>
    <row r="150">
      <c r="A150" s="27" t="s">
        <v>44</v>
      </c>
      <c r="B150" s="28"/>
      <c r="C150" s="29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30">
        <f t="shared" ref="AA150:AA152" si="53">SUM(B150:Z150)</f>
        <v>0</v>
      </c>
      <c r="AB150" s="31"/>
      <c r="AC150" s="2"/>
    </row>
    <row r="151">
      <c r="A151" s="32" t="s">
        <v>45</v>
      </c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28"/>
      <c r="W151" s="28"/>
      <c r="X151" s="28"/>
      <c r="Y151" s="28"/>
      <c r="Z151" s="28"/>
      <c r="AA151" s="30">
        <f t="shared" si="53"/>
        <v>0</v>
      </c>
      <c r="AB151" s="31"/>
      <c r="AC151" s="9"/>
    </row>
    <row r="152">
      <c r="A152" s="34" t="s">
        <v>46</v>
      </c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28"/>
      <c r="W152" s="28"/>
      <c r="X152" s="28"/>
      <c r="Y152" s="28"/>
      <c r="Z152" s="28"/>
      <c r="AA152" s="30">
        <f t="shared" si="53"/>
        <v>0</v>
      </c>
      <c r="AB152" s="31"/>
      <c r="AC152" s="9"/>
    </row>
    <row r="153">
      <c r="A153" s="35" t="s">
        <v>47</v>
      </c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7"/>
      <c r="AA153" s="38"/>
      <c r="AB153" s="39"/>
      <c r="AC153" s="2"/>
    </row>
    <row r="154">
      <c r="A154" s="40" t="s">
        <v>48</v>
      </c>
      <c r="B154" s="41"/>
      <c r="C154" s="42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3"/>
      <c r="W154" s="43"/>
      <c r="X154" s="43"/>
      <c r="Y154" s="43"/>
      <c r="Z154" s="43"/>
      <c r="AA154" s="44">
        <f t="shared" ref="AA154:AA155" si="54">SUM(B154:Z154)</f>
        <v>0</v>
      </c>
      <c r="AB154" s="31"/>
      <c r="AC154" s="2"/>
    </row>
    <row r="155">
      <c r="A155" s="40" t="s">
        <v>49</v>
      </c>
      <c r="B155" s="41"/>
      <c r="C155" s="42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3"/>
      <c r="W155" s="43"/>
      <c r="X155" s="43"/>
      <c r="Y155" s="43"/>
      <c r="Z155" s="43"/>
      <c r="AA155" s="44">
        <f t="shared" si="54"/>
        <v>0</v>
      </c>
      <c r="AB155" s="31"/>
      <c r="AC155" s="2"/>
    </row>
    <row r="156">
      <c r="A156" s="40" t="s">
        <v>50</v>
      </c>
      <c r="B156" s="42"/>
      <c r="C156" s="42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3"/>
      <c r="W156" s="43"/>
      <c r="X156" s="43"/>
      <c r="Y156" s="43"/>
      <c r="Z156" s="43"/>
      <c r="AA156" s="44" t="str">
        <f>AVERAGE(B156:Z156)</f>
        <v>#DIV/0!</v>
      </c>
      <c r="AB156" s="31"/>
      <c r="AC156" s="2"/>
    </row>
    <row r="157">
      <c r="A157" s="45" t="s">
        <v>51</v>
      </c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7"/>
      <c r="AA157" s="46"/>
      <c r="AB157" s="39"/>
      <c r="AC157" s="2"/>
    </row>
    <row r="158">
      <c r="A158" s="47" t="s">
        <v>48</v>
      </c>
      <c r="B158" s="48"/>
      <c r="C158" s="49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50"/>
      <c r="W158" s="50"/>
      <c r="X158" s="50"/>
      <c r="Y158" s="50"/>
      <c r="Z158" s="50"/>
      <c r="AA158" s="51">
        <f t="shared" ref="AA158:AA159" si="55">SUM(B158:Z158)</f>
        <v>0</v>
      </c>
      <c r="AB158" s="31"/>
      <c r="AC158" s="2"/>
    </row>
    <row r="159">
      <c r="A159" s="47" t="s">
        <v>49</v>
      </c>
      <c r="B159" s="48"/>
      <c r="C159" s="49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50"/>
      <c r="W159" s="50"/>
      <c r="X159" s="50"/>
      <c r="Y159" s="50"/>
      <c r="Z159" s="50"/>
      <c r="AA159" s="51">
        <f t="shared" si="55"/>
        <v>0</v>
      </c>
      <c r="AB159" s="31"/>
      <c r="AC159" s="2"/>
    </row>
    <row r="160">
      <c r="A160" s="47" t="s">
        <v>50</v>
      </c>
      <c r="B160" s="49"/>
      <c r="C160" s="49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50"/>
      <c r="W160" s="50"/>
      <c r="X160" s="50"/>
      <c r="Y160" s="50"/>
      <c r="Z160" s="50"/>
      <c r="AA160" s="51" t="str">
        <f>AVERAGE(B160:Z160)</f>
        <v>#DIV/0!</v>
      </c>
      <c r="AB160" s="31"/>
      <c r="AC160" s="2"/>
    </row>
    <row r="161">
      <c r="A161" s="52" t="s">
        <v>53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7"/>
      <c r="AA161" s="38"/>
      <c r="AB161" s="39"/>
      <c r="AC161" s="2"/>
    </row>
    <row r="162">
      <c r="A162" s="40" t="s">
        <v>48</v>
      </c>
      <c r="B162" s="41"/>
      <c r="C162" s="42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3"/>
      <c r="W162" s="43"/>
      <c r="X162" s="43"/>
      <c r="Y162" s="43"/>
      <c r="Z162" s="43"/>
      <c r="AA162" s="44">
        <f t="shared" ref="AA162:AA163" si="56">SUM(B162:Z162)</f>
        <v>0</v>
      </c>
      <c r="AB162" s="31"/>
      <c r="AC162" s="2"/>
    </row>
    <row r="163">
      <c r="A163" s="40" t="s">
        <v>49</v>
      </c>
      <c r="B163" s="41"/>
      <c r="C163" s="42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3"/>
      <c r="W163" s="43"/>
      <c r="X163" s="43"/>
      <c r="Y163" s="43"/>
      <c r="Z163" s="43"/>
      <c r="AA163" s="44">
        <f t="shared" si="56"/>
        <v>0</v>
      </c>
      <c r="AB163" s="31"/>
      <c r="AC163" s="2"/>
    </row>
    <row r="164">
      <c r="A164" s="53" t="s">
        <v>50</v>
      </c>
      <c r="B164" s="54"/>
      <c r="C164" s="54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6"/>
      <c r="W164" s="56"/>
      <c r="X164" s="56"/>
      <c r="Y164" s="56"/>
      <c r="Z164" s="56"/>
      <c r="AA164" s="57" t="str">
        <f>AVERAGE(B164:Z164)</f>
        <v>#DIV/0!</v>
      </c>
      <c r="AB164" s="58"/>
      <c r="AC164" s="2"/>
    </row>
    <row r="165">
      <c r="A165" s="9"/>
      <c r="B165" s="9"/>
      <c r="C165" s="9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13">
        <v>46037.0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70"/>
      <c r="U166" s="14"/>
      <c r="V166" s="14"/>
      <c r="W166" s="14"/>
      <c r="X166" s="14"/>
      <c r="Y166" s="14"/>
      <c r="Z166" s="14"/>
      <c r="AA166" s="15" t="s">
        <v>37</v>
      </c>
      <c r="AB166" s="16" t="s">
        <v>38</v>
      </c>
      <c r="AC166" s="2"/>
    </row>
    <row r="167">
      <c r="A167" s="17" t="s">
        <v>39</v>
      </c>
      <c r="B167" s="67">
        <v>1.0</v>
      </c>
      <c r="C167" s="67">
        <v>1.0</v>
      </c>
      <c r="D167" s="67">
        <v>1.0</v>
      </c>
      <c r="E167" s="67">
        <v>1.0</v>
      </c>
      <c r="F167" s="67">
        <v>1.0</v>
      </c>
      <c r="G167" s="67">
        <v>1.0</v>
      </c>
      <c r="H167" s="67">
        <v>1.0</v>
      </c>
      <c r="I167" s="67">
        <v>1.0</v>
      </c>
      <c r="J167" s="67">
        <v>1.0</v>
      </c>
      <c r="K167" s="67">
        <v>0.0</v>
      </c>
      <c r="L167" s="67">
        <v>0.0</v>
      </c>
      <c r="M167" s="67">
        <v>0.0</v>
      </c>
      <c r="N167" s="67">
        <v>0.0</v>
      </c>
      <c r="O167" s="67">
        <v>1.0</v>
      </c>
      <c r="P167" s="67">
        <v>1.0</v>
      </c>
      <c r="Q167" s="67">
        <v>1.0</v>
      </c>
      <c r="R167" s="67">
        <v>1.0</v>
      </c>
      <c r="S167" s="67">
        <v>1.0</v>
      </c>
      <c r="T167" s="67">
        <v>1.0</v>
      </c>
      <c r="U167" s="67">
        <v>1.0</v>
      </c>
      <c r="V167" s="67">
        <v>1.0</v>
      </c>
      <c r="W167" s="67">
        <v>0.0</v>
      </c>
      <c r="X167" s="67">
        <v>0.0</v>
      </c>
      <c r="Y167" s="67">
        <v>0.0</v>
      </c>
      <c r="Z167" s="49"/>
      <c r="AA167" s="20">
        <f t="shared" ref="AA167:AA171" si="57">SUM(B167:Z167)</f>
        <v>17</v>
      </c>
      <c r="AB167" s="21">
        <f t="shared" ref="AB167:AB170" si="58">AA167/(COUNT(B167:Z167)*1)</f>
        <v>0.7083333333</v>
      </c>
      <c r="AC167" s="2"/>
    </row>
    <row r="168">
      <c r="A168" s="17" t="s">
        <v>40</v>
      </c>
      <c r="B168" s="67">
        <v>1.0</v>
      </c>
      <c r="C168" s="67">
        <v>1.0</v>
      </c>
      <c r="D168" s="67">
        <v>1.0</v>
      </c>
      <c r="E168" s="67">
        <v>1.0</v>
      </c>
      <c r="F168" s="67">
        <v>1.0</v>
      </c>
      <c r="G168" s="67">
        <v>1.0</v>
      </c>
      <c r="H168" s="67">
        <v>1.0</v>
      </c>
      <c r="I168" s="67">
        <v>1.0</v>
      </c>
      <c r="J168" s="67">
        <v>1.0</v>
      </c>
      <c r="K168" s="67">
        <v>1.0</v>
      </c>
      <c r="L168" s="67">
        <v>1.0</v>
      </c>
      <c r="M168" s="67">
        <v>1.0</v>
      </c>
      <c r="N168" s="67">
        <v>1.0</v>
      </c>
      <c r="O168" s="67">
        <v>1.0</v>
      </c>
      <c r="P168" s="67">
        <v>1.0</v>
      </c>
      <c r="Q168" s="67">
        <v>1.0</v>
      </c>
      <c r="R168" s="67">
        <v>1.0</v>
      </c>
      <c r="S168" s="67">
        <v>1.0</v>
      </c>
      <c r="T168" s="67">
        <v>0.0</v>
      </c>
      <c r="U168" s="67">
        <v>1.0</v>
      </c>
      <c r="V168" s="67">
        <v>1.0</v>
      </c>
      <c r="W168" s="67">
        <v>1.0</v>
      </c>
      <c r="X168" s="67">
        <v>1.0</v>
      </c>
      <c r="Y168" s="67">
        <v>1.0</v>
      </c>
      <c r="Z168" s="49"/>
      <c r="AA168" s="20">
        <f t="shared" si="57"/>
        <v>23</v>
      </c>
      <c r="AB168" s="21">
        <f t="shared" si="58"/>
        <v>0.9583333333</v>
      </c>
      <c r="AC168" s="2"/>
    </row>
    <row r="169">
      <c r="A169" s="17" t="s">
        <v>41</v>
      </c>
      <c r="B169" s="67">
        <v>1.0</v>
      </c>
      <c r="C169" s="67">
        <v>1.0</v>
      </c>
      <c r="D169" s="67">
        <v>1.0</v>
      </c>
      <c r="E169" s="67">
        <v>1.0</v>
      </c>
      <c r="F169" s="67">
        <v>1.0</v>
      </c>
      <c r="G169" s="67">
        <v>1.0</v>
      </c>
      <c r="H169" s="67">
        <v>1.0</v>
      </c>
      <c r="I169" s="67">
        <v>1.0</v>
      </c>
      <c r="J169" s="67">
        <v>1.0</v>
      </c>
      <c r="K169" s="67">
        <v>1.0</v>
      </c>
      <c r="L169" s="67">
        <v>1.0</v>
      </c>
      <c r="M169" s="67">
        <v>1.0</v>
      </c>
      <c r="N169" s="67">
        <v>1.0</v>
      </c>
      <c r="O169" s="67">
        <v>1.0</v>
      </c>
      <c r="P169" s="67">
        <v>1.0</v>
      </c>
      <c r="Q169" s="67">
        <v>1.0</v>
      </c>
      <c r="R169" s="67">
        <v>1.0</v>
      </c>
      <c r="S169" s="67">
        <v>1.0</v>
      </c>
      <c r="T169" s="67">
        <v>0.0</v>
      </c>
      <c r="U169" s="67">
        <v>1.0</v>
      </c>
      <c r="V169" s="67">
        <v>1.0</v>
      </c>
      <c r="W169" s="67">
        <v>0.0</v>
      </c>
      <c r="X169" s="67">
        <v>0.0</v>
      </c>
      <c r="Y169" s="67">
        <v>0.0</v>
      </c>
      <c r="Z169" s="49"/>
      <c r="AA169" s="20">
        <f t="shared" si="57"/>
        <v>20</v>
      </c>
      <c r="AB169" s="21">
        <f t="shared" si="58"/>
        <v>0.8333333333</v>
      </c>
      <c r="AC169" s="2"/>
    </row>
    <row r="170">
      <c r="A170" s="17" t="s">
        <v>42</v>
      </c>
      <c r="B170" s="67">
        <v>1.0</v>
      </c>
      <c r="C170" s="67">
        <v>0.0</v>
      </c>
      <c r="D170" s="67">
        <v>0.0</v>
      </c>
      <c r="E170" s="67">
        <v>1.0</v>
      </c>
      <c r="F170" s="67">
        <v>1.0</v>
      </c>
      <c r="G170" s="67">
        <v>1.0</v>
      </c>
      <c r="H170" s="67">
        <v>1.0</v>
      </c>
      <c r="I170" s="67">
        <v>1.0</v>
      </c>
      <c r="J170" s="67">
        <v>1.0</v>
      </c>
      <c r="K170" s="67">
        <v>1.0</v>
      </c>
      <c r="L170" s="67">
        <v>1.0</v>
      </c>
      <c r="M170" s="67">
        <v>1.0</v>
      </c>
      <c r="N170" s="67">
        <v>1.0</v>
      </c>
      <c r="O170" s="67">
        <v>1.0</v>
      </c>
      <c r="P170" s="67">
        <v>0.0</v>
      </c>
      <c r="Q170" s="67">
        <v>1.0</v>
      </c>
      <c r="R170" s="67">
        <v>1.0</v>
      </c>
      <c r="S170" s="67">
        <v>1.0</v>
      </c>
      <c r="T170" s="67">
        <v>1.0</v>
      </c>
      <c r="U170" s="67">
        <v>1.0</v>
      </c>
      <c r="V170" s="67">
        <v>1.0</v>
      </c>
      <c r="W170" s="67">
        <v>0.0</v>
      </c>
      <c r="X170" s="67">
        <v>0.0</v>
      </c>
      <c r="Y170" s="67">
        <v>0.0</v>
      </c>
      <c r="Z170" s="49"/>
      <c r="AA170" s="20">
        <f t="shared" si="57"/>
        <v>18</v>
      </c>
      <c r="AB170" s="21">
        <f t="shared" si="58"/>
        <v>0.75</v>
      </c>
      <c r="AC170" s="2"/>
    </row>
    <row r="171">
      <c r="A171" s="17" t="s">
        <v>43</v>
      </c>
      <c r="B171" s="22">
        <f t="shared" ref="B171:Z171" si="59">SUM(B167:B170)</f>
        <v>4</v>
      </c>
      <c r="C171" s="22">
        <f t="shared" si="59"/>
        <v>3</v>
      </c>
      <c r="D171" s="22">
        <f t="shared" si="59"/>
        <v>3</v>
      </c>
      <c r="E171" s="22">
        <f t="shared" si="59"/>
        <v>4</v>
      </c>
      <c r="F171" s="22">
        <f t="shared" si="59"/>
        <v>4</v>
      </c>
      <c r="G171" s="22">
        <f t="shared" si="59"/>
        <v>4</v>
      </c>
      <c r="H171" s="22">
        <f t="shared" si="59"/>
        <v>4</v>
      </c>
      <c r="I171" s="22">
        <f t="shared" si="59"/>
        <v>4</v>
      </c>
      <c r="J171" s="22">
        <f t="shared" si="59"/>
        <v>4</v>
      </c>
      <c r="K171" s="22">
        <f t="shared" si="59"/>
        <v>3</v>
      </c>
      <c r="L171" s="22">
        <f t="shared" si="59"/>
        <v>3</v>
      </c>
      <c r="M171" s="22">
        <f t="shared" si="59"/>
        <v>3</v>
      </c>
      <c r="N171" s="22">
        <f t="shared" si="59"/>
        <v>3</v>
      </c>
      <c r="O171" s="22">
        <f t="shared" si="59"/>
        <v>4</v>
      </c>
      <c r="P171" s="22">
        <f t="shared" si="59"/>
        <v>3</v>
      </c>
      <c r="Q171" s="22">
        <f t="shared" si="59"/>
        <v>4</v>
      </c>
      <c r="R171" s="22">
        <f t="shared" si="59"/>
        <v>4</v>
      </c>
      <c r="S171" s="22">
        <f t="shared" si="59"/>
        <v>4</v>
      </c>
      <c r="T171" s="22">
        <f t="shared" si="59"/>
        <v>2</v>
      </c>
      <c r="U171" s="22">
        <f t="shared" si="59"/>
        <v>4</v>
      </c>
      <c r="V171" s="22">
        <f t="shared" si="59"/>
        <v>4</v>
      </c>
      <c r="W171" s="22">
        <f t="shared" si="59"/>
        <v>1</v>
      </c>
      <c r="X171" s="22">
        <f t="shared" si="59"/>
        <v>1</v>
      </c>
      <c r="Y171" s="22">
        <f t="shared" si="59"/>
        <v>1</v>
      </c>
      <c r="Z171" s="22">
        <f t="shared" si="59"/>
        <v>0</v>
      </c>
      <c r="AA171" s="20">
        <f t="shared" si="57"/>
        <v>78</v>
      </c>
      <c r="AB171" s="23"/>
      <c r="AC171" s="2"/>
    </row>
    <row r="172">
      <c r="A172" s="17" t="s">
        <v>38</v>
      </c>
      <c r="B172" s="24">
        <f t="shared" ref="B172:Z172" si="60">B171/(COUNT(B167:B170)*1)</f>
        <v>1</v>
      </c>
      <c r="C172" s="24">
        <f t="shared" si="60"/>
        <v>0.75</v>
      </c>
      <c r="D172" s="24">
        <f t="shared" si="60"/>
        <v>0.75</v>
      </c>
      <c r="E172" s="24">
        <f t="shared" si="60"/>
        <v>1</v>
      </c>
      <c r="F172" s="24">
        <f t="shared" si="60"/>
        <v>1</v>
      </c>
      <c r="G172" s="24">
        <f t="shared" si="60"/>
        <v>1</v>
      </c>
      <c r="H172" s="24">
        <f t="shared" si="60"/>
        <v>1</v>
      </c>
      <c r="I172" s="24">
        <f t="shared" si="60"/>
        <v>1</v>
      </c>
      <c r="J172" s="24">
        <f t="shared" si="60"/>
        <v>1</v>
      </c>
      <c r="K172" s="24">
        <f t="shared" si="60"/>
        <v>0.75</v>
      </c>
      <c r="L172" s="24">
        <f t="shared" si="60"/>
        <v>0.75</v>
      </c>
      <c r="M172" s="24">
        <f t="shared" si="60"/>
        <v>0.75</v>
      </c>
      <c r="N172" s="24">
        <f t="shared" si="60"/>
        <v>0.75</v>
      </c>
      <c r="O172" s="24">
        <f t="shared" si="60"/>
        <v>1</v>
      </c>
      <c r="P172" s="24">
        <f t="shared" si="60"/>
        <v>0.75</v>
      </c>
      <c r="Q172" s="24">
        <f t="shared" si="60"/>
        <v>1</v>
      </c>
      <c r="R172" s="24">
        <f t="shared" si="60"/>
        <v>1</v>
      </c>
      <c r="S172" s="24">
        <f t="shared" si="60"/>
        <v>1</v>
      </c>
      <c r="T172" s="24">
        <f t="shared" si="60"/>
        <v>0.5</v>
      </c>
      <c r="U172" s="24">
        <f t="shared" si="60"/>
        <v>1</v>
      </c>
      <c r="V172" s="24">
        <f t="shared" si="60"/>
        <v>1</v>
      </c>
      <c r="W172" s="24">
        <f t="shared" si="60"/>
        <v>0.25</v>
      </c>
      <c r="X172" s="24">
        <f t="shared" si="60"/>
        <v>0.25</v>
      </c>
      <c r="Y172" s="24">
        <f t="shared" si="60"/>
        <v>0.25</v>
      </c>
      <c r="Z172" s="24" t="str">
        <f t="shared" si="60"/>
        <v>#DIV/0!</v>
      </c>
      <c r="AA172" s="25"/>
      <c r="AB172" s="26">
        <f>SUM(AB167:AB170)/4</f>
        <v>0.8125</v>
      </c>
      <c r="AC172" s="2"/>
    </row>
    <row r="173">
      <c r="A173" s="27" t="s">
        <v>44</v>
      </c>
      <c r="B173" s="28"/>
      <c r="C173" s="29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30">
        <f t="shared" ref="AA173:AA175" si="61">SUM(B173:Z173)</f>
        <v>0</v>
      </c>
      <c r="AB173" s="31"/>
      <c r="AC173" s="2"/>
    </row>
    <row r="174">
      <c r="A174" s="32" t="s">
        <v>45</v>
      </c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28"/>
      <c r="W174" s="28"/>
      <c r="X174" s="28"/>
      <c r="Y174" s="28"/>
      <c r="Z174" s="28"/>
      <c r="AA174" s="30">
        <f t="shared" si="61"/>
        <v>0</v>
      </c>
      <c r="AB174" s="31"/>
      <c r="AC174" s="9"/>
    </row>
    <row r="175">
      <c r="A175" s="34" t="s">
        <v>46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28"/>
      <c r="W175" s="28"/>
      <c r="X175" s="28"/>
      <c r="Y175" s="28"/>
      <c r="Z175" s="28"/>
      <c r="AA175" s="30">
        <f t="shared" si="61"/>
        <v>0</v>
      </c>
      <c r="AB175" s="31"/>
      <c r="AC175" s="9"/>
    </row>
    <row r="176">
      <c r="A176" s="35" t="s">
        <v>47</v>
      </c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7"/>
      <c r="AA176" s="38"/>
      <c r="AB176" s="39"/>
      <c r="AC176" s="2"/>
    </row>
    <row r="177">
      <c r="A177" s="40" t="s">
        <v>48</v>
      </c>
      <c r="B177" s="41"/>
      <c r="C177" s="42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3"/>
      <c r="W177" s="43"/>
      <c r="X177" s="43"/>
      <c r="Y177" s="43"/>
      <c r="Z177" s="43"/>
      <c r="AA177" s="44">
        <f t="shared" ref="AA177:AA178" si="62">SUM(B177:Z177)</f>
        <v>0</v>
      </c>
      <c r="AB177" s="31"/>
      <c r="AC177" s="2"/>
    </row>
    <row r="178">
      <c r="A178" s="40" t="s">
        <v>49</v>
      </c>
      <c r="B178" s="41"/>
      <c r="C178" s="42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3"/>
      <c r="W178" s="43"/>
      <c r="X178" s="43"/>
      <c r="Y178" s="43"/>
      <c r="Z178" s="43"/>
      <c r="AA178" s="44">
        <f t="shared" si="62"/>
        <v>0</v>
      </c>
      <c r="AB178" s="31"/>
      <c r="AC178" s="2"/>
    </row>
    <row r="179">
      <c r="A179" s="40" t="s">
        <v>50</v>
      </c>
      <c r="B179" s="42"/>
      <c r="C179" s="42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3"/>
      <c r="W179" s="43"/>
      <c r="X179" s="43"/>
      <c r="Y179" s="43"/>
      <c r="Z179" s="43"/>
      <c r="AA179" s="44" t="str">
        <f>AVERAGE(B179:Z179)</f>
        <v>#DIV/0!</v>
      </c>
      <c r="AB179" s="31"/>
      <c r="AC179" s="2"/>
    </row>
    <row r="180">
      <c r="A180" s="45" t="s">
        <v>51</v>
      </c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7"/>
      <c r="AA180" s="46"/>
      <c r="AB180" s="39"/>
      <c r="AC180" s="2"/>
    </row>
    <row r="181">
      <c r="A181" s="47" t="s">
        <v>48</v>
      </c>
      <c r="B181" s="48"/>
      <c r="C181" s="49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50"/>
      <c r="W181" s="50"/>
      <c r="X181" s="50"/>
      <c r="Y181" s="50"/>
      <c r="Z181" s="50"/>
      <c r="AA181" s="51">
        <f t="shared" ref="AA181:AA182" si="63">SUM(B181:Z181)</f>
        <v>0</v>
      </c>
      <c r="AB181" s="31"/>
      <c r="AC181" s="2"/>
    </row>
    <row r="182">
      <c r="A182" s="47" t="s">
        <v>49</v>
      </c>
      <c r="B182" s="48"/>
      <c r="C182" s="49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50"/>
      <c r="W182" s="50"/>
      <c r="X182" s="50"/>
      <c r="Y182" s="50"/>
      <c r="Z182" s="50"/>
      <c r="AA182" s="51">
        <f t="shared" si="63"/>
        <v>0</v>
      </c>
      <c r="AB182" s="31"/>
      <c r="AC182" s="2"/>
    </row>
    <row r="183">
      <c r="A183" s="47" t="s">
        <v>50</v>
      </c>
      <c r="B183" s="49"/>
      <c r="C183" s="49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50"/>
      <c r="W183" s="50"/>
      <c r="X183" s="50"/>
      <c r="Y183" s="50"/>
      <c r="Z183" s="50"/>
      <c r="AA183" s="51" t="str">
        <f>AVERAGE(B183:Z183)</f>
        <v>#DIV/0!</v>
      </c>
      <c r="AB183" s="31"/>
      <c r="AC183" s="2"/>
    </row>
    <row r="184">
      <c r="A184" s="52" t="s">
        <v>53</v>
      </c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7"/>
      <c r="AA184" s="38"/>
      <c r="AB184" s="39"/>
      <c r="AC184" s="2"/>
    </row>
    <row r="185">
      <c r="A185" s="40" t="s">
        <v>48</v>
      </c>
      <c r="B185" s="41"/>
      <c r="C185" s="42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3"/>
      <c r="W185" s="43"/>
      <c r="X185" s="43"/>
      <c r="Y185" s="43"/>
      <c r="Z185" s="43"/>
      <c r="AA185" s="44">
        <f t="shared" ref="AA185:AA186" si="64">SUM(B185:Z185)</f>
        <v>0</v>
      </c>
      <c r="AB185" s="31"/>
      <c r="AC185" s="2"/>
    </row>
    <row r="186">
      <c r="A186" s="40" t="s">
        <v>49</v>
      </c>
      <c r="B186" s="41"/>
      <c r="C186" s="42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3"/>
      <c r="W186" s="43"/>
      <c r="X186" s="43"/>
      <c r="Y186" s="43"/>
      <c r="Z186" s="43"/>
      <c r="AA186" s="44">
        <f t="shared" si="64"/>
        <v>0</v>
      </c>
      <c r="AB186" s="31"/>
      <c r="AC186" s="2"/>
    </row>
    <row r="187">
      <c r="A187" s="53" t="s">
        <v>50</v>
      </c>
      <c r="B187" s="54"/>
      <c r="C187" s="54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6"/>
      <c r="W187" s="56"/>
      <c r="X187" s="56"/>
      <c r="Y187" s="56"/>
      <c r="Z187" s="56"/>
      <c r="AA187" s="57" t="str">
        <f>AVERAGE(B187:Z187)</f>
        <v>#DIV/0!</v>
      </c>
      <c r="AB187" s="58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59"/>
      <c r="AB188" s="59"/>
      <c r="AC188" s="2"/>
    </row>
    <row r="189">
      <c r="A189" s="13">
        <v>46042.0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5" t="s">
        <v>37</v>
      </c>
      <c r="AB189" s="16" t="s">
        <v>38</v>
      </c>
      <c r="AC189" s="2"/>
    </row>
    <row r="190">
      <c r="A190" s="17" t="s">
        <v>39</v>
      </c>
      <c r="B190" s="19">
        <v>1.0</v>
      </c>
      <c r="C190" s="19">
        <v>1.0</v>
      </c>
      <c r="D190" s="19">
        <v>1.0</v>
      </c>
      <c r="E190" s="19">
        <v>1.0</v>
      </c>
      <c r="F190" s="19">
        <v>1.0</v>
      </c>
      <c r="G190" s="19">
        <v>1.0</v>
      </c>
      <c r="H190" s="19">
        <v>1.0</v>
      </c>
      <c r="I190" s="19">
        <v>1.0</v>
      </c>
      <c r="J190" s="19">
        <v>1.0</v>
      </c>
      <c r="K190" s="19">
        <v>1.0</v>
      </c>
      <c r="L190" s="19">
        <v>1.0</v>
      </c>
      <c r="M190" s="19">
        <v>1.0</v>
      </c>
      <c r="N190" s="19">
        <v>1.0</v>
      </c>
      <c r="O190" s="19">
        <v>1.0</v>
      </c>
      <c r="P190" s="19">
        <v>1.0</v>
      </c>
      <c r="Q190" s="19">
        <v>1.0</v>
      </c>
      <c r="R190" s="19">
        <v>1.0</v>
      </c>
      <c r="S190" s="19">
        <v>1.0</v>
      </c>
      <c r="T190" s="19">
        <v>1.0</v>
      </c>
      <c r="U190" s="19">
        <v>0.0</v>
      </c>
      <c r="V190" s="19">
        <v>0.0</v>
      </c>
      <c r="W190" s="19">
        <v>1.0</v>
      </c>
      <c r="X190" s="19">
        <v>1.0</v>
      </c>
      <c r="Y190" s="19">
        <v>1.0</v>
      </c>
      <c r="Z190" s="18"/>
      <c r="AA190" s="20">
        <f t="shared" ref="AA190:AA194" si="65">SUM(B190:Z190)</f>
        <v>22</v>
      </c>
      <c r="AB190" s="21">
        <f t="shared" ref="AB190:AB193" si="66">AA190/(COUNT(B190:Z190)*1)</f>
        <v>0.9166666667</v>
      </c>
      <c r="AC190" s="2"/>
    </row>
    <row r="191">
      <c r="A191" s="17" t="s">
        <v>40</v>
      </c>
      <c r="B191" s="19">
        <v>1.0</v>
      </c>
      <c r="C191" s="19">
        <v>1.0</v>
      </c>
      <c r="D191" s="19">
        <v>1.0</v>
      </c>
      <c r="E191" s="19">
        <v>1.0</v>
      </c>
      <c r="F191" s="19">
        <v>1.0</v>
      </c>
      <c r="G191" s="19">
        <v>1.0</v>
      </c>
      <c r="H191" s="19">
        <v>1.0</v>
      </c>
      <c r="I191" s="19">
        <v>1.0</v>
      </c>
      <c r="J191" s="19">
        <v>1.0</v>
      </c>
      <c r="K191" s="19">
        <v>1.0</v>
      </c>
      <c r="L191" s="19">
        <v>1.0</v>
      </c>
      <c r="M191" s="19">
        <v>1.0</v>
      </c>
      <c r="N191" s="19">
        <v>1.0</v>
      </c>
      <c r="O191" s="19">
        <v>1.0</v>
      </c>
      <c r="P191" s="19">
        <v>1.0</v>
      </c>
      <c r="Q191" s="19">
        <v>1.0</v>
      </c>
      <c r="R191" s="19">
        <v>1.0</v>
      </c>
      <c r="S191" s="19">
        <v>1.0</v>
      </c>
      <c r="T191" s="19">
        <v>1.0</v>
      </c>
      <c r="U191" s="19">
        <v>0.0</v>
      </c>
      <c r="V191" s="19">
        <v>0.0</v>
      </c>
      <c r="W191" s="19">
        <v>1.0</v>
      </c>
      <c r="X191" s="19">
        <v>1.0</v>
      </c>
      <c r="Y191" s="19">
        <v>1.0</v>
      </c>
      <c r="Z191" s="18"/>
      <c r="AA191" s="20">
        <f t="shared" si="65"/>
        <v>22</v>
      </c>
      <c r="AB191" s="21">
        <f t="shared" si="66"/>
        <v>0.9166666667</v>
      </c>
      <c r="AC191" s="2"/>
    </row>
    <row r="192">
      <c r="A192" s="17" t="s">
        <v>41</v>
      </c>
      <c r="B192" s="19">
        <v>1.0</v>
      </c>
      <c r="C192" s="19">
        <v>0.0</v>
      </c>
      <c r="D192" s="19">
        <v>0.0</v>
      </c>
      <c r="E192" s="19">
        <v>0.0</v>
      </c>
      <c r="F192" s="19">
        <v>1.0</v>
      </c>
      <c r="G192" s="19">
        <v>1.0</v>
      </c>
      <c r="H192" s="19">
        <v>1.0</v>
      </c>
      <c r="I192" s="19">
        <v>1.0</v>
      </c>
      <c r="J192" s="19">
        <v>1.0</v>
      </c>
      <c r="K192" s="19">
        <v>1.0</v>
      </c>
      <c r="L192" s="19">
        <v>1.0</v>
      </c>
      <c r="M192" s="19">
        <v>1.0</v>
      </c>
      <c r="N192" s="19">
        <v>1.0</v>
      </c>
      <c r="O192" s="19">
        <v>1.0</v>
      </c>
      <c r="P192" s="19">
        <v>1.0</v>
      </c>
      <c r="Q192" s="19">
        <v>1.0</v>
      </c>
      <c r="R192" s="19">
        <v>1.0</v>
      </c>
      <c r="S192" s="19">
        <v>1.0</v>
      </c>
      <c r="T192" s="19">
        <v>1.0</v>
      </c>
      <c r="U192" s="19">
        <v>0.0</v>
      </c>
      <c r="V192" s="19">
        <v>0.0</v>
      </c>
      <c r="W192" s="19">
        <v>1.0</v>
      </c>
      <c r="X192" s="19">
        <v>1.0</v>
      </c>
      <c r="Y192" s="19">
        <v>1.0</v>
      </c>
      <c r="Z192" s="18"/>
      <c r="AA192" s="20">
        <f t="shared" si="65"/>
        <v>19</v>
      </c>
      <c r="AB192" s="21">
        <f t="shared" si="66"/>
        <v>0.7916666667</v>
      </c>
      <c r="AC192" s="2"/>
    </row>
    <row r="193">
      <c r="A193" s="17" t="s">
        <v>42</v>
      </c>
      <c r="B193" s="19">
        <v>1.0</v>
      </c>
      <c r="C193" s="19">
        <v>1.0</v>
      </c>
      <c r="D193" s="19">
        <v>1.0</v>
      </c>
      <c r="E193" s="19">
        <v>1.0</v>
      </c>
      <c r="F193" s="19">
        <v>1.0</v>
      </c>
      <c r="G193" s="19">
        <v>1.0</v>
      </c>
      <c r="H193" s="19">
        <v>1.0</v>
      </c>
      <c r="I193" s="19">
        <v>1.0</v>
      </c>
      <c r="J193" s="19">
        <v>1.0</v>
      </c>
      <c r="K193" s="19">
        <v>1.0</v>
      </c>
      <c r="L193" s="19">
        <v>1.0</v>
      </c>
      <c r="M193" s="19">
        <v>1.0</v>
      </c>
      <c r="N193" s="19">
        <v>1.0</v>
      </c>
      <c r="O193" s="19">
        <v>1.0</v>
      </c>
      <c r="P193" s="19">
        <v>1.0</v>
      </c>
      <c r="Q193" s="19">
        <v>1.0</v>
      </c>
      <c r="R193" s="19">
        <v>0.0</v>
      </c>
      <c r="S193" s="19">
        <v>1.0</v>
      </c>
      <c r="T193" s="19">
        <v>1.0</v>
      </c>
      <c r="U193" s="19">
        <v>0.0</v>
      </c>
      <c r="V193" s="19">
        <v>0.0</v>
      </c>
      <c r="W193" s="19">
        <v>0.0</v>
      </c>
      <c r="X193" s="19">
        <v>0.0</v>
      </c>
      <c r="Y193" s="19">
        <v>1.0</v>
      </c>
      <c r="Z193" s="18"/>
      <c r="AA193" s="20">
        <f t="shared" si="65"/>
        <v>19</v>
      </c>
      <c r="AB193" s="21">
        <f t="shared" si="66"/>
        <v>0.7916666667</v>
      </c>
      <c r="AC193" s="2"/>
    </row>
    <row r="194">
      <c r="A194" s="17" t="s">
        <v>43</v>
      </c>
      <c r="B194" s="22">
        <f t="shared" ref="B194:Z194" si="67">SUM(B190:B193)</f>
        <v>4</v>
      </c>
      <c r="C194" s="22">
        <f t="shared" si="67"/>
        <v>3</v>
      </c>
      <c r="D194" s="22">
        <f t="shared" si="67"/>
        <v>3</v>
      </c>
      <c r="E194" s="22">
        <f t="shared" si="67"/>
        <v>3</v>
      </c>
      <c r="F194" s="22">
        <f t="shared" si="67"/>
        <v>4</v>
      </c>
      <c r="G194" s="22">
        <f t="shared" si="67"/>
        <v>4</v>
      </c>
      <c r="H194" s="22">
        <f t="shared" si="67"/>
        <v>4</v>
      </c>
      <c r="I194" s="22">
        <f t="shared" si="67"/>
        <v>4</v>
      </c>
      <c r="J194" s="22">
        <f t="shared" si="67"/>
        <v>4</v>
      </c>
      <c r="K194" s="22">
        <f t="shared" si="67"/>
        <v>4</v>
      </c>
      <c r="L194" s="22">
        <f t="shared" si="67"/>
        <v>4</v>
      </c>
      <c r="M194" s="22">
        <f t="shared" si="67"/>
        <v>4</v>
      </c>
      <c r="N194" s="22">
        <f t="shared" si="67"/>
        <v>4</v>
      </c>
      <c r="O194" s="22">
        <f t="shared" si="67"/>
        <v>4</v>
      </c>
      <c r="P194" s="22">
        <f t="shared" si="67"/>
        <v>4</v>
      </c>
      <c r="Q194" s="22">
        <f t="shared" si="67"/>
        <v>4</v>
      </c>
      <c r="R194" s="22">
        <f t="shared" si="67"/>
        <v>3</v>
      </c>
      <c r="S194" s="22">
        <f t="shared" si="67"/>
        <v>4</v>
      </c>
      <c r="T194" s="22">
        <f t="shared" si="67"/>
        <v>4</v>
      </c>
      <c r="U194" s="22">
        <f t="shared" si="67"/>
        <v>0</v>
      </c>
      <c r="V194" s="22">
        <f t="shared" si="67"/>
        <v>0</v>
      </c>
      <c r="W194" s="22">
        <f t="shared" si="67"/>
        <v>3</v>
      </c>
      <c r="X194" s="22">
        <f t="shared" si="67"/>
        <v>3</v>
      </c>
      <c r="Y194" s="22">
        <f t="shared" si="67"/>
        <v>4</v>
      </c>
      <c r="Z194" s="22">
        <f t="shared" si="67"/>
        <v>0</v>
      </c>
      <c r="AA194" s="20">
        <f t="shared" si="65"/>
        <v>82</v>
      </c>
      <c r="AB194" s="23"/>
      <c r="AC194" s="2"/>
    </row>
    <row r="195">
      <c r="A195" s="17" t="s">
        <v>38</v>
      </c>
      <c r="B195" s="24">
        <f t="shared" ref="B195:Z195" si="68">B194/(COUNT(B190:B193)*1)</f>
        <v>1</v>
      </c>
      <c r="C195" s="24">
        <f t="shared" si="68"/>
        <v>0.75</v>
      </c>
      <c r="D195" s="24">
        <f t="shared" si="68"/>
        <v>0.75</v>
      </c>
      <c r="E195" s="24">
        <f t="shared" si="68"/>
        <v>0.75</v>
      </c>
      <c r="F195" s="24">
        <f t="shared" si="68"/>
        <v>1</v>
      </c>
      <c r="G195" s="24">
        <f t="shared" si="68"/>
        <v>1</v>
      </c>
      <c r="H195" s="24">
        <f t="shared" si="68"/>
        <v>1</v>
      </c>
      <c r="I195" s="24">
        <f t="shared" si="68"/>
        <v>1</v>
      </c>
      <c r="J195" s="24">
        <f t="shared" si="68"/>
        <v>1</v>
      </c>
      <c r="K195" s="24">
        <f t="shared" si="68"/>
        <v>1</v>
      </c>
      <c r="L195" s="24">
        <f t="shared" si="68"/>
        <v>1</v>
      </c>
      <c r="M195" s="24">
        <f t="shared" si="68"/>
        <v>1</v>
      </c>
      <c r="N195" s="24">
        <f t="shared" si="68"/>
        <v>1</v>
      </c>
      <c r="O195" s="24">
        <f t="shared" si="68"/>
        <v>1</v>
      </c>
      <c r="P195" s="24">
        <f t="shared" si="68"/>
        <v>1</v>
      </c>
      <c r="Q195" s="24">
        <f t="shared" si="68"/>
        <v>1</v>
      </c>
      <c r="R195" s="24">
        <f t="shared" si="68"/>
        <v>0.75</v>
      </c>
      <c r="S195" s="24">
        <f t="shared" si="68"/>
        <v>1</v>
      </c>
      <c r="T195" s="24">
        <f t="shared" si="68"/>
        <v>1</v>
      </c>
      <c r="U195" s="24">
        <f t="shared" si="68"/>
        <v>0</v>
      </c>
      <c r="V195" s="24">
        <f t="shared" si="68"/>
        <v>0</v>
      </c>
      <c r="W195" s="24">
        <f t="shared" si="68"/>
        <v>0.75</v>
      </c>
      <c r="X195" s="24">
        <f t="shared" si="68"/>
        <v>0.75</v>
      </c>
      <c r="Y195" s="24">
        <f t="shared" si="68"/>
        <v>1</v>
      </c>
      <c r="Z195" s="24" t="str">
        <f t="shared" si="68"/>
        <v>#DIV/0!</v>
      </c>
      <c r="AA195" s="25"/>
      <c r="AB195" s="26">
        <f>SUM(AB190:AB193)/4</f>
        <v>0.8541666667</v>
      </c>
      <c r="AC195" s="2"/>
    </row>
    <row r="196">
      <c r="A196" s="27" t="s">
        <v>44</v>
      </c>
      <c r="B196" s="60"/>
      <c r="C196" s="61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30">
        <f t="shared" ref="AA196:AA198" si="69">SUM(B196:Z196)</f>
        <v>0</v>
      </c>
      <c r="AB196" s="31"/>
      <c r="AC196" s="2"/>
    </row>
    <row r="197">
      <c r="A197" s="32" t="s">
        <v>45</v>
      </c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128">
        <v>5.0</v>
      </c>
      <c r="V197" s="60"/>
      <c r="W197" s="60"/>
      <c r="X197" s="60"/>
      <c r="Y197" s="60"/>
      <c r="Z197" s="60"/>
      <c r="AA197" s="30">
        <f t="shared" si="69"/>
        <v>5</v>
      </c>
      <c r="AB197" s="31"/>
      <c r="AC197" s="9"/>
    </row>
    <row r="198">
      <c r="A198" s="34" t="s">
        <v>46</v>
      </c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0"/>
      <c r="W198" s="60"/>
      <c r="X198" s="60"/>
      <c r="Y198" s="60"/>
      <c r="Z198" s="60"/>
      <c r="AA198" s="30">
        <f t="shared" si="69"/>
        <v>0</v>
      </c>
      <c r="AB198" s="31"/>
      <c r="AC198" s="9"/>
    </row>
    <row r="199">
      <c r="A199" s="35" t="s">
        <v>47</v>
      </c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7"/>
      <c r="AA199" s="38"/>
      <c r="AB199" s="39"/>
      <c r="AC199" s="2"/>
    </row>
    <row r="200">
      <c r="A200" s="40" t="s">
        <v>48</v>
      </c>
      <c r="B200" s="41"/>
      <c r="C200" s="42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3"/>
      <c r="W200" s="43"/>
      <c r="X200" s="43"/>
      <c r="Y200" s="43"/>
      <c r="Z200" s="43"/>
      <c r="AA200" s="44">
        <f t="shared" ref="AA200:AA201" si="70">SUM(B200:Z200)</f>
        <v>0</v>
      </c>
      <c r="AB200" s="31"/>
      <c r="AC200" s="2"/>
    </row>
    <row r="201">
      <c r="A201" s="40" t="s">
        <v>49</v>
      </c>
      <c r="B201" s="41"/>
      <c r="C201" s="42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3"/>
      <c r="W201" s="43"/>
      <c r="X201" s="43"/>
      <c r="Y201" s="43"/>
      <c r="Z201" s="43"/>
      <c r="AA201" s="44">
        <f t="shared" si="70"/>
        <v>0</v>
      </c>
      <c r="AB201" s="31"/>
      <c r="AC201" s="2"/>
    </row>
    <row r="202">
      <c r="A202" s="40" t="s">
        <v>50</v>
      </c>
      <c r="B202" s="42"/>
      <c r="C202" s="42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3"/>
      <c r="W202" s="43"/>
      <c r="X202" s="43"/>
      <c r="Y202" s="43"/>
      <c r="Z202" s="43"/>
      <c r="AA202" s="44" t="str">
        <f>AVERAGE(B202:Z202)</f>
        <v>#DIV/0!</v>
      </c>
      <c r="AB202" s="31"/>
      <c r="AC202" s="2"/>
    </row>
    <row r="203">
      <c r="A203" s="45" t="s">
        <v>51</v>
      </c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7"/>
      <c r="AA203" s="46"/>
      <c r="AB203" s="39"/>
      <c r="AC203" s="2"/>
    </row>
    <row r="204">
      <c r="A204" s="47" t="s">
        <v>48</v>
      </c>
      <c r="B204" s="48"/>
      <c r="C204" s="49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50"/>
      <c r="W204" s="50"/>
      <c r="X204" s="50"/>
      <c r="Y204" s="50"/>
      <c r="Z204" s="50"/>
      <c r="AA204" s="51">
        <f t="shared" ref="AA204:AA205" si="71">SUM(B204:Z204)</f>
        <v>0</v>
      </c>
      <c r="AB204" s="31"/>
      <c r="AC204" s="2"/>
    </row>
    <row r="205">
      <c r="A205" s="47" t="s">
        <v>49</v>
      </c>
      <c r="B205" s="48"/>
      <c r="C205" s="49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50"/>
      <c r="W205" s="50"/>
      <c r="X205" s="50"/>
      <c r="Y205" s="50"/>
      <c r="Z205" s="50"/>
      <c r="AA205" s="51">
        <f t="shared" si="71"/>
        <v>0</v>
      </c>
      <c r="AB205" s="31"/>
      <c r="AC205" s="2"/>
    </row>
    <row r="206">
      <c r="A206" s="47" t="s">
        <v>50</v>
      </c>
      <c r="B206" s="49"/>
      <c r="C206" s="49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50"/>
      <c r="W206" s="50"/>
      <c r="X206" s="50"/>
      <c r="Y206" s="50"/>
      <c r="Z206" s="50"/>
      <c r="AA206" s="51" t="str">
        <f>AVERAGE(B206:Z206)</f>
        <v>#DIV/0!</v>
      </c>
      <c r="AB206" s="31"/>
      <c r="AC206" s="2"/>
    </row>
    <row r="207">
      <c r="A207" s="52" t="s">
        <v>53</v>
      </c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7"/>
      <c r="AA207" s="38"/>
      <c r="AB207" s="39"/>
      <c r="AC207" s="2"/>
    </row>
    <row r="208">
      <c r="A208" s="40" t="s">
        <v>48</v>
      </c>
      <c r="B208" s="41"/>
      <c r="C208" s="42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3"/>
      <c r="W208" s="43"/>
      <c r="X208" s="43"/>
      <c r="Y208" s="43"/>
      <c r="Z208" s="43"/>
      <c r="AA208" s="44">
        <f t="shared" ref="AA208:AA209" si="72">SUM(B208:Z208)</f>
        <v>0</v>
      </c>
      <c r="AB208" s="31"/>
      <c r="AC208" s="2"/>
    </row>
    <row r="209">
      <c r="A209" s="40" t="s">
        <v>49</v>
      </c>
      <c r="B209" s="41"/>
      <c r="C209" s="42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3"/>
      <c r="W209" s="43"/>
      <c r="X209" s="43"/>
      <c r="Y209" s="43"/>
      <c r="Z209" s="43"/>
      <c r="AA209" s="44">
        <f t="shared" si="72"/>
        <v>0</v>
      </c>
      <c r="AB209" s="31"/>
      <c r="AC209" s="2"/>
    </row>
    <row r="210">
      <c r="A210" s="53" t="s">
        <v>50</v>
      </c>
      <c r="B210" s="54"/>
      <c r="C210" s="54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6"/>
      <c r="W210" s="56"/>
      <c r="X210" s="56"/>
      <c r="Y210" s="56"/>
      <c r="Z210" s="56"/>
      <c r="AA210" s="57" t="str">
        <f>AVERAGE(B210:Z210)</f>
        <v>#DIV/0!</v>
      </c>
      <c r="AB210" s="58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59"/>
      <c r="AB211" s="59"/>
      <c r="AC211" s="2"/>
    </row>
    <row r="212">
      <c r="A212" s="13">
        <v>46043.0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5" t="s">
        <v>37</v>
      </c>
      <c r="AB212" s="16" t="s">
        <v>38</v>
      </c>
      <c r="AC212" s="2"/>
    </row>
    <row r="213">
      <c r="A213" s="17" t="s">
        <v>39</v>
      </c>
      <c r="B213" s="19">
        <v>1.0</v>
      </c>
      <c r="C213" s="19">
        <v>1.0</v>
      </c>
      <c r="D213" s="19">
        <v>1.0</v>
      </c>
      <c r="E213" s="19">
        <v>1.0</v>
      </c>
      <c r="F213" s="19">
        <v>1.0</v>
      </c>
      <c r="G213" s="19">
        <v>1.0</v>
      </c>
      <c r="H213" s="19">
        <v>1.0</v>
      </c>
      <c r="I213" s="19">
        <v>1.0</v>
      </c>
      <c r="J213" s="19">
        <v>1.0</v>
      </c>
      <c r="K213" s="19">
        <v>0.0</v>
      </c>
      <c r="L213" s="19">
        <v>1.0</v>
      </c>
      <c r="M213" s="19">
        <v>0.0</v>
      </c>
      <c r="N213" s="19">
        <v>0.0</v>
      </c>
      <c r="O213" s="19">
        <v>1.0</v>
      </c>
      <c r="P213" s="19">
        <v>1.0</v>
      </c>
      <c r="Q213" s="19">
        <v>1.0</v>
      </c>
      <c r="R213" s="19">
        <v>1.0</v>
      </c>
      <c r="S213" s="19">
        <v>1.0</v>
      </c>
      <c r="T213" s="19">
        <v>0.0</v>
      </c>
      <c r="U213" s="19">
        <v>0.0</v>
      </c>
      <c r="V213" s="19">
        <v>1.0</v>
      </c>
      <c r="W213" s="18"/>
      <c r="X213" s="18"/>
      <c r="Y213" s="18"/>
      <c r="Z213" s="18"/>
      <c r="AA213" s="20">
        <f t="shared" ref="AA213:AA217" si="73">SUM(B213:Z213)</f>
        <v>16</v>
      </c>
      <c r="AB213" s="21">
        <f t="shared" ref="AB213:AB216" si="74">AA213/(COUNT(B213:Z213)*1)</f>
        <v>0.7619047619</v>
      </c>
      <c r="AC213" s="2"/>
    </row>
    <row r="214">
      <c r="A214" s="17" t="s">
        <v>40</v>
      </c>
      <c r="B214" s="19">
        <v>1.0</v>
      </c>
      <c r="C214" s="19">
        <v>1.0</v>
      </c>
      <c r="D214" s="19">
        <v>1.0</v>
      </c>
      <c r="E214" s="19">
        <v>1.0</v>
      </c>
      <c r="F214" s="19">
        <v>1.0</v>
      </c>
      <c r="G214" s="19">
        <v>1.0</v>
      </c>
      <c r="H214" s="19">
        <v>1.0</v>
      </c>
      <c r="I214" s="19">
        <v>1.0</v>
      </c>
      <c r="J214" s="19">
        <v>1.0</v>
      </c>
      <c r="K214" s="19">
        <v>1.0</v>
      </c>
      <c r="L214" s="19">
        <v>1.0</v>
      </c>
      <c r="M214" s="19">
        <v>1.0</v>
      </c>
      <c r="N214" s="19">
        <v>1.0</v>
      </c>
      <c r="O214" s="19">
        <v>1.0</v>
      </c>
      <c r="P214" s="19">
        <v>1.0</v>
      </c>
      <c r="Q214" s="19">
        <v>1.0</v>
      </c>
      <c r="R214" s="19">
        <v>1.0</v>
      </c>
      <c r="S214" s="19">
        <v>1.0</v>
      </c>
      <c r="T214" s="19">
        <v>1.0</v>
      </c>
      <c r="U214" s="19">
        <v>1.0</v>
      </c>
      <c r="V214" s="19">
        <v>1.0</v>
      </c>
      <c r="W214" s="18"/>
      <c r="X214" s="18"/>
      <c r="Y214" s="18"/>
      <c r="Z214" s="18"/>
      <c r="AA214" s="20">
        <f t="shared" si="73"/>
        <v>21</v>
      </c>
      <c r="AB214" s="21">
        <f t="shared" si="74"/>
        <v>1</v>
      </c>
      <c r="AC214" s="2"/>
    </row>
    <row r="215">
      <c r="A215" s="17" t="s">
        <v>41</v>
      </c>
      <c r="B215" s="19">
        <v>1.0</v>
      </c>
      <c r="C215" s="19">
        <v>0.0</v>
      </c>
      <c r="D215" s="19">
        <v>0.0</v>
      </c>
      <c r="E215" s="19">
        <v>1.0</v>
      </c>
      <c r="F215" s="19">
        <v>1.0</v>
      </c>
      <c r="G215" s="19">
        <v>1.0</v>
      </c>
      <c r="H215" s="19">
        <v>0.0</v>
      </c>
      <c r="I215" s="19">
        <v>0.0</v>
      </c>
      <c r="J215" s="19">
        <v>0.0</v>
      </c>
      <c r="K215" s="19">
        <v>0.0</v>
      </c>
      <c r="L215" s="19">
        <v>1.0</v>
      </c>
      <c r="M215" s="19">
        <v>1.0</v>
      </c>
      <c r="N215" s="19">
        <v>1.0</v>
      </c>
      <c r="O215" s="19">
        <v>1.0</v>
      </c>
      <c r="P215" s="19">
        <v>1.0</v>
      </c>
      <c r="Q215" s="19">
        <v>1.0</v>
      </c>
      <c r="R215" s="19">
        <v>1.0</v>
      </c>
      <c r="S215" s="19">
        <v>0.0</v>
      </c>
      <c r="T215" s="19">
        <v>0.0</v>
      </c>
      <c r="U215" s="19">
        <v>0.0</v>
      </c>
      <c r="V215" s="19">
        <v>0.0</v>
      </c>
      <c r="W215" s="18"/>
      <c r="X215" s="18"/>
      <c r="Y215" s="18"/>
      <c r="Z215" s="18"/>
      <c r="AA215" s="20">
        <f t="shared" si="73"/>
        <v>11</v>
      </c>
      <c r="AB215" s="21">
        <f t="shared" si="74"/>
        <v>0.5238095238</v>
      </c>
      <c r="AC215" s="2"/>
    </row>
    <row r="216">
      <c r="A216" s="17" t="s">
        <v>42</v>
      </c>
      <c r="B216" s="19">
        <v>1.0</v>
      </c>
      <c r="C216" s="19">
        <v>1.0</v>
      </c>
      <c r="D216" s="19">
        <v>1.0</v>
      </c>
      <c r="E216" s="19">
        <v>1.0</v>
      </c>
      <c r="F216" s="19">
        <v>1.0</v>
      </c>
      <c r="G216" s="19">
        <v>1.0</v>
      </c>
      <c r="H216" s="19">
        <v>1.0</v>
      </c>
      <c r="I216" s="19">
        <v>1.0</v>
      </c>
      <c r="J216" s="19">
        <v>1.0</v>
      </c>
      <c r="K216" s="19">
        <v>1.0</v>
      </c>
      <c r="L216" s="19">
        <v>1.0</v>
      </c>
      <c r="M216" s="19">
        <v>1.0</v>
      </c>
      <c r="N216" s="19">
        <v>1.0</v>
      </c>
      <c r="O216" s="19">
        <v>1.0</v>
      </c>
      <c r="P216" s="19">
        <v>1.0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8"/>
      <c r="X216" s="18"/>
      <c r="Y216" s="18"/>
      <c r="Z216" s="18"/>
      <c r="AA216" s="20">
        <f t="shared" si="73"/>
        <v>15</v>
      </c>
      <c r="AB216" s="21">
        <f t="shared" si="74"/>
        <v>0.7142857143</v>
      </c>
      <c r="AC216" s="2"/>
    </row>
    <row r="217">
      <c r="A217" s="17" t="s">
        <v>43</v>
      </c>
      <c r="B217" s="22">
        <f t="shared" ref="B217:Z217" si="75">SUM(B213:B216)</f>
        <v>4</v>
      </c>
      <c r="C217" s="22">
        <f t="shared" si="75"/>
        <v>3</v>
      </c>
      <c r="D217" s="22">
        <f t="shared" si="75"/>
        <v>3</v>
      </c>
      <c r="E217" s="22">
        <f t="shared" si="75"/>
        <v>4</v>
      </c>
      <c r="F217" s="22">
        <f t="shared" si="75"/>
        <v>4</v>
      </c>
      <c r="G217" s="22">
        <f t="shared" si="75"/>
        <v>4</v>
      </c>
      <c r="H217" s="22">
        <f t="shared" si="75"/>
        <v>3</v>
      </c>
      <c r="I217" s="22">
        <f t="shared" si="75"/>
        <v>3</v>
      </c>
      <c r="J217" s="22">
        <f t="shared" si="75"/>
        <v>3</v>
      </c>
      <c r="K217" s="22">
        <f t="shared" si="75"/>
        <v>2</v>
      </c>
      <c r="L217" s="22">
        <f t="shared" si="75"/>
        <v>4</v>
      </c>
      <c r="M217" s="22">
        <f t="shared" si="75"/>
        <v>3</v>
      </c>
      <c r="N217" s="22">
        <f t="shared" si="75"/>
        <v>3</v>
      </c>
      <c r="O217" s="22">
        <f t="shared" si="75"/>
        <v>4</v>
      </c>
      <c r="P217" s="22">
        <f t="shared" si="75"/>
        <v>4</v>
      </c>
      <c r="Q217" s="22">
        <f t="shared" si="75"/>
        <v>3</v>
      </c>
      <c r="R217" s="22">
        <f t="shared" si="75"/>
        <v>3</v>
      </c>
      <c r="S217" s="22">
        <f t="shared" si="75"/>
        <v>2</v>
      </c>
      <c r="T217" s="22">
        <f t="shared" si="75"/>
        <v>1</v>
      </c>
      <c r="U217" s="22">
        <f t="shared" si="75"/>
        <v>1</v>
      </c>
      <c r="V217" s="22">
        <f t="shared" si="75"/>
        <v>2</v>
      </c>
      <c r="W217" s="22">
        <f t="shared" si="75"/>
        <v>0</v>
      </c>
      <c r="X217" s="22">
        <f t="shared" si="75"/>
        <v>0</v>
      </c>
      <c r="Y217" s="22">
        <f t="shared" si="75"/>
        <v>0</v>
      </c>
      <c r="Z217" s="22">
        <f t="shared" si="75"/>
        <v>0</v>
      </c>
      <c r="AA217" s="20">
        <f t="shared" si="73"/>
        <v>63</v>
      </c>
      <c r="AB217" s="23"/>
      <c r="AC217" s="2"/>
    </row>
    <row r="218">
      <c r="A218" s="17" t="s">
        <v>38</v>
      </c>
      <c r="B218" s="24">
        <f t="shared" ref="B218:Z218" si="76">B217/(COUNT(B213:B216)*1)</f>
        <v>1</v>
      </c>
      <c r="C218" s="24">
        <f t="shared" si="76"/>
        <v>0.75</v>
      </c>
      <c r="D218" s="24">
        <f t="shared" si="76"/>
        <v>0.75</v>
      </c>
      <c r="E218" s="24">
        <f t="shared" si="76"/>
        <v>1</v>
      </c>
      <c r="F218" s="24">
        <f t="shared" si="76"/>
        <v>1</v>
      </c>
      <c r="G218" s="24">
        <f t="shared" si="76"/>
        <v>1</v>
      </c>
      <c r="H218" s="24">
        <f t="shared" si="76"/>
        <v>0.75</v>
      </c>
      <c r="I218" s="24">
        <f t="shared" si="76"/>
        <v>0.75</v>
      </c>
      <c r="J218" s="24">
        <f t="shared" si="76"/>
        <v>0.75</v>
      </c>
      <c r="K218" s="24">
        <f t="shared" si="76"/>
        <v>0.5</v>
      </c>
      <c r="L218" s="24">
        <f t="shared" si="76"/>
        <v>1</v>
      </c>
      <c r="M218" s="24">
        <f t="shared" si="76"/>
        <v>0.75</v>
      </c>
      <c r="N218" s="24">
        <f t="shared" si="76"/>
        <v>0.75</v>
      </c>
      <c r="O218" s="24">
        <f t="shared" si="76"/>
        <v>1</v>
      </c>
      <c r="P218" s="24">
        <f t="shared" si="76"/>
        <v>1</v>
      </c>
      <c r="Q218" s="24">
        <f t="shared" si="76"/>
        <v>0.75</v>
      </c>
      <c r="R218" s="24">
        <f t="shared" si="76"/>
        <v>0.75</v>
      </c>
      <c r="S218" s="24">
        <f t="shared" si="76"/>
        <v>0.5</v>
      </c>
      <c r="T218" s="24">
        <f t="shared" si="76"/>
        <v>0.25</v>
      </c>
      <c r="U218" s="24">
        <f t="shared" si="76"/>
        <v>0.25</v>
      </c>
      <c r="V218" s="24">
        <f t="shared" si="76"/>
        <v>0.5</v>
      </c>
      <c r="W218" s="24" t="str">
        <f t="shared" si="76"/>
        <v>#DIV/0!</v>
      </c>
      <c r="X218" s="24" t="str">
        <f t="shared" si="76"/>
        <v>#DIV/0!</v>
      </c>
      <c r="Y218" s="24" t="str">
        <f t="shared" si="76"/>
        <v>#DIV/0!</v>
      </c>
      <c r="Z218" s="24" t="str">
        <f t="shared" si="76"/>
        <v>#DIV/0!</v>
      </c>
      <c r="AA218" s="25"/>
      <c r="AB218" s="26">
        <f>SUM(AB213:AB216)/4</f>
        <v>0.75</v>
      </c>
      <c r="AC218" s="2"/>
    </row>
    <row r="219">
      <c r="A219" s="27" t="s">
        <v>44</v>
      </c>
      <c r="B219" s="28"/>
      <c r="C219" s="29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30">
        <f t="shared" ref="AA219:AA221" si="77">SUM(B219:Z219)</f>
        <v>0</v>
      </c>
      <c r="AB219" s="31"/>
      <c r="AC219" s="2"/>
    </row>
    <row r="220">
      <c r="A220" s="32" t="s">
        <v>45</v>
      </c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28"/>
      <c r="W220" s="28"/>
      <c r="X220" s="28"/>
      <c r="Y220" s="28"/>
      <c r="Z220" s="28"/>
      <c r="AA220" s="30">
        <f t="shared" si="77"/>
        <v>0</v>
      </c>
      <c r="AB220" s="31"/>
      <c r="AC220" s="9"/>
    </row>
    <row r="221">
      <c r="A221" s="34" t="s">
        <v>46</v>
      </c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28"/>
      <c r="W221" s="28"/>
      <c r="X221" s="28"/>
      <c r="Y221" s="28"/>
      <c r="Z221" s="28"/>
      <c r="AA221" s="30">
        <f t="shared" si="77"/>
        <v>0</v>
      </c>
      <c r="AB221" s="31"/>
      <c r="AC221" s="9"/>
    </row>
    <row r="222">
      <c r="A222" s="35" t="s">
        <v>47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7"/>
      <c r="AA222" s="38"/>
      <c r="AB222" s="39"/>
      <c r="AC222" s="2"/>
    </row>
    <row r="223">
      <c r="A223" s="40" t="s">
        <v>48</v>
      </c>
      <c r="B223" s="63"/>
      <c r="C223" s="64"/>
      <c r="D223" s="63"/>
      <c r="E223" s="63"/>
      <c r="F223" s="63"/>
      <c r="G223" s="63"/>
      <c r="H223" s="63"/>
      <c r="I223" s="63"/>
      <c r="J223" s="63"/>
      <c r="K223" s="65">
        <v>1.0</v>
      </c>
      <c r="L223" s="63"/>
      <c r="M223" s="65">
        <v>1.0</v>
      </c>
      <c r="N223" s="63"/>
      <c r="O223" s="63"/>
      <c r="P223" s="63"/>
      <c r="Q223" s="63"/>
      <c r="R223" s="63"/>
      <c r="S223" s="63"/>
      <c r="T223" s="65">
        <v>1.0</v>
      </c>
      <c r="U223" s="65">
        <v>1.0</v>
      </c>
      <c r="V223" s="66"/>
      <c r="W223" s="66"/>
      <c r="X223" s="66"/>
      <c r="Y223" s="66"/>
      <c r="Z223" s="66"/>
      <c r="AA223" s="44">
        <f t="shared" ref="AA223:AA224" si="78">SUM(B223:Z223)</f>
        <v>4</v>
      </c>
      <c r="AB223" s="31"/>
      <c r="AC223" s="2"/>
    </row>
    <row r="224">
      <c r="A224" s="40" t="s">
        <v>49</v>
      </c>
      <c r="B224" s="63"/>
      <c r="C224" s="64"/>
      <c r="D224" s="63"/>
      <c r="E224" s="63"/>
      <c r="F224" s="63"/>
      <c r="G224" s="63"/>
      <c r="H224" s="63"/>
      <c r="I224" s="63"/>
      <c r="J224" s="63"/>
      <c r="K224" s="65">
        <v>20.0</v>
      </c>
      <c r="L224" s="63"/>
      <c r="M224" s="65">
        <v>20.0</v>
      </c>
      <c r="N224" s="65">
        <v>20.0</v>
      </c>
      <c r="O224" s="63"/>
      <c r="P224" s="63"/>
      <c r="Q224" s="63"/>
      <c r="R224" s="63"/>
      <c r="S224" s="63"/>
      <c r="T224" s="65">
        <v>20.0</v>
      </c>
      <c r="U224" s="65">
        <v>10.0</v>
      </c>
      <c r="V224" s="66"/>
      <c r="W224" s="66"/>
      <c r="X224" s="66"/>
      <c r="Y224" s="66"/>
      <c r="Z224" s="66"/>
      <c r="AA224" s="44">
        <f t="shared" si="78"/>
        <v>90</v>
      </c>
      <c r="AB224" s="31"/>
      <c r="AC224" s="2"/>
    </row>
    <row r="225">
      <c r="A225" s="40" t="s">
        <v>50</v>
      </c>
      <c r="B225" s="64"/>
      <c r="C225" s="64"/>
      <c r="D225" s="63"/>
      <c r="E225" s="63"/>
      <c r="F225" s="63"/>
      <c r="G225" s="63"/>
      <c r="H225" s="63"/>
      <c r="I225" s="63"/>
      <c r="J225" s="63"/>
      <c r="K225" s="65">
        <v>1.0</v>
      </c>
      <c r="L225" s="63"/>
      <c r="M225" s="65">
        <v>1.0</v>
      </c>
      <c r="N225" s="63"/>
      <c r="O225" s="63"/>
      <c r="P225" s="63"/>
      <c r="Q225" s="63"/>
      <c r="R225" s="63"/>
      <c r="S225" s="63"/>
      <c r="T225" s="65">
        <v>1.0</v>
      </c>
      <c r="U225" s="65">
        <v>1.0</v>
      </c>
      <c r="V225" s="66"/>
      <c r="W225" s="66"/>
      <c r="X225" s="66"/>
      <c r="Y225" s="66"/>
      <c r="Z225" s="66"/>
      <c r="AA225" s="44">
        <f>AVERAGE(B225:Z225)</f>
        <v>1</v>
      </c>
      <c r="AB225" s="31"/>
      <c r="AC225" s="2"/>
    </row>
    <row r="226">
      <c r="A226" s="45" t="s">
        <v>51</v>
      </c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7"/>
      <c r="AA226" s="46"/>
      <c r="AB226" s="39"/>
      <c r="AC226" s="2"/>
    </row>
    <row r="227">
      <c r="A227" s="47" t="s">
        <v>48</v>
      </c>
      <c r="B227" s="48"/>
      <c r="C227" s="49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50"/>
      <c r="W227" s="50"/>
      <c r="X227" s="50"/>
      <c r="Y227" s="50"/>
      <c r="Z227" s="50"/>
      <c r="AA227" s="51">
        <f t="shared" ref="AA227:AA228" si="79">SUM(B227:Z227)</f>
        <v>0</v>
      </c>
      <c r="AB227" s="31"/>
      <c r="AC227" s="2"/>
    </row>
    <row r="228">
      <c r="A228" s="47" t="s">
        <v>49</v>
      </c>
      <c r="B228" s="48"/>
      <c r="C228" s="49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50"/>
      <c r="W228" s="50"/>
      <c r="X228" s="50"/>
      <c r="Y228" s="50"/>
      <c r="Z228" s="50"/>
      <c r="AA228" s="51">
        <f t="shared" si="79"/>
        <v>0</v>
      </c>
      <c r="AB228" s="31"/>
      <c r="AC228" s="2"/>
    </row>
    <row r="229">
      <c r="A229" s="47" t="s">
        <v>50</v>
      </c>
      <c r="B229" s="49"/>
      <c r="C229" s="49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50"/>
      <c r="W229" s="50"/>
      <c r="X229" s="50"/>
      <c r="Y229" s="50"/>
      <c r="Z229" s="50"/>
      <c r="AA229" s="51" t="str">
        <f>AVERAGE(B29:Z229)</f>
        <v>#DIV/0!</v>
      </c>
      <c r="AB229" s="31"/>
      <c r="AC229" s="2"/>
    </row>
    <row r="230">
      <c r="A230" s="52" t="s">
        <v>53</v>
      </c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7"/>
      <c r="AA230" s="38"/>
      <c r="AB230" s="39"/>
      <c r="AC230" s="2"/>
    </row>
    <row r="231">
      <c r="A231" s="40" t="s">
        <v>48</v>
      </c>
      <c r="B231" s="41"/>
      <c r="C231" s="42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3"/>
      <c r="W231" s="43"/>
      <c r="X231" s="43"/>
      <c r="Y231" s="43"/>
      <c r="Z231" s="43"/>
      <c r="AA231" s="44">
        <f t="shared" ref="AA231:AA232" si="80">SUM(B231:Z231)</f>
        <v>0</v>
      </c>
      <c r="AB231" s="31"/>
      <c r="AC231" s="2"/>
    </row>
    <row r="232">
      <c r="A232" s="40" t="s">
        <v>49</v>
      </c>
      <c r="B232" s="41"/>
      <c r="C232" s="42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3"/>
      <c r="W232" s="43"/>
      <c r="X232" s="43"/>
      <c r="Y232" s="43"/>
      <c r="Z232" s="43"/>
      <c r="AA232" s="44">
        <f t="shared" si="80"/>
        <v>0</v>
      </c>
      <c r="AB232" s="31"/>
      <c r="AC232" s="2"/>
    </row>
    <row r="233">
      <c r="A233" s="53" t="s">
        <v>50</v>
      </c>
      <c r="B233" s="54"/>
      <c r="C233" s="54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6"/>
      <c r="W233" s="56"/>
      <c r="X233" s="56"/>
      <c r="Y233" s="56"/>
      <c r="Z233" s="56"/>
      <c r="AA233" s="57" t="str">
        <f>AVERAGE(B233:Z233)</f>
        <v>#DIV/0!</v>
      </c>
      <c r="AB233" s="58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59"/>
      <c r="AB234" s="59"/>
      <c r="AC234" s="2"/>
    </row>
    <row r="235">
      <c r="A235" s="13">
        <v>46348.0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 t="s">
        <v>37</v>
      </c>
      <c r="AB235" s="16" t="s">
        <v>38</v>
      </c>
      <c r="AC235" s="2"/>
    </row>
    <row r="236">
      <c r="A236" s="17" t="s">
        <v>39</v>
      </c>
      <c r="B236" s="19">
        <v>1.0</v>
      </c>
      <c r="C236" s="19">
        <v>1.0</v>
      </c>
      <c r="D236" s="19">
        <v>1.0</v>
      </c>
      <c r="E236" s="19">
        <v>1.0</v>
      </c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20">
        <f t="shared" ref="AA236:AA240" si="81">SUM(B236:Z236)</f>
        <v>4</v>
      </c>
      <c r="AB236" s="21">
        <f t="shared" ref="AB236:AB239" si="82">AA236/(COUNT(B236:Z236)*1)</f>
        <v>1</v>
      </c>
      <c r="AC236" s="2"/>
    </row>
    <row r="237">
      <c r="A237" s="17" t="s">
        <v>40</v>
      </c>
      <c r="B237" s="19">
        <v>1.0</v>
      </c>
      <c r="C237" s="19">
        <v>1.0</v>
      </c>
      <c r="D237" s="19">
        <v>1.0</v>
      </c>
      <c r="E237" s="19">
        <v>1.0</v>
      </c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20">
        <f t="shared" si="81"/>
        <v>4</v>
      </c>
      <c r="AB237" s="21">
        <f t="shared" si="82"/>
        <v>1</v>
      </c>
      <c r="AC237" s="2"/>
    </row>
    <row r="238">
      <c r="A238" s="17" t="s">
        <v>41</v>
      </c>
      <c r="B238" s="19">
        <v>1.0</v>
      </c>
      <c r="C238" s="19">
        <v>1.0</v>
      </c>
      <c r="D238" s="19">
        <v>1.0</v>
      </c>
      <c r="E238" s="19">
        <v>1.0</v>
      </c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20">
        <f t="shared" si="81"/>
        <v>4</v>
      </c>
      <c r="AB238" s="21">
        <f t="shared" si="82"/>
        <v>1</v>
      </c>
      <c r="AC238" s="2"/>
    </row>
    <row r="239">
      <c r="A239" s="17" t="s">
        <v>42</v>
      </c>
      <c r="B239" s="19">
        <v>1.0</v>
      </c>
      <c r="C239" s="19">
        <v>1.0</v>
      </c>
      <c r="D239" s="19">
        <v>1.0</v>
      </c>
      <c r="E239" s="19">
        <v>1.0</v>
      </c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20">
        <f t="shared" si="81"/>
        <v>4</v>
      </c>
      <c r="AB239" s="21">
        <f t="shared" si="82"/>
        <v>1</v>
      </c>
      <c r="AC239" s="2"/>
    </row>
    <row r="240">
      <c r="A240" s="17" t="s">
        <v>43</v>
      </c>
      <c r="B240" s="22">
        <f t="shared" ref="B240:Z240" si="83">SUM(B236:B239)</f>
        <v>4</v>
      </c>
      <c r="C240" s="22">
        <f t="shared" si="83"/>
        <v>4</v>
      </c>
      <c r="D240" s="22">
        <f t="shared" si="83"/>
        <v>4</v>
      </c>
      <c r="E240" s="22">
        <f t="shared" si="83"/>
        <v>4</v>
      </c>
      <c r="F240" s="22">
        <f t="shared" si="83"/>
        <v>0</v>
      </c>
      <c r="G240" s="22">
        <f t="shared" si="83"/>
        <v>0</v>
      </c>
      <c r="H240" s="22">
        <f t="shared" si="83"/>
        <v>0</v>
      </c>
      <c r="I240" s="22">
        <f t="shared" si="83"/>
        <v>0</v>
      </c>
      <c r="J240" s="22">
        <f t="shared" si="83"/>
        <v>0</v>
      </c>
      <c r="K240" s="22">
        <f t="shared" si="83"/>
        <v>0</v>
      </c>
      <c r="L240" s="22">
        <f t="shared" si="83"/>
        <v>0</v>
      </c>
      <c r="M240" s="22">
        <f t="shared" si="83"/>
        <v>0</v>
      </c>
      <c r="N240" s="22">
        <f t="shared" si="83"/>
        <v>0</v>
      </c>
      <c r="O240" s="22">
        <f t="shared" si="83"/>
        <v>0</v>
      </c>
      <c r="P240" s="22">
        <f t="shared" si="83"/>
        <v>0</v>
      </c>
      <c r="Q240" s="22">
        <f t="shared" si="83"/>
        <v>0</v>
      </c>
      <c r="R240" s="22">
        <f t="shared" si="83"/>
        <v>0</v>
      </c>
      <c r="S240" s="22">
        <f t="shared" si="83"/>
        <v>0</v>
      </c>
      <c r="T240" s="22">
        <f t="shared" si="83"/>
        <v>0</v>
      </c>
      <c r="U240" s="22">
        <f t="shared" si="83"/>
        <v>0</v>
      </c>
      <c r="V240" s="22">
        <f t="shared" si="83"/>
        <v>0</v>
      </c>
      <c r="W240" s="22">
        <f t="shared" si="83"/>
        <v>0</v>
      </c>
      <c r="X240" s="22">
        <f t="shared" si="83"/>
        <v>0</v>
      </c>
      <c r="Y240" s="22">
        <f t="shared" si="83"/>
        <v>0</v>
      </c>
      <c r="Z240" s="22">
        <f t="shared" si="83"/>
        <v>0</v>
      </c>
      <c r="AA240" s="20">
        <f t="shared" si="81"/>
        <v>16</v>
      </c>
      <c r="AB240" s="23"/>
      <c r="AC240" s="2"/>
    </row>
    <row r="241">
      <c r="A241" s="17" t="s">
        <v>38</v>
      </c>
      <c r="B241" s="24">
        <f t="shared" ref="B241:Z241" si="84">B240/(COUNT(B236:B239)*1)</f>
        <v>1</v>
      </c>
      <c r="C241" s="24">
        <f t="shared" si="84"/>
        <v>1</v>
      </c>
      <c r="D241" s="24">
        <f t="shared" si="84"/>
        <v>1</v>
      </c>
      <c r="E241" s="24">
        <f t="shared" si="84"/>
        <v>1</v>
      </c>
      <c r="F241" s="24" t="str">
        <f t="shared" si="84"/>
        <v>#DIV/0!</v>
      </c>
      <c r="G241" s="24" t="str">
        <f t="shared" si="84"/>
        <v>#DIV/0!</v>
      </c>
      <c r="H241" s="24" t="str">
        <f t="shared" si="84"/>
        <v>#DIV/0!</v>
      </c>
      <c r="I241" s="24" t="str">
        <f t="shared" si="84"/>
        <v>#DIV/0!</v>
      </c>
      <c r="J241" s="24" t="str">
        <f t="shared" si="84"/>
        <v>#DIV/0!</v>
      </c>
      <c r="K241" s="24" t="str">
        <f t="shared" si="84"/>
        <v>#DIV/0!</v>
      </c>
      <c r="L241" s="24" t="str">
        <f t="shared" si="84"/>
        <v>#DIV/0!</v>
      </c>
      <c r="M241" s="24" t="str">
        <f t="shared" si="84"/>
        <v>#DIV/0!</v>
      </c>
      <c r="N241" s="24" t="str">
        <f t="shared" si="84"/>
        <v>#DIV/0!</v>
      </c>
      <c r="O241" s="24" t="str">
        <f t="shared" si="84"/>
        <v>#DIV/0!</v>
      </c>
      <c r="P241" s="24" t="str">
        <f t="shared" si="84"/>
        <v>#DIV/0!</v>
      </c>
      <c r="Q241" s="24" t="str">
        <f t="shared" si="84"/>
        <v>#DIV/0!</v>
      </c>
      <c r="R241" s="24" t="str">
        <f t="shared" si="84"/>
        <v>#DIV/0!</v>
      </c>
      <c r="S241" s="24" t="str">
        <f t="shared" si="84"/>
        <v>#DIV/0!</v>
      </c>
      <c r="T241" s="24" t="str">
        <f t="shared" si="84"/>
        <v>#DIV/0!</v>
      </c>
      <c r="U241" s="24" t="str">
        <f t="shared" si="84"/>
        <v>#DIV/0!</v>
      </c>
      <c r="V241" s="24" t="str">
        <f t="shared" si="84"/>
        <v>#DIV/0!</v>
      </c>
      <c r="W241" s="24" t="str">
        <f t="shared" si="84"/>
        <v>#DIV/0!</v>
      </c>
      <c r="X241" s="24" t="str">
        <f t="shared" si="84"/>
        <v>#DIV/0!</v>
      </c>
      <c r="Y241" s="24" t="str">
        <f t="shared" si="84"/>
        <v>#DIV/0!</v>
      </c>
      <c r="Z241" s="24" t="str">
        <f t="shared" si="84"/>
        <v>#DIV/0!</v>
      </c>
      <c r="AA241" s="25"/>
      <c r="AB241" s="26">
        <f>SUM(AB236:AB239)/4</f>
        <v>1</v>
      </c>
      <c r="AC241" s="2"/>
    </row>
    <row r="242">
      <c r="A242" s="27" t="s">
        <v>44</v>
      </c>
      <c r="B242" s="28"/>
      <c r="C242" s="29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30">
        <f t="shared" ref="AA242:AA244" si="85">SUM(B242:Z242)</f>
        <v>0</v>
      </c>
      <c r="AB242" s="31"/>
      <c r="AC242" s="2"/>
    </row>
    <row r="243">
      <c r="A243" s="32" t="s">
        <v>45</v>
      </c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28"/>
      <c r="W243" s="28"/>
      <c r="X243" s="28"/>
      <c r="Y243" s="28"/>
      <c r="Z243" s="28"/>
      <c r="AA243" s="30">
        <f t="shared" si="85"/>
        <v>0</v>
      </c>
      <c r="AB243" s="31"/>
      <c r="AC243" s="9"/>
    </row>
    <row r="244">
      <c r="A244" s="34" t="s">
        <v>46</v>
      </c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28"/>
      <c r="W244" s="28"/>
      <c r="X244" s="28"/>
      <c r="Y244" s="28"/>
      <c r="Z244" s="28"/>
      <c r="AA244" s="30">
        <f t="shared" si="85"/>
        <v>0</v>
      </c>
      <c r="AB244" s="31"/>
      <c r="AC244" s="9"/>
    </row>
    <row r="245">
      <c r="A245" s="35" t="s">
        <v>47</v>
      </c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7"/>
      <c r="AA245" s="38"/>
      <c r="AB245" s="39"/>
      <c r="AC245" s="2"/>
    </row>
    <row r="246">
      <c r="A246" s="40" t="s">
        <v>48</v>
      </c>
      <c r="B246" s="41"/>
      <c r="C246" s="42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3"/>
      <c r="W246" s="43"/>
      <c r="X246" s="43"/>
      <c r="Y246" s="43"/>
      <c r="Z246" s="43"/>
      <c r="AA246" s="44">
        <f t="shared" ref="AA246:AA247" si="86">SUM(B246:Z246)</f>
        <v>0</v>
      </c>
      <c r="AB246" s="31"/>
      <c r="AC246" s="2"/>
    </row>
    <row r="247">
      <c r="A247" s="40" t="s">
        <v>49</v>
      </c>
      <c r="B247" s="41"/>
      <c r="C247" s="42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3"/>
      <c r="W247" s="43"/>
      <c r="X247" s="43"/>
      <c r="Y247" s="43"/>
      <c r="Z247" s="43"/>
      <c r="AA247" s="44">
        <f t="shared" si="86"/>
        <v>0</v>
      </c>
      <c r="AB247" s="31"/>
      <c r="AC247" s="2"/>
    </row>
    <row r="248">
      <c r="A248" s="40" t="s">
        <v>50</v>
      </c>
      <c r="B248" s="42"/>
      <c r="C248" s="42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3"/>
      <c r="W248" s="43"/>
      <c r="X248" s="43"/>
      <c r="Y248" s="43"/>
      <c r="Z248" s="43"/>
      <c r="AA248" s="44" t="str">
        <f>AVERAGE(B248:Z248)</f>
        <v>#DIV/0!</v>
      </c>
      <c r="AB248" s="31"/>
      <c r="AC248" s="2"/>
    </row>
    <row r="249">
      <c r="A249" s="45" t="s">
        <v>51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7"/>
      <c r="AA249" s="46"/>
      <c r="AB249" s="39"/>
      <c r="AC249" s="2"/>
    </row>
    <row r="250">
      <c r="A250" s="47" t="s">
        <v>48</v>
      </c>
      <c r="B250" s="48"/>
      <c r="C250" s="49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50"/>
      <c r="W250" s="50"/>
      <c r="X250" s="50"/>
      <c r="Y250" s="50"/>
      <c r="Z250" s="50"/>
      <c r="AA250" s="51">
        <f t="shared" ref="AA250:AA251" si="87">SUM(B250:Z250)</f>
        <v>0</v>
      </c>
      <c r="AB250" s="31"/>
      <c r="AC250" s="2"/>
    </row>
    <row r="251">
      <c r="A251" s="47" t="s">
        <v>49</v>
      </c>
      <c r="B251" s="48"/>
      <c r="C251" s="49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50"/>
      <c r="W251" s="50"/>
      <c r="X251" s="50"/>
      <c r="Y251" s="50"/>
      <c r="Z251" s="50"/>
      <c r="AA251" s="51">
        <f t="shared" si="87"/>
        <v>0</v>
      </c>
      <c r="AB251" s="31"/>
      <c r="AC251" s="2"/>
    </row>
    <row r="252">
      <c r="A252" s="47" t="s">
        <v>50</v>
      </c>
      <c r="B252" s="49"/>
      <c r="C252" s="49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50"/>
      <c r="W252" s="50"/>
      <c r="X252" s="50"/>
      <c r="Y252" s="50"/>
      <c r="Z252" s="50"/>
      <c r="AA252" s="51" t="str">
        <f>AVERAGE(B252:Z252)</f>
        <v>#DIV/0!</v>
      </c>
      <c r="AB252" s="31"/>
      <c r="AC252" s="2"/>
    </row>
    <row r="253">
      <c r="A253" s="52" t="s">
        <v>53</v>
      </c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7"/>
      <c r="AA253" s="38"/>
      <c r="AB253" s="39"/>
      <c r="AC253" s="2"/>
    </row>
    <row r="254">
      <c r="A254" s="40" t="s">
        <v>48</v>
      </c>
      <c r="B254" s="41"/>
      <c r="C254" s="42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3"/>
      <c r="W254" s="43"/>
      <c r="X254" s="43"/>
      <c r="Y254" s="43"/>
      <c r="Z254" s="43"/>
      <c r="AA254" s="44">
        <f t="shared" ref="AA254:AA255" si="88">SUM(B254:Z254)</f>
        <v>0</v>
      </c>
      <c r="AB254" s="31"/>
      <c r="AC254" s="2"/>
    </row>
    <row r="255">
      <c r="A255" s="40" t="s">
        <v>49</v>
      </c>
      <c r="B255" s="41"/>
      <c r="C255" s="42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3"/>
      <c r="W255" s="43"/>
      <c r="X255" s="43"/>
      <c r="Y255" s="43"/>
      <c r="Z255" s="43"/>
      <c r="AA255" s="44">
        <f t="shared" si="88"/>
        <v>0</v>
      </c>
      <c r="AB255" s="31"/>
      <c r="AC255" s="2"/>
    </row>
    <row r="256">
      <c r="A256" s="53" t="s">
        <v>50</v>
      </c>
      <c r="B256" s="54"/>
      <c r="C256" s="54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6"/>
      <c r="W256" s="56"/>
      <c r="X256" s="56"/>
      <c r="Y256" s="56"/>
      <c r="Z256" s="56"/>
      <c r="AA256" s="57" t="str">
        <f>AVERAGE(B256:Z256)</f>
        <v>#DIV/0!</v>
      </c>
      <c r="AB256" s="58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59"/>
      <c r="AB257" s="59"/>
      <c r="AC257" s="2"/>
    </row>
    <row r="258">
      <c r="A258" s="13">
        <v>46049.0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5" t="s">
        <v>37</v>
      </c>
      <c r="AB258" s="16" t="s">
        <v>38</v>
      </c>
      <c r="AC258" s="2"/>
    </row>
    <row r="259">
      <c r="A259" s="17" t="s">
        <v>39</v>
      </c>
      <c r="B259" s="19">
        <v>1.0</v>
      </c>
      <c r="C259" s="19">
        <v>1.0</v>
      </c>
      <c r="D259" s="19">
        <v>0.0</v>
      </c>
      <c r="E259" s="19">
        <v>0.0</v>
      </c>
      <c r="F259" s="19">
        <v>0.0</v>
      </c>
      <c r="G259" s="19">
        <v>0.0</v>
      </c>
      <c r="H259" s="19">
        <v>0.0</v>
      </c>
      <c r="I259" s="19">
        <v>1.0</v>
      </c>
      <c r="J259" s="19">
        <v>1.0</v>
      </c>
      <c r="K259" s="19">
        <v>1.0</v>
      </c>
      <c r="L259" s="19">
        <v>1.0</v>
      </c>
      <c r="M259" s="19">
        <v>1.0</v>
      </c>
      <c r="N259" s="19">
        <v>1.0</v>
      </c>
      <c r="O259" s="18"/>
      <c r="P259" s="18"/>
      <c r="Q259" s="19">
        <v>0.0</v>
      </c>
      <c r="R259" s="19">
        <v>0.0</v>
      </c>
      <c r="S259" s="19">
        <v>1.0</v>
      </c>
      <c r="T259" s="19">
        <v>1.0</v>
      </c>
      <c r="U259" s="19">
        <v>0.0</v>
      </c>
      <c r="V259" s="19">
        <v>1.0</v>
      </c>
      <c r="W259" s="19">
        <v>1.0</v>
      </c>
      <c r="X259" s="19">
        <v>1.0</v>
      </c>
      <c r="Y259" s="19">
        <v>1.0</v>
      </c>
      <c r="Z259" s="19">
        <v>1.0</v>
      </c>
      <c r="AA259" s="20">
        <f t="shared" ref="AA259:AA263" si="89">SUM(B259:Z259)</f>
        <v>15</v>
      </c>
      <c r="AB259" s="21">
        <f t="shared" ref="AB259:AB262" si="90">AA259/(COUNT(B259:Z259)*1)</f>
        <v>0.652173913</v>
      </c>
      <c r="AC259" s="2"/>
    </row>
    <row r="260">
      <c r="A260" s="17" t="s">
        <v>40</v>
      </c>
      <c r="B260" s="19">
        <v>1.0</v>
      </c>
      <c r="C260" s="19">
        <v>1.0</v>
      </c>
      <c r="D260" s="19">
        <v>1.0</v>
      </c>
      <c r="E260" s="19">
        <v>1.0</v>
      </c>
      <c r="F260" s="19">
        <v>1.0</v>
      </c>
      <c r="G260" s="19">
        <v>1.0</v>
      </c>
      <c r="H260" s="19">
        <v>1.0</v>
      </c>
      <c r="I260" s="19">
        <v>1.0</v>
      </c>
      <c r="J260" s="19">
        <v>1.0</v>
      </c>
      <c r="K260" s="19">
        <v>1.0</v>
      </c>
      <c r="L260" s="19">
        <v>1.0</v>
      </c>
      <c r="M260" s="19">
        <v>1.0</v>
      </c>
      <c r="N260" s="19">
        <v>1.0</v>
      </c>
      <c r="O260" s="18"/>
      <c r="P260" s="18"/>
      <c r="Q260" s="19">
        <v>1.0</v>
      </c>
      <c r="R260" s="19">
        <v>1.0</v>
      </c>
      <c r="S260" s="19">
        <v>1.0</v>
      </c>
      <c r="T260" s="19">
        <v>1.0</v>
      </c>
      <c r="U260" s="19">
        <v>0.0</v>
      </c>
      <c r="V260" s="19">
        <v>1.0</v>
      </c>
      <c r="W260" s="19">
        <v>1.0</v>
      </c>
      <c r="X260" s="19">
        <v>1.0</v>
      </c>
      <c r="Y260" s="19">
        <v>1.0</v>
      </c>
      <c r="Z260" s="19">
        <v>1.0</v>
      </c>
      <c r="AA260" s="20">
        <f t="shared" si="89"/>
        <v>22</v>
      </c>
      <c r="AB260" s="21">
        <f t="shared" si="90"/>
        <v>0.9565217391</v>
      </c>
      <c r="AC260" s="2"/>
    </row>
    <row r="261">
      <c r="A261" s="17" t="s">
        <v>41</v>
      </c>
      <c r="B261" s="19">
        <v>1.0</v>
      </c>
      <c r="C261" s="19">
        <v>1.0</v>
      </c>
      <c r="D261" s="19">
        <v>0.0</v>
      </c>
      <c r="E261" s="19">
        <v>0.0</v>
      </c>
      <c r="F261" s="19">
        <v>1.0</v>
      </c>
      <c r="G261" s="19">
        <v>1.0</v>
      </c>
      <c r="H261" s="19">
        <v>1.0</v>
      </c>
      <c r="I261" s="19">
        <v>1.0</v>
      </c>
      <c r="J261" s="19">
        <v>1.0</v>
      </c>
      <c r="K261" s="19">
        <v>1.0</v>
      </c>
      <c r="L261" s="19">
        <v>1.0</v>
      </c>
      <c r="M261" s="19">
        <v>1.0</v>
      </c>
      <c r="N261" s="19">
        <v>1.0</v>
      </c>
      <c r="O261" s="18"/>
      <c r="P261" s="18"/>
      <c r="Q261" s="19">
        <v>0.0</v>
      </c>
      <c r="R261" s="19">
        <v>0.0</v>
      </c>
      <c r="S261" s="19">
        <v>1.0</v>
      </c>
      <c r="T261" s="19">
        <v>1.0</v>
      </c>
      <c r="U261" s="19">
        <v>0.0</v>
      </c>
      <c r="V261" s="19">
        <v>1.0</v>
      </c>
      <c r="W261" s="19">
        <v>1.0</v>
      </c>
      <c r="X261" s="19">
        <v>1.0</v>
      </c>
      <c r="Y261" s="19">
        <v>1.0</v>
      </c>
      <c r="Z261" s="19">
        <v>1.0</v>
      </c>
      <c r="AA261" s="20">
        <f t="shared" si="89"/>
        <v>18</v>
      </c>
      <c r="AB261" s="21">
        <f t="shared" si="90"/>
        <v>0.7826086957</v>
      </c>
      <c r="AC261" s="2"/>
    </row>
    <row r="262">
      <c r="A262" s="17" t="s">
        <v>42</v>
      </c>
      <c r="B262" s="19">
        <v>1.0</v>
      </c>
      <c r="C262" s="19">
        <v>1.0</v>
      </c>
      <c r="D262" s="19">
        <v>1.0</v>
      </c>
      <c r="E262" s="19">
        <v>1.0</v>
      </c>
      <c r="F262" s="19">
        <v>1.0</v>
      </c>
      <c r="G262" s="19">
        <v>1.0</v>
      </c>
      <c r="H262" s="19">
        <v>1.0</v>
      </c>
      <c r="I262" s="19">
        <v>1.0</v>
      </c>
      <c r="J262" s="19">
        <v>1.0</v>
      </c>
      <c r="K262" s="19">
        <v>1.0</v>
      </c>
      <c r="L262" s="19">
        <v>1.0</v>
      </c>
      <c r="M262" s="19">
        <v>1.0</v>
      </c>
      <c r="N262" s="19">
        <v>1.0</v>
      </c>
      <c r="O262" s="18"/>
      <c r="P262" s="18"/>
      <c r="Q262" s="19">
        <v>0.0</v>
      </c>
      <c r="R262" s="19">
        <v>1.0</v>
      </c>
      <c r="S262" s="19">
        <v>1.0</v>
      </c>
      <c r="T262" s="19">
        <v>1.0</v>
      </c>
      <c r="U262" s="19">
        <v>0.0</v>
      </c>
      <c r="V262" s="19">
        <v>1.0</v>
      </c>
      <c r="W262" s="19">
        <v>1.0</v>
      </c>
      <c r="X262" s="19">
        <v>1.0</v>
      </c>
      <c r="Y262" s="19">
        <v>1.0</v>
      </c>
      <c r="Z262" s="19">
        <v>1.0</v>
      </c>
      <c r="AA262" s="20">
        <f t="shared" si="89"/>
        <v>21</v>
      </c>
      <c r="AB262" s="21">
        <f t="shared" si="90"/>
        <v>0.9130434783</v>
      </c>
      <c r="AC262" s="2"/>
    </row>
    <row r="263">
      <c r="A263" s="17" t="s">
        <v>43</v>
      </c>
      <c r="B263" s="22">
        <f t="shared" ref="B263:Z263" si="91">SUM(B259:B262)</f>
        <v>4</v>
      </c>
      <c r="C263" s="22">
        <f t="shared" si="91"/>
        <v>4</v>
      </c>
      <c r="D263" s="22">
        <f t="shared" si="91"/>
        <v>2</v>
      </c>
      <c r="E263" s="22">
        <f t="shared" si="91"/>
        <v>2</v>
      </c>
      <c r="F263" s="22">
        <f t="shared" si="91"/>
        <v>3</v>
      </c>
      <c r="G263" s="22">
        <f t="shared" si="91"/>
        <v>3</v>
      </c>
      <c r="H263" s="22">
        <f t="shared" si="91"/>
        <v>3</v>
      </c>
      <c r="I263" s="22">
        <f t="shared" si="91"/>
        <v>4</v>
      </c>
      <c r="J263" s="22">
        <f t="shared" si="91"/>
        <v>4</v>
      </c>
      <c r="K263" s="22">
        <f t="shared" si="91"/>
        <v>4</v>
      </c>
      <c r="L263" s="22">
        <f t="shared" si="91"/>
        <v>4</v>
      </c>
      <c r="M263" s="22">
        <f t="shared" si="91"/>
        <v>4</v>
      </c>
      <c r="N263" s="22">
        <f t="shared" si="91"/>
        <v>4</v>
      </c>
      <c r="O263" s="22">
        <f t="shared" si="91"/>
        <v>0</v>
      </c>
      <c r="P263" s="22">
        <f t="shared" si="91"/>
        <v>0</v>
      </c>
      <c r="Q263" s="22">
        <f t="shared" si="91"/>
        <v>1</v>
      </c>
      <c r="R263" s="22">
        <f t="shared" si="91"/>
        <v>2</v>
      </c>
      <c r="S263" s="22">
        <f t="shared" si="91"/>
        <v>4</v>
      </c>
      <c r="T263" s="22">
        <f t="shared" si="91"/>
        <v>4</v>
      </c>
      <c r="U263" s="22">
        <f t="shared" si="91"/>
        <v>0</v>
      </c>
      <c r="V263" s="22">
        <f t="shared" si="91"/>
        <v>4</v>
      </c>
      <c r="W263" s="22">
        <f t="shared" si="91"/>
        <v>4</v>
      </c>
      <c r="X263" s="22">
        <f t="shared" si="91"/>
        <v>4</v>
      </c>
      <c r="Y263" s="22">
        <f t="shared" si="91"/>
        <v>4</v>
      </c>
      <c r="Z263" s="22">
        <f t="shared" si="91"/>
        <v>4</v>
      </c>
      <c r="AA263" s="20">
        <f t="shared" si="89"/>
        <v>76</v>
      </c>
      <c r="AB263" s="23"/>
      <c r="AC263" s="2"/>
    </row>
    <row r="264">
      <c r="A264" s="17" t="s">
        <v>38</v>
      </c>
      <c r="B264" s="24">
        <f t="shared" ref="B264:Z264" si="92">B263/(COUNT(B259:B262)*1)</f>
        <v>1</v>
      </c>
      <c r="C264" s="24">
        <f t="shared" si="92"/>
        <v>1</v>
      </c>
      <c r="D264" s="24">
        <f t="shared" si="92"/>
        <v>0.5</v>
      </c>
      <c r="E264" s="24">
        <f t="shared" si="92"/>
        <v>0.5</v>
      </c>
      <c r="F264" s="24">
        <f t="shared" si="92"/>
        <v>0.75</v>
      </c>
      <c r="G264" s="24">
        <f t="shared" si="92"/>
        <v>0.75</v>
      </c>
      <c r="H264" s="24">
        <f t="shared" si="92"/>
        <v>0.75</v>
      </c>
      <c r="I264" s="24">
        <f t="shared" si="92"/>
        <v>1</v>
      </c>
      <c r="J264" s="24">
        <f t="shared" si="92"/>
        <v>1</v>
      </c>
      <c r="K264" s="24">
        <f t="shared" si="92"/>
        <v>1</v>
      </c>
      <c r="L264" s="24">
        <f t="shared" si="92"/>
        <v>1</v>
      </c>
      <c r="M264" s="24">
        <f t="shared" si="92"/>
        <v>1</v>
      </c>
      <c r="N264" s="24">
        <f t="shared" si="92"/>
        <v>1</v>
      </c>
      <c r="O264" s="24" t="str">
        <f t="shared" si="92"/>
        <v>#DIV/0!</v>
      </c>
      <c r="P264" s="24" t="str">
        <f t="shared" si="92"/>
        <v>#DIV/0!</v>
      </c>
      <c r="Q264" s="24">
        <f t="shared" si="92"/>
        <v>0.25</v>
      </c>
      <c r="R264" s="24">
        <f t="shared" si="92"/>
        <v>0.5</v>
      </c>
      <c r="S264" s="24">
        <f t="shared" si="92"/>
        <v>1</v>
      </c>
      <c r="T264" s="24">
        <f t="shared" si="92"/>
        <v>1</v>
      </c>
      <c r="U264" s="24">
        <f t="shared" si="92"/>
        <v>0</v>
      </c>
      <c r="V264" s="24">
        <f t="shared" si="92"/>
        <v>1</v>
      </c>
      <c r="W264" s="24">
        <f t="shared" si="92"/>
        <v>1</v>
      </c>
      <c r="X264" s="24">
        <f t="shared" si="92"/>
        <v>1</v>
      </c>
      <c r="Y264" s="24">
        <f t="shared" si="92"/>
        <v>1</v>
      </c>
      <c r="Z264" s="24">
        <f t="shared" si="92"/>
        <v>1</v>
      </c>
      <c r="AA264" s="25"/>
      <c r="AB264" s="26">
        <f>SUM(AB259:AB262)/4</f>
        <v>0.8260869565</v>
      </c>
      <c r="AC264" s="2"/>
    </row>
    <row r="265">
      <c r="A265" s="27" t="s">
        <v>44</v>
      </c>
      <c r="B265" s="28"/>
      <c r="C265" s="29"/>
      <c r="D265" s="132">
        <v>20.0</v>
      </c>
      <c r="E265" s="132">
        <v>20.0</v>
      </c>
      <c r="F265" s="132">
        <v>20.0</v>
      </c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30">
        <f t="shared" ref="AA265:AA267" si="93">SUM(B265:Z265)</f>
        <v>60</v>
      </c>
      <c r="AB265" s="31"/>
      <c r="AC265" s="2"/>
    </row>
    <row r="266">
      <c r="A266" s="32" t="s">
        <v>45</v>
      </c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28"/>
      <c r="W266" s="28"/>
      <c r="X266" s="28"/>
      <c r="Y266" s="28"/>
      <c r="Z266" s="28"/>
      <c r="AA266" s="30">
        <f t="shared" si="93"/>
        <v>0</v>
      </c>
      <c r="AB266" s="31"/>
      <c r="AC266" s="9"/>
    </row>
    <row r="267">
      <c r="A267" s="34" t="s">
        <v>46</v>
      </c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28"/>
      <c r="W267" s="28"/>
      <c r="X267" s="28"/>
      <c r="Y267" s="28"/>
      <c r="Z267" s="28"/>
      <c r="AA267" s="30">
        <f t="shared" si="93"/>
        <v>0</v>
      </c>
      <c r="AB267" s="31"/>
      <c r="AC267" s="9"/>
    </row>
    <row r="268">
      <c r="A268" s="35" t="s">
        <v>47</v>
      </c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7"/>
      <c r="AA268" s="38"/>
      <c r="AB268" s="39"/>
      <c r="AC268" s="2"/>
    </row>
    <row r="269">
      <c r="A269" s="40" t="s">
        <v>48</v>
      </c>
      <c r="B269" s="63"/>
      <c r="C269" s="64"/>
      <c r="D269" s="65">
        <v>1.0</v>
      </c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5">
        <v>1.0</v>
      </c>
      <c r="R269" s="63"/>
      <c r="S269" s="63"/>
      <c r="T269" s="63"/>
      <c r="U269" s="63"/>
      <c r="V269" s="66"/>
      <c r="W269" s="66"/>
      <c r="X269" s="66"/>
      <c r="Y269" s="66"/>
      <c r="Z269" s="66"/>
      <c r="AA269" s="44">
        <f t="shared" ref="AA269:AA270" si="94">SUM(B269:Z269)</f>
        <v>2</v>
      </c>
      <c r="AB269" s="31"/>
      <c r="AC269" s="2"/>
    </row>
    <row r="270">
      <c r="A270" s="40" t="s">
        <v>49</v>
      </c>
      <c r="B270" s="63"/>
      <c r="C270" s="64"/>
      <c r="D270" s="65">
        <v>20.0</v>
      </c>
      <c r="E270" s="65">
        <v>20.0</v>
      </c>
      <c r="F270" s="65">
        <v>20.0</v>
      </c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5">
        <v>20.0</v>
      </c>
      <c r="R270" s="65">
        <v>20.0</v>
      </c>
      <c r="S270" s="63"/>
      <c r="T270" s="63"/>
      <c r="U270" s="63"/>
      <c r="V270" s="66"/>
      <c r="W270" s="66"/>
      <c r="X270" s="66"/>
      <c r="Y270" s="66"/>
      <c r="Z270" s="66"/>
      <c r="AA270" s="44">
        <f t="shared" si="94"/>
        <v>100</v>
      </c>
      <c r="AB270" s="31"/>
      <c r="AC270" s="2"/>
    </row>
    <row r="271">
      <c r="A271" s="40" t="s">
        <v>50</v>
      </c>
      <c r="B271" s="64"/>
      <c r="C271" s="64"/>
      <c r="D271" s="65">
        <v>1.0</v>
      </c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5">
        <v>1.0</v>
      </c>
      <c r="R271" s="63"/>
      <c r="S271" s="63"/>
      <c r="T271" s="63"/>
      <c r="U271" s="63"/>
      <c r="V271" s="66"/>
      <c r="W271" s="66"/>
      <c r="X271" s="66"/>
      <c r="Y271" s="66"/>
      <c r="Z271" s="66"/>
      <c r="AA271" s="44">
        <f>AVERAGE(B271:Z271)</f>
        <v>1</v>
      </c>
      <c r="AB271" s="31"/>
      <c r="AC271" s="2"/>
    </row>
    <row r="272">
      <c r="A272" s="45" t="s">
        <v>51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7"/>
      <c r="AA272" s="46"/>
      <c r="AB272" s="39"/>
      <c r="AC272" s="2"/>
    </row>
    <row r="273">
      <c r="A273" s="47" t="s">
        <v>48</v>
      </c>
      <c r="B273" s="48"/>
      <c r="C273" s="49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50"/>
      <c r="W273" s="50"/>
      <c r="X273" s="50"/>
      <c r="Y273" s="50"/>
      <c r="Z273" s="50"/>
      <c r="AA273" s="51">
        <f t="shared" ref="AA273:AA274" si="95">SUM(B273:Z273)</f>
        <v>0</v>
      </c>
      <c r="AB273" s="31"/>
      <c r="AC273" s="2"/>
    </row>
    <row r="274">
      <c r="A274" s="47" t="s">
        <v>49</v>
      </c>
      <c r="B274" s="48"/>
      <c r="C274" s="49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50"/>
      <c r="W274" s="50"/>
      <c r="X274" s="50"/>
      <c r="Y274" s="50"/>
      <c r="Z274" s="50"/>
      <c r="AA274" s="51">
        <f t="shared" si="95"/>
        <v>0</v>
      </c>
      <c r="AB274" s="31"/>
      <c r="AC274" s="2"/>
    </row>
    <row r="275">
      <c r="A275" s="47" t="s">
        <v>50</v>
      </c>
      <c r="B275" s="49"/>
      <c r="C275" s="49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50"/>
      <c r="W275" s="50"/>
      <c r="X275" s="50"/>
      <c r="Y275" s="50"/>
      <c r="Z275" s="50"/>
      <c r="AA275" s="51" t="str">
        <f>AVERAGE(B275:Z275)</f>
        <v>#DIV/0!</v>
      </c>
      <c r="AB275" s="31"/>
      <c r="AC275" s="2"/>
    </row>
    <row r="276">
      <c r="A276" s="52" t="s">
        <v>53</v>
      </c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7"/>
      <c r="AA276" s="38"/>
      <c r="AB276" s="39"/>
      <c r="AC276" s="2"/>
    </row>
    <row r="277">
      <c r="A277" s="40" t="s">
        <v>48</v>
      </c>
      <c r="B277" s="41"/>
      <c r="C277" s="42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3"/>
      <c r="W277" s="43"/>
      <c r="X277" s="43"/>
      <c r="Y277" s="43"/>
      <c r="Z277" s="43"/>
      <c r="AA277" s="44">
        <f t="shared" ref="AA277:AA278" si="96">SUM(B277:Z277)</f>
        <v>0</v>
      </c>
      <c r="AB277" s="31"/>
      <c r="AC277" s="2"/>
    </row>
    <row r="278">
      <c r="A278" s="40" t="s">
        <v>49</v>
      </c>
      <c r="B278" s="41"/>
      <c r="C278" s="42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3"/>
      <c r="W278" s="43"/>
      <c r="X278" s="43"/>
      <c r="Y278" s="43"/>
      <c r="Z278" s="43"/>
      <c r="AA278" s="44">
        <f t="shared" si="96"/>
        <v>0</v>
      </c>
      <c r="AB278" s="31"/>
      <c r="AC278" s="2"/>
    </row>
    <row r="279">
      <c r="A279" s="53" t="s">
        <v>50</v>
      </c>
      <c r="B279" s="54"/>
      <c r="C279" s="54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6"/>
      <c r="W279" s="56"/>
      <c r="X279" s="56"/>
      <c r="Y279" s="56"/>
      <c r="Z279" s="56"/>
      <c r="AA279" s="57" t="str">
        <f>AVERAGE(B279:Z279)</f>
        <v>#DIV/0!</v>
      </c>
      <c r="AB279" s="58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59"/>
      <c r="AB280" s="59"/>
      <c r="AC280" s="2"/>
    </row>
    <row r="281">
      <c r="A281" s="13">
        <v>46050.0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5" t="s">
        <v>37</v>
      </c>
      <c r="AB281" s="16" t="s">
        <v>38</v>
      </c>
      <c r="AC281" s="2"/>
    </row>
    <row r="282">
      <c r="A282" s="17" t="s">
        <v>39</v>
      </c>
      <c r="B282" s="19">
        <v>1.0</v>
      </c>
      <c r="C282" s="19">
        <v>1.0</v>
      </c>
      <c r="D282" s="19">
        <v>1.0</v>
      </c>
      <c r="E282" s="19">
        <v>1.0</v>
      </c>
      <c r="F282" s="19">
        <v>0.0</v>
      </c>
      <c r="G282" s="19">
        <v>1.0</v>
      </c>
      <c r="H282" s="19">
        <v>1.0</v>
      </c>
      <c r="I282" s="19">
        <v>1.0</v>
      </c>
      <c r="J282" s="19">
        <v>1.0</v>
      </c>
      <c r="K282" s="19">
        <v>0.0</v>
      </c>
      <c r="L282" s="19">
        <v>0.0</v>
      </c>
      <c r="M282" s="19">
        <v>0.0</v>
      </c>
      <c r="N282" s="19">
        <v>0.0</v>
      </c>
      <c r="O282" s="18"/>
      <c r="P282" s="18"/>
      <c r="Q282" s="19">
        <v>1.0</v>
      </c>
      <c r="R282" s="19">
        <v>1.0</v>
      </c>
      <c r="S282" s="19">
        <v>0.0</v>
      </c>
      <c r="T282" s="19">
        <v>0.0</v>
      </c>
      <c r="U282" s="19">
        <v>0.0</v>
      </c>
      <c r="V282" s="19">
        <v>0.0</v>
      </c>
      <c r="W282" s="19">
        <v>1.0</v>
      </c>
      <c r="X282" s="19">
        <v>1.0</v>
      </c>
      <c r="Y282" s="18"/>
      <c r="Z282" s="18"/>
      <c r="AA282" s="20">
        <f t="shared" ref="AA282:AA286" si="97">SUM(B282:Z282)</f>
        <v>12</v>
      </c>
      <c r="AB282" s="21">
        <f t="shared" ref="AB282:AB285" si="98">AA282/(COUNT(B282:Z282)*1)</f>
        <v>0.5714285714</v>
      </c>
      <c r="AC282" s="2"/>
    </row>
    <row r="283">
      <c r="A283" s="17" t="s">
        <v>40</v>
      </c>
      <c r="B283" s="19">
        <v>1.0</v>
      </c>
      <c r="C283" s="19">
        <v>1.0</v>
      </c>
      <c r="D283" s="19">
        <v>1.0</v>
      </c>
      <c r="E283" s="19">
        <v>1.0</v>
      </c>
      <c r="F283" s="19">
        <v>1.0</v>
      </c>
      <c r="G283" s="19">
        <v>1.0</v>
      </c>
      <c r="H283" s="19">
        <v>1.0</v>
      </c>
      <c r="I283" s="19">
        <v>1.0</v>
      </c>
      <c r="J283" s="19">
        <v>1.0</v>
      </c>
      <c r="K283" s="19">
        <v>1.0</v>
      </c>
      <c r="L283" s="19">
        <v>1.0</v>
      </c>
      <c r="M283" s="19">
        <v>1.0</v>
      </c>
      <c r="N283" s="19">
        <v>1.0</v>
      </c>
      <c r="O283" s="18"/>
      <c r="P283" s="18"/>
      <c r="Q283" s="19">
        <v>1.0</v>
      </c>
      <c r="R283" s="19">
        <v>1.0</v>
      </c>
      <c r="S283" s="19">
        <v>1.0</v>
      </c>
      <c r="T283" s="19">
        <v>1.0</v>
      </c>
      <c r="U283" s="19">
        <v>1.0</v>
      </c>
      <c r="V283" s="19">
        <v>1.0</v>
      </c>
      <c r="W283" s="19">
        <v>1.0</v>
      </c>
      <c r="X283" s="19">
        <v>1.0</v>
      </c>
      <c r="Y283" s="18"/>
      <c r="Z283" s="18"/>
      <c r="AA283" s="20">
        <f t="shared" si="97"/>
        <v>21</v>
      </c>
      <c r="AB283" s="21">
        <f t="shared" si="98"/>
        <v>1</v>
      </c>
      <c r="AC283" s="2"/>
    </row>
    <row r="284">
      <c r="A284" s="17" t="s">
        <v>41</v>
      </c>
      <c r="B284" s="19">
        <v>1.0</v>
      </c>
      <c r="C284" s="19">
        <v>1.0</v>
      </c>
      <c r="D284" s="19">
        <v>1.0</v>
      </c>
      <c r="E284" s="19">
        <v>0.0</v>
      </c>
      <c r="F284" s="19">
        <v>0.0</v>
      </c>
      <c r="G284" s="19">
        <v>1.0</v>
      </c>
      <c r="H284" s="19">
        <v>1.0</v>
      </c>
      <c r="I284" s="19">
        <v>1.0</v>
      </c>
      <c r="J284" s="19">
        <v>1.0</v>
      </c>
      <c r="K284" s="19">
        <v>0.0</v>
      </c>
      <c r="L284" s="19">
        <v>0.0</v>
      </c>
      <c r="M284" s="19">
        <v>1.0</v>
      </c>
      <c r="N284" s="19">
        <v>1.0</v>
      </c>
      <c r="O284" s="18"/>
      <c r="P284" s="18"/>
      <c r="Q284" s="19">
        <v>1.0</v>
      </c>
      <c r="R284" s="19">
        <v>1.0</v>
      </c>
      <c r="S284" s="19">
        <v>0.0</v>
      </c>
      <c r="T284" s="19">
        <v>0.0</v>
      </c>
      <c r="U284" s="19">
        <v>0.0</v>
      </c>
      <c r="V284" s="19">
        <v>0.0</v>
      </c>
      <c r="W284" s="19">
        <v>1.0</v>
      </c>
      <c r="X284" s="19">
        <v>1.0</v>
      </c>
      <c r="Y284" s="18"/>
      <c r="Z284" s="18"/>
      <c r="AA284" s="20">
        <f t="shared" si="97"/>
        <v>13</v>
      </c>
      <c r="AB284" s="21">
        <f t="shared" si="98"/>
        <v>0.619047619</v>
      </c>
      <c r="AC284" s="2"/>
    </row>
    <row r="285">
      <c r="A285" s="17" t="s">
        <v>42</v>
      </c>
      <c r="B285" s="19">
        <v>1.0</v>
      </c>
      <c r="C285" s="19">
        <v>1.0</v>
      </c>
      <c r="D285" s="19">
        <v>1.0</v>
      </c>
      <c r="E285" s="19">
        <v>1.0</v>
      </c>
      <c r="F285" s="19">
        <v>1.0</v>
      </c>
      <c r="G285" s="19">
        <v>1.0</v>
      </c>
      <c r="H285" s="19">
        <v>1.0</v>
      </c>
      <c r="I285" s="19">
        <v>1.0</v>
      </c>
      <c r="J285" s="19">
        <v>1.0</v>
      </c>
      <c r="K285" s="19">
        <v>1.0</v>
      </c>
      <c r="L285" s="19">
        <v>1.0</v>
      </c>
      <c r="M285" s="19">
        <v>1.0</v>
      </c>
      <c r="N285" s="19">
        <v>1.0</v>
      </c>
      <c r="O285" s="18"/>
      <c r="P285" s="18"/>
      <c r="Q285" s="19">
        <v>1.0</v>
      </c>
      <c r="R285" s="19">
        <v>1.0</v>
      </c>
      <c r="S285" s="19">
        <v>1.0</v>
      </c>
      <c r="T285" s="19">
        <v>1.0</v>
      </c>
      <c r="U285" s="19">
        <v>1.0</v>
      </c>
      <c r="V285" s="19">
        <v>1.0</v>
      </c>
      <c r="W285" s="19">
        <v>1.0</v>
      </c>
      <c r="X285" s="19">
        <v>1.0</v>
      </c>
      <c r="Y285" s="18"/>
      <c r="Z285" s="18"/>
      <c r="AA285" s="20">
        <f t="shared" si="97"/>
        <v>21</v>
      </c>
      <c r="AB285" s="21">
        <f t="shared" si="98"/>
        <v>1</v>
      </c>
      <c r="AC285" s="2"/>
    </row>
    <row r="286">
      <c r="A286" s="17" t="s">
        <v>43</v>
      </c>
      <c r="B286" s="22">
        <f t="shared" ref="B286:Z286" si="99">SUM(B282:B285)</f>
        <v>4</v>
      </c>
      <c r="C286" s="22">
        <f t="shared" si="99"/>
        <v>4</v>
      </c>
      <c r="D286" s="22">
        <f t="shared" si="99"/>
        <v>4</v>
      </c>
      <c r="E286" s="22">
        <f t="shared" si="99"/>
        <v>3</v>
      </c>
      <c r="F286" s="22">
        <f t="shared" si="99"/>
        <v>2</v>
      </c>
      <c r="G286" s="22">
        <f t="shared" si="99"/>
        <v>4</v>
      </c>
      <c r="H286" s="22">
        <f t="shared" si="99"/>
        <v>4</v>
      </c>
      <c r="I286" s="22">
        <f t="shared" si="99"/>
        <v>4</v>
      </c>
      <c r="J286" s="22">
        <f t="shared" si="99"/>
        <v>4</v>
      </c>
      <c r="K286" s="22">
        <f t="shared" si="99"/>
        <v>2</v>
      </c>
      <c r="L286" s="22">
        <f t="shared" si="99"/>
        <v>2</v>
      </c>
      <c r="M286" s="22">
        <f t="shared" si="99"/>
        <v>3</v>
      </c>
      <c r="N286" s="22">
        <f t="shared" si="99"/>
        <v>3</v>
      </c>
      <c r="O286" s="22">
        <f t="shared" si="99"/>
        <v>0</v>
      </c>
      <c r="P286" s="22">
        <f t="shared" si="99"/>
        <v>0</v>
      </c>
      <c r="Q286" s="22">
        <f t="shared" si="99"/>
        <v>4</v>
      </c>
      <c r="R286" s="22">
        <f t="shared" si="99"/>
        <v>4</v>
      </c>
      <c r="S286" s="22">
        <f t="shared" si="99"/>
        <v>2</v>
      </c>
      <c r="T286" s="22">
        <f t="shared" si="99"/>
        <v>2</v>
      </c>
      <c r="U286" s="22">
        <f t="shared" si="99"/>
        <v>2</v>
      </c>
      <c r="V286" s="22">
        <f t="shared" si="99"/>
        <v>2</v>
      </c>
      <c r="W286" s="22">
        <f t="shared" si="99"/>
        <v>4</v>
      </c>
      <c r="X286" s="22">
        <f t="shared" si="99"/>
        <v>4</v>
      </c>
      <c r="Y286" s="22">
        <f t="shared" si="99"/>
        <v>0</v>
      </c>
      <c r="Z286" s="22">
        <f t="shared" si="99"/>
        <v>0</v>
      </c>
      <c r="AA286" s="20">
        <f t="shared" si="97"/>
        <v>67</v>
      </c>
      <c r="AB286" s="23"/>
      <c r="AC286" s="2"/>
    </row>
    <row r="287">
      <c r="A287" s="17" t="s">
        <v>38</v>
      </c>
      <c r="B287" s="24">
        <f t="shared" ref="B287:Z287" si="100">B286/(COUNT(B282:B285)*1)</f>
        <v>1</v>
      </c>
      <c r="C287" s="24">
        <f t="shared" si="100"/>
        <v>1</v>
      </c>
      <c r="D287" s="24">
        <f t="shared" si="100"/>
        <v>1</v>
      </c>
      <c r="E287" s="24">
        <f t="shared" si="100"/>
        <v>0.75</v>
      </c>
      <c r="F287" s="24">
        <f t="shared" si="100"/>
        <v>0.5</v>
      </c>
      <c r="G287" s="24">
        <f t="shared" si="100"/>
        <v>1</v>
      </c>
      <c r="H287" s="24">
        <f t="shared" si="100"/>
        <v>1</v>
      </c>
      <c r="I287" s="24">
        <f t="shared" si="100"/>
        <v>1</v>
      </c>
      <c r="J287" s="24">
        <f t="shared" si="100"/>
        <v>1</v>
      </c>
      <c r="K287" s="24">
        <f t="shared" si="100"/>
        <v>0.5</v>
      </c>
      <c r="L287" s="24">
        <f t="shared" si="100"/>
        <v>0.5</v>
      </c>
      <c r="M287" s="24">
        <f t="shared" si="100"/>
        <v>0.75</v>
      </c>
      <c r="N287" s="24">
        <f t="shared" si="100"/>
        <v>0.75</v>
      </c>
      <c r="O287" s="24" t="str">
        <f t="shared" si="100"/>
        <v>#DIV/0!</v>
      </c>
      <c r="P287" s="24" t="str">
        <f t="shared" si="100"/>
        <v>#DIV/0!</v>
      </c>
      <c r="Q287" s="24">
        <f t="shared" si="100"/>
        <v>1</v>
      </c>
      <c r="R287" s="24">
        <f t="shared" si="100"/>
        <v>1</v>
      </c>
      <c r="S287" s="24">
        <f t="shared" si="100"/>
        <v>0.5</v>
      </c>
      <c r="T287" s="24">
        <f t="shared" si="100"/>
        <v>0.5</v>
      </c>
      <c r="U287" s="24">
        <f t="shared" si="100"/>
        <v>0.5</v>
      </c>
      <c r="V287" s="24">
        <f t="shared" si="100"/>
        <v>0.5</v>
      </c>
      <c r="W287" s="24">
        <f t="shared" si="100"/>
        <v>1</v>
      </c>
      <c r="X287" s="24">
        <f t="shared" si="100"/>
        <v>1</v>
      </c>
      <c r="Y287" s="24" t="str">
        <f t="shared" si="100"/>
        <v>#DIV/0!</v>
      </c>
      <c r="Z287" s="24" t="str">
        <f t="shared" si="100"/>
        <v>#DIV/0!</v>
      </c>
      <c r="AA287" s="25"/>
      <c r="AB287" s="26">
        <f>SUM(AB282:AB285)/4</f>
        <v>0.7976190476</v>
      </c>
      <c r="AC287" s="2"/>
    </row>
    <row r="288">
      <c r="A288" s="27" t="s">
        <v>44</v>
      </c>
      <c r="B288" s="60"/>
      <c r="C288" s="61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30">
        <f t="shared" ref="AA288:AA290" si="101">SUM(B288:Z288)</f>
        <v>0</v>
      </c>
      <c r="AB288" s="31"/>
      <c r="AC288" s="2"/>
    </row>
    <row r="289">
      <c r="A289" s="32" t="s">
        <v>45</v>
      </c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0"/>
      <c r="W289" s="60"/>
      <c r="X289" s="60"/>
      <c r="Y289" s="60"/>
      <c r="Z289" s="60"/>
      <c r="AA289" s="30">
        <f t="shared" si="101"/>
        <v>0</v>
      </c>
      <c r="AB289" s="31"/>
      <c r="AC289" s="9"/>
    </row>
    <row r="290">
      <c r="A290" s="34" t="s">
        <v>46</v>
      </c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0"/>
      <c r="W290" s="60"/>
      <c r="X290" s="60"/>
      <c r="Y290" s="60"/>
      <c r="Z290" s="60"/>
      <c r="AA290" s="30">
        <f t="shared" si="101"/>
        <v>0</v>
      </c>
      <c r="AB290" s="31"/>
      <c r="AC290" s="9"/>
    </row>
    <row r="291">
      <c r="A291" s="35" t="s">
        <v>47</v>
      </c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7"/>
      <c r="AA291" s="38"/>
      <c r="AB291" s="39"/>
      <c r="AC291" s="2"/>
    </row>
    <row r="292">
      <c r="A292" s="40" t="s">
        <v>48</v>
      </c>
      <c r="B292" s="41"/>
      <c r="C292" s="42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3"/>
      <c r="W292" s="43"/>
      <c r="X292" s="43"/>
      <c r="Y292" s="43"/>
      <c r="Z292" s="43"/>
      <c r="AA292" s="44">
        <f t="shared" ref="AA292:AA293" si="102">SUM(B292:Z292)</f>
        <v>0</v>
      </c>
      <c r="AB292" s="31"/>
      <c r="AC292" s="2"/>
    </row>
    <row r="293">
      <c r="A293" s="40" t="s">
        <v>49</v>
      </c>
      <c r="B293" s="41"/>
      <c r="C293" s="42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3"/>
      <c r="W293" s="43"/>
      <c r="X293" s="43"/>
      <c r="Y293" s="43"/>
      <c r="Z293" s="43"/>
      <c r="AA293" s="44">
        <f t="shared" si="102"/>
        <v>0</v>
      </c>
      <c r="AB293" s="31"/>
      <c r="AC293" s="2"/>
    </row>
    <row r="294">
      <c r="A294" s="40" t="s">
        <v>50</v>
      </c>
      <c r="B294" s="42"/>
      <c r="C294" s="42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3"/>
      <c r="W294" s="43"/>
      <c r="X294" s="43"/>
      <c r="Y294" s="43"/>
      <c r="Z294" s="43"/>
      <c r="AA294" s="44" t="str">
        <f>AVERAGE(B294:Z294)</f>
        <v>#DIV/0!</v>
      </c>
      <c r="AB294" s="31"/>
      <c r="AC294" s="2"/>
    </row>
    <row r="295">
      <c r="A295" s="45" t="s">
        <v>51</v>
      </c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7"/>
      <c r="AA295" s="46"/>
      <c r="AB295" s="39"/>
      <c r="AC295" s="2"/>
    </row>
    <row r="296">
      <c r="A296" s="47" t="s">
        <v>48</v>
      </c>
      <c r="B296" s="48"/>
      <c r="C296" s="49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50"/>
      <c r="W296" s="50"/>
      <c r="X296" s="50"/>
      <c r="Y296" s="50"/>
      <c r="Z296" s="50"/>
      <c r="AA296" s="51">
        <f t="shared" ref="AA296:AA297" si="103">SUM(B296:Z296)</f>
        <v>0</v>
      </c>
      <c r="AB296" s="31"/>
      <c r="AC296" s="2"/>
    </row>
    <row r="297">
      <c r="A297" s="47" t="s">
        <v>49</v>
      </c>
      <c r="B297" s="48"/>
      <c r="C297" s="49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50"/>
      <c r="W297" s="50"/>
      <c r="X297" s="50"/>
      <c r="Y297" s="50"/>
      <c r="Z297" s="50"/>
      <c r="AA297" s="51">
        <f t="shared" si="103"/>
        <v>0</v>
      </c>
      <c r="AB297" s="31"/>
      <c r="AC297" s="2"/>
    </row>
    <row r="298">
      <c r="A298" s="47" t="s">
        <v>50</v>
      </c>
      <c r="B298" s="49"/>
      <c r="C298" s="49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50"/>
      <c r="W298" s="50"/>
      <c r="X298" s="50"/>
      <c r="Y298" s="50"/>
      <c r="Z298" s="50"/>
      <c r="AA298" s="51" t="str">
        <f>AVERAGE(B298:Z298)</f>
        <v>#DIV/0!</v>
      </c>
      <c r="AB298" s="31"/>
      <c r="AC298" s="2"/>
    </row>
    <row r="299">
      <c r="A299" s="52" t="s">
        <v>53</v>
      </c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7"/>
      <c r="AA299" s="38"/>
      <c r="AB299" s="39"/>
      <c r="AC299" s="2"/>
    </row>
    <row r="300">
      <c r="A300" s="40" t="s">
        <v>48</v>
      </c>
      <c r="B300" s="41"/>
      <c r="C300" s="42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3"/>
      <c r="W300" s="43"/>
      <c r="X300" s="43"/>
      <c r="Y300" s="43"/>
      <c r="Z300" s="43"/>
      <c r="AA300" s="44">
        <f t="shared" ref="AA300:AA301" si="104">SUM(B300:Z300)</f>
        <v>0</v>
      </c>
      <c r="AB300" s="31"/>
      <c r="AC300" s="2"/>
    </row>
    <row r="301">
      <c r="A301" s="40" t="s">
        <v>49</v>
      </c>
      <c r="B301" s="41"/>
      <c r="C301" s="42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3"/>
      <c r="W301" s="43"/>
      <c r="X301" s="43"/>
      <c r="Y301" s="43"/>
      <c r="Z301" s="43"/>
      <c r="AA301" s="44">
        <f t="shared" si="104"/>
        <v>0</v>
      </c>
      <c r="AB301" s="31"/>
      <c r="AC301" s="2"/>
    </row>
    <row r="302">
      <c r="A302" s="53" t="s">
        <v>50</v>
      </c>
      <c r="B302" s="54"/>
      <c r="C302" s="54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6"/>
      <c r="W302" s="56"/>
      <c r="X302" s="56"/>
      <c r="Y302" s="56"/>
      <c r="Z302" s="56"/>
      <c r="AA302" s="57" t="str">
        <f>AVERAGE(B302:Z302)</f>
        <v>#DIV/0!</v>
      </c>
      <c r="AB302" s="58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59"/>
      <c r="AB303" s="59"/>
      <c r="AC303" s="2"/>
    </row>
    <row r="304">
      <c r="A304" s="13">
        <v>46051.0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5" t="s">
        <v>37</v>
      </c>
      <c r="AB304" s="16" t="s">
        <v>38</v>
      </c>
      <c r="AC304" s="2"/>
    </row>
    <row r="305">
      <c r="A305" s="17" t="s">
        <v>39</v>
      </c>
      <c r="B305" s="19">
        <v>1.0</v>
      </c>
      <c r="C305" s="19">
        <v>1.0</v>
      </c>
      <c r="D305" s="19">
        <v>1.0</v>
      </c>
      <c r="E305" s="19">
        <v>0.0</v>
      </c>
      <c r="F305" s="19">
        <v>0.0</v>
      </c>
      <c r="G305" s="19">
        <v>0.0</v>
      </c>
      <c r="H305" s="19">
        <v>0.0</v>
      </c>
      <c r="I305" s="19">
        <v>0.0</v>
      </c>
      <c r="J305" s="19">
        <v>0.0</v>
      </c>
      <c r="K305" s="19">
        <v>0.0</v>
      </c>
      <c r="L305" s="19">
        <v>0.0</v>
      </c>
      <c r="M305" s="19">
        <v>0.0</v>
      </c>
      <c r="N305" s="19">
        <v>0.0</v>
      </c>
      <c r="O305" s="18"/>
      <c r="P305" s="18"/>
      <c r="Q305" s="19">
        <v>1.0</v>
      </c>
      <c r="R305" s="19">
        <v>1.0</v>
      </c>
      <c r="S305" s="19">
        <v>1.0</v>
      </c>
      <c r="T305" s="19">
        <v>0.0</v>
      </c>
      <c r="U305" s="19">
        <v>0.0</v>
      </c>
      <c r="V305" s="19">
        <v>0.0</v>
      </c>
      <c r="W305" s="19">
        <v>0.0</v>
      </c>
      <c r="X305" s="19">
        <v>0.0</v>
      </c>
      <c r="Y305" s="18"/>
      <c r="Z305" s="18"/>
      <c r="AA305" s="20">
        <f t="shared" ref="AA305:AA309" si="105">SUM(B305:Z305)</f>
        <v>6</v>
      </c>
      <c r="AB305" s="21">
        <f t="shared" ref="AB305:AB308" si="106">AA305/(COUNT(B305:Z305)*1)</f>
        <v>0.2857142857</v>
      </c>
      <c r="AC305" s="2"/>
    </row>
    <row r="306">
      <c r="A306" s="17" t="s">
        <v>40</v>
      </c>
      <c r="B306" s="19">
        <v>1.0</v>
      </c>
      <c r="C306" s="19">
        <v>1.0</v>
      </c>
      <c r="D306" s="19">
        <v>1.0</v>
      </c>
      <c r="E306" s="19">
        <v>1.0</v>
      </c>
      <c r="F306" s="19">
        <v>1.0</v>
      </c>
      <c r="G306" s="19">
        <v>1.0</v>
      </c>
      <c r="H306" s="19">
        <v>1.0</v>
      </c>
      <c r="I306" s="19">
        <v>1.0</v>
      </c>
      <c r="J306" s="19">
        <v>1.0</v>
      </c>
      <c r="K306" s="19">
        <v>1.0</v>
      </c>
      <c r="L306" s="19">
        <v>1.0</v>
      </c>
      <c r="M306" s="19">
        <v>0.0</v>
      </c>
      <c r="N306" s="19">
        <v>0.0</v>
      </c>
      <c r="O306" s="18"/>
      <c r="P306" s="18"/>
      <c r="Q306" s="19">
        <v>1.0</v>
      </c>
      <c r="R306" s="19">
        <v>1.0</v>
      </c>
      <c r="S306" s="19">
        <v>1.0</v>
      </c>
      <c r="T306" s="19">
        <v>1.0</v>
      </c>
      <c r="U306" s="19">
        <v>1.0</v>
      </c>
      <c r="V306" s="19">
        <v>1.0</v>
      </c>
      <c r="W306" s="19">
        <v>1.0</v>
      </c>
      <c r="X306" s="19">
        <v>1.0</v>
      </c>
      <c r="Y306" s="18"/>
      <c r="Z306" s="18"/>
      <c r="AA306" s="20">
        <f t="shared" si="105"/>
        <v>19</v>
      </c>
      <c r="AB306" s="21">
        <f t="shared" si="106"/>
        <v>0.9047619048</v>
      </c>
      <c r="AC306" s="2"/>
    </row>
    <row r="307">
      <c r="A307" s="17" t="s">
        <v>41</v>
      </c>
      <c r="B307" s="19">
        <v>0.0</v>
      </c>
      <c r="C307" s="19">
        <v>0.0</v>
      </c>
      <c r="D307" s="19">
        <v>0.0</v>
      </c>
      <c r="E307" s="19">
        <v>0.0</v>
      </c>
      <c r="F307" s="19">
        <v>0.0</v>
      </c>
      <c r="G307" s="19">
        <v>0.0</v>
      </c>
      <c r="H307" s="19">
        <v>0.0</v>
      </c>
      <c r="I307" s="19">
        <v>0.0</v>
      </c>
      <c r="J307" s="19">
        <v>0.0</v>
      </c>
      <c r="K307" s="19">
        <v>0.0</v>
      </c>
      <c r="L307" s="19">
        <v>0.0</v>
      </c>
      <c r="M307" s="19">
        <v>0.0</v>
      </c>
      <c r="N307" s="19">
        <v>0.0</v>
      </c>
      <c r="O307" s="18"/>
      <c r="P307" s="18"/>
      <c r="Q307" s="19">
        <v>1.0</v>
      </c>
      <c r="R307" s="19">
        <v>1.0</v>
      </c>
      <c r="S307" s="19">
        <v>1.0</v>
      </c>
      <c r="T307" s="19">
        <v>1.0</v>
      </c>
      <c r="U307" s="19">
        <v>0.0</v>
      </c>
      <c r="V307" s="19">
        <v>0.0</v>
      </c>
      <c r="W307" s="19">
        <v>0.0</v>
      </c>
      <c r="X307" s="19">
        <v>0.0</v>
      </c>
      <c r="Y307" s="18"/>
      <c r="Z307" s="18"/>
      <c r="AA307" s="20">
        <f t="shared" si="105"/>
        <v>4</v>
      </c>
      <c r="AB307" s="21">
        <f t="shared" si="106"/>
        <v>0.1904761905</v>
      </c>
      <c r="AC307" s="2"/>
    </row>
    <row r="308">
      <c r="A308" s="17" t="s">
        <v>42</v>
      </c>
      <c r="B308" s="19">
        <v>1.0</v>
      </c>
      <c r="C308" s="19">
        <v>1.0</v>
      </c>
      <c r="D308" s="19">
        <v>1.0</v>
      </c>
      <c r="E308" s="19">
        <v>1.0</v>
      </c>
      <c r="F308" s="19">
        <v>1.0</v>
      </c>
      <c r="G308" s="19">
        <v>1.0</v>
      </c>
      <c r="H308" s="19">
        <v>1.0</v>
      </c>
      <c r="I308" s="19">
        <v>1.0</v>
      </c>
      <c r="J308" s="19">
        <v>1.0</v>
      </c>
      <c r="K308" s="19">
        <v>0.0</v>
      </c>
      <c r="L308" s="19">
        <v>0.0</v>
      </c>
      <c r="M308" s="19">
        <v>0.0</v>
      </c>
      <c r="N308" s="19">
        <v>0.0</v>
      </c>
      <c r="O308" s="18"/>
      <c r="P308" s="18"/>
      <c r="Q308" s="19">
        <v>0.0</v>
      </c>
      <c r="R308" s="19">
        <v>1.0</v>
      </c>
      <c r="S308" s="19">
        <v>1.0</v>
      </c>
      <c r="T308" s="18"/>
      <c r="U308" s="19">
        <v>0.0</v>
      </c>
      <c r="V308" s="19">
        <v>0.0</v>
      </c>
      <c r="W308" s="19">
        <v>0.0</v>
      </c>
      <c r="X308" s="19">
        <v>0.0</v>
      </c>
      <c r="Y308" s="18"/>
      <c r="Z308" s="18"/>
      <c r="AA308" s="20">
        <f t="shared" si="105"/>
        <v>11</v>
      </c>
      <c r="AB308" s="21">
        <f t="shared" si="106"/>
        <v>0.55</v>
      </c>
      <c r="AC308" s="2"/>
    </row>
    <row r="309">
      <c r="A309" s="17" t="s">
        <v>43</v>
      </c>
      <c r="B309" s="22">
        <f t="shared" ref="B309:Z309" si="107">SUM(B305:B308)</f>
        <v>3</v>
      </c>
      <c r="C309" s="22">
        <f t="shared" si="107"/>
        <v>3</v>
      </c>
      <c r="D309" s="22">
        <f t="shared" si="107"/>
        <v>3</v>
      </c>
      <c r="E309" s="22">
        <f t="shared" si="107"/>
        <v>2</v>
      </c>
      <c r="F309" s="22">
        <f t="shared" si="107"/>
        <v>2</v>
      </c>
      <c r="G309" s="22">
        <f t="shared" si="107"/>
        <v>2</v>
      </c>
      <c r="H309" s="22">
        <f t="shared" si="107"/>
        <v>2</v>
      </c>
      <c r="I309" s="22">
        <f t="shared" si="107"/>
        <v>2</v>
      </c>
      <c r="J309" s="22">
        <f t="shared" si="107"/>
        <v>2</v>
      </c>
      <c r="K309" s="22">
        <f t="shared" si="107"/>
        <v>1</v>
      </c>
      <c r="L309" s="22">
        <f t="shared" si="107"/>
        <v>1</v>
      </c>
      <c r="M309" s="22">
        <f t="shared" si="107"/>
        <v>0</v>
      </c>
      <c r="N309" s="22">
        <f t="shared" si="107"/>
        <v>0</v>
      </c>
      <c r="O309" s="22">
        <f t="shared" si="107"/>
        <v>0</v>
      </c>
      <c r="P309" s="22">
        <f t="shared" si="107"/>
        <v>0</v>
      </c>
      <c r="Q309" s="22">
        <f t="shared" si="107"/>
        <v>3</v>
      </c>
      <c r="R309" s="22">
        <f t="shared" si="107"/>
        <v>4</v>
      </c>
      <c r="S309" s="22">
        <f t="shared" si="107"/>
        <v>4</v>
      </c>
      <c r="T309" s="22">
        <f t="shared" si="107"/>
        <v>2</v>
      </c>
      <c r="U309" s="22">
        <f t="shared" si="107"/>
        <v>1</v>
      </c>
      <c r="V309" s="22">
        <f t="shared" si="107"/>
        <v>1</v>
      </c>
      <c r="W309" s="22">
        <f t="shared" si="107"/>
        <v>1</v>
      </c>
      <c r="X309" s="22">
        <f t="shared" si="107"/>
        <v>1</v>
      </c>
      <c r="Y309" s="22">
        <f t="shared" si="107"/>
        <v>0</v>
      </c>
      <c r="Z309" s="22">
        <f t="shared" si="107"/>
        <v>0</v>
      </c>
      <c r="AA309" s="20">
        <f t="shared" si="105"/>
        <v>40</v>
      </c>
      <c r="AB309" s="23"/>
      <c r="AC309" s="2"/>
    </row>
    <row r="310">
      <c r="A310" s="17" t="s">
        <v>38</v>
      </c>
      <c r="B310" s="24">
        <f t="shared" ref="B310:Z310" si="108">B309/(COUNT(B305:B308)*1)</f>
        <v>0.75</v>
      </c>
      <c r="C310" s="24">
        <f t="shared" si="108"/>
        <v>0.75</v>
      </c>
      <c r="D310" s="24">
        <f t="shared" si="108"/>
        <v>0.75</v>
      </c>
      <c r="E310" s="24">
        <f t="shared" si="108"/>
        <v>0.5</v>
      </c>
      <c r="F310" s="24">
        <f t="shared" si="108"/>
        <v>0.5</v>
      </c>
      <c r="G310" s="24">
        <f t="shared" si="108"/>
        <v>0.5</v>
      </c>
      <c r="H310" s="24">
        <f t="shared" si="108"/>
        <v>0.5</v>
      </c>
      <c r="I310" s="24">
        <f t="shared" si="108"/>
        <v>0.5</v>
      </c>
      <c r="J310" s="24">
        <f t="shared" si="108"/>
        <v>0.5</v>
      </c>
      <c r="K310" s="24">
        <f t="shared" si="108"/>
        <v>0.25</v>
      </c>
      <c r="L310" s="24">
        <f t="shared" si="108"/>
        <v>0.25</v>
      </c>
      <c r="M310" s="24">
        <f t="shared" si="108"/>
        <v>0</v>
      </c>
      <c r="N310" s="24">
        <f t="shared" si="108"/>
        <v>0</v>
      </c>
      <c r="O310" s="24" t="str">
        <f t="shared" si="108"/>
        <v>#DIV/0!</v>
      </c>
      <c r="P310" s="24" t="str">
        <f t="shared" si="108"/>
        <v>#DIV/0!</v>
      </c>
      <c r="Q310" s="24">
        <f t="shared" si="108"/>
        <v>0.75</v>
      </c>
      <c r="R310" s="24">
        <f t="shared" si="108"/>
        <v>1</v>
      </c>
      <c r="S310" s="24">
        <f t="shared" si="108"/>
        <v>1</v>
      </c>
      <c r="T310" s="24">
        <f t="shared" si="108"/>
        <v>0.6666666667</v>
      </c>
      <c r="U310" s="24">
        <f t="shared" si="108"/>
        <v>0.25</v>
      </c>
      <c r="V310" s="24">
        <f t="shared" si="108"/>
        <v>0.25</v>
      </c>
      <c r="W310" s="24">
        <f t="shared" si="108"/>
        <v>0.25</v>
      </c>
      <c r="X310" s="24">
        <f t="shared" si="108"/>
        <v>0.25</v>
      </c>
      <c r="Y310" s="24" t="str">
        <f t="shared" si="108"/>
        <v>#DIV/0!</v>
      </c>
      <c r="Z310" s="24" t="str">
        <f t="shared" si="108"/>
        <v>#DIV/0!</v>
      </c>
      <c r="AA310" s="25"/>
      <c r="AB310" s="26">
        <f>SUM(AB305:AB308)/4</f>
        <v>0.4827380952</v>
      </c>
      <c r="AC310" s="2"/>
    </row>
    <row r="311">
      <c r="A311" s="27" t="s">
        <v>44</v>
      </c>
      <c r="B311" s="60"/>
      <c r="C311" s="61"/>
      <c r="D311" s="60"/>
      <c r="E311" s="68">
        <v>20.0</v>
      </c>
      <c r="F311" s="68">
        <v>20.0</v>
      </c>
      <c r="G311" s="68">
        <v>20.0</v>
      </c>
      <c r="H311" s="68">
        <v>20.0</v>
      </c>
      <c r="I311" s="68">
        <v>20.0</v>
      </c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30">
        <f t="shared" ref="AA311:AA313" si="109">SUM(B311:Z311)</f>
        <v>100</v>
      </c>
      <c r="AB311" s="31"/>
      <c r="AC311" s="2"/>
    </row>
    <row r="312">
      <c r="A312" s="32" t="s">
        <v>45</v>
      </c>
      <c r="B312" s="62"/>
      <c r="C312" s="62"/>
      <c r="D312" s="62"/>
      <c r="E312" s="62"/>
      <c r="F312" s="62"/>
      <c r="G312" s="62"/>
      <c r="H312" s="62"/>
      <c r="I312" s="62"/>
      <c r="J312" s="128"/>
      <c r="K312" s="128">
        <v>3.0</v>
      </c>
      <c r="L312" s="128">
        <v>5.0</v>
      </c>
      <c r="M312" s="128">
        <v>6.0</v>
      </c>
      <c r="N312" s="128">
        <v>5.0</v>
      </c>
      <c r="O312" s="62"/>
      <c r="P312" s="62"/>
      <c r="Q312" s="62"/>
      <c r="R312" s="62"/>
      <c r="S312" s="128">
        <v>3.0</v>
      </c>
      <c r="T312" s="128">
        <v>5.0</v>
      </c>
      <c r="U312" s="128">
        <v>3.0</v>
      </c>
      <c r="V312" s="68">
        <v>4.0</v>
      </c>
      <c r="W312" s="68">
        <v>5.0</v>
      </c>
      <c r="X312" s="68">
        <v>2.0</v>
      </c>
      <c r="Y312" s="60"/>
      <c r="Z312" s="60"/>
      <c r="AA312" s="30">
        <f t="shared" si="109"/>
        <v>41</v>
      </c>
      <c r="AB312" s="31"/>
      <c r="AC312" s="9"/>
    </row>
    <row r="313">
      <c r="A313" s="34" t="s">
        <v>46</v>
      </c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0"/>
      <c r="W313" s="60"/>
      <c r="X313" s="60"/>
      <c r="Y313" s="60"/>
      <c r="Z313" s="60"/>
      <c r="AA313" s="30">
        <f t="shared" si="109"/>
        <v>0</v>
      </c>
      <c r="AB313" s="31"/>
      <c r="AC313" s="9"/>
    </row>
    <row r="314">
      <c r="A314" s="35" t="s">
        <v>47</v>
      </c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7"/>
      <c r="AA314" s="38"/>
      <c r="AB314" s="39"/>
      <c r="AC314" s="2"/>
    </row>
    <row r="315">
      <c r="A315" s="40" t="s">
        <v>48</v>
      </c>
      <c r="B315" s="63"/>
      <c r="C315" s="64"/>
      <c r="D315" s="63"/>
      <c r="E315" s="65">
        <v>1.0</v>
      </c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5">
        <v>1.0</v>
      </c>
      <c r="T315" s="63"/>
      <c r="U315" s="63"/>
      <c r="V315" s="66"/>
      <c r="W315" s="66"/>
      <c r="X315" s="66"/>
      <c r="Y315" s="66"/>
      <c r="Z315" s="66"/>
      <c r="AA315" s="44">
        <f t="shared" ref="AA315:AA316" si="110">SUM(B315:Z315)</f>
        <v>2</v>
      </c>
      <c r="AB315" s="31"/>
      <c r="AC315" s="2"/>
    </row>
    <row r="316">
      <c r="A316" s="40" t="s">
        <v>49</v>
      </c>
      <c r="B316" s="63"/>
      <c r="C316" s="64"/>
      <c r="D316" s="63"/>
      <c r="E316" s="65">
        <v>20.0</v>
      </c>
      <c r="F316" s="65">
        <v>20.0</v>
      </c>
      <c r="G316" s="65">
        <v>20.0</v>
      </c>
      <c r="H316" s="65">
        <v>20.0</v>
      </c>
      <c r="I316" s="65">
        <v>20.0</v>
      </c>
      <c r="J316" s="65">
        <v>20.0</v>
      </c>
      <c r="K316" s="65">
        <v>20.0</v>
      </c>
      <c r="L316" s="65">
        <v>20.0</v>
      </c>
      <c r="M316" s="65">
        <v>15.0</v>
      </c>
      <c r="N316" s="65">
        <v>15.0</v>
      </c>
      <c r="O316" s="63"/>
      <c r="P316" s="63"/>
      <c r="Q316" s="63"/>
      <c r="R316" s="63"/>
      <c r="S316" s="65">
        <v>20.0</v>
      </c>
      <c r="T316" s="65">
        <v>20.0</v>
      </c>
      <c r="U316" s="65">
        <v>20.0</v>
      </c>
      <c r="V316" s="69">
        <v>20.0</v>
      </c>
      <c r="W316" s="69">
        <v>10.0</v>
      </c>
      <c r="X316" s="69">
        <v>10.0</v>
      </c>
      <c r="Y316" s="66"/>
      <c r="Z316" s="66"/>
      <c r="AA316" s="44">
        <f t="shared" si="110"/>
        <v>290</v>
      </c>
      <c r="AB316" s="31"/>
      <c r="AC316" s="2"/>
    </row>
    <row r="317">
      <c r="A317" s="40" t="s">
        <v>50</v>
      </c>
      <c r="B317" s="64"/>
      <c r="C317" s="64"/>
      <c r="D317" s="63"/>
      <c r="E317" s="65">
        <v>1.0</v>
      </c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5">
        <v>1.0</v>
      </c>
      <c r="T317" s="63"/>
      <c r="U317" s="63"/>
      <c r="V317" s="66"/>
      <c r="W317" s="66"/>
      <c r="X317" s="66"/>
      <c r="Y317" s="66"/>
      <c r="Z317" s="66"/>
      <c r="AA317" s="44">
        <f>AVERAGE(B317:Z317)</f>
        <v>1</v>
      </c>
      <c r="AB317" s="31"/>
      <c r="AC317" s="2"/>
    </row>
    <row r="318">
      <c r="A318" s="45" t="s">
        <v>51</v>
      </c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7"/>
      <c r="AA318" s="46"/>
      <c r="AB318" s="39"/>
      <c r="AC318" s="2"/>
    </row>
    <row r="319">
      <c r="A319" s="47" t="s">
        <v>48</v>
      </c>
      <c r="B319" s="48"/>
      <c r="C319" s="49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67"/>
      <c r="T319" s="48"/>
      <c r="U319" s="48"/>
      <c r="V319" s="50"/>
      <c r="W319" s="50"/>
      <c r="X319" s="50"/>
      <c r="Y319" s="50"/>
      <c r="Z319" s="50"/>
      <c r="AA319" s="51">
        <f t="shared" ref="AA319:AA320" si="111">SUM(B319:Z319)</f>
        <v>0</v>
      </c>
      <c r="AB319" s="31"/>
      <c r="AC319" s="2"/>
    </row>
    <row r="320">
      <c r="A320" s="47" t="s">
        <v>49</v>
      </c>
      <c r="B320" s="48"/>
      <c r="C320" s="49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67"/>
      <c r="T320" s="48"/>
      <c r="U320" s="48"/>
      <c r="V320" s="50"/>
      <c r="W320" s="50"/>
      <c r="X320" s="50"/>
      <c r="Y320" s="50"/>
      <c r="Z320" s="50"/>
      <c r="AA320" s="51">
        <f t="shared" si="111"/>
        <v>0</v>
      </c>
      <c r="AB320" s="31"/>
      <c r="AC320" s="2"/>
    </row>
    <row r="321">
      <c r="A321" s="47" t="s">
        <v>50</v>
      </c>
      <c r="B321" s="49"/>
      <c r="C321" s="49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67"/>
      <c r="T321" s="48"/>
      <c r="U321" s="48"/>
      <c r="V321" s="50"/>
      <c r="W321" s="50"/>
      <c r="X321" s="50"/>
      <c r="Y321" s="50"/>
      <c r="Z321" s="50"/>
      <c r="AA321" s="51" t="str">
        <f>AVERAGE(B321:Z321)</f>
        <v>#DIV/0!</v>
      </c>
      <c r="AB321" s="31"/>
      <c r="AC321" s="2"/>
    </row>
    <row r="322">
      <c r="A322" s="52" t="s">
        <v>53</v>
      </c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7"/>
      <c r="AA322" s="38"/>
      <c r="AB322" s="39"/>
      <c r="AC322" s="2"/>
    </row>
    <row r="323">
      <c r="A323" s="40" t="s">
        <v>48</v>
      </c>
      <c r="B323" s="41"/>
      <c r="C323" s="42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3"/>
      <c r="W323" s="43"/>
      <c r="X323" s="43"/>
      <c r="Y323" s="43"/>
      <c r="Z323" s="43"/>
      <c r="AA323" s="44">
        <f t="shared" ref="AA323:AA324" si="112">SUM(B323:Z323)</f>
        <v>0</v>
      </c>
      <c r="AB323" s="31"/>
      <c r="AC323" s="2"/>
    </row>
    <row r="324">
      <c r="A324" s="40" t="s">
        <v>49</v>
      </c>
      <c r="B324" s="41"/>
      <c r="C324" s="42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3"/>
      <c r="W324" s="43"/>
      <c r="X324" s="43"/>
      <c r="Y324" s="43"/>
      <c r="Z324" s="43"/>
      <c r="AA324" s="44">
        <f t="shared" si="112"/>
        <v>0</v>
      </c>
      <c r="AB324" s="31"/>
      <c r="AC324" s="2"/>
    </row>
    <row r="325">
      <c r="A325" s="53" t="s">
        <v>50</v>
      </c>
      <c r="B325" s="54"/>
      <c r="C325" s="54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6"/>
      <c r="W325" s="56"/>
      <c r="X325" s="56"/>
      <c r="Y325" s="56"/>
      <c r="Z325" s="56"/>
      <c r="AA325" s="57" t="str">
        <f>AVERAGE(B325:Z325)</f>
        <v>#DIV/0!</v>
      </c>
      <c r="AB325" s="58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59"/>
      <c r="AB326" s="59"/>
      <c r="AC326" s="2"/>
    </row>
    <row r="327">
      <c r="A327" s="13">
        <v>46052.0</v>
      </c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 t="s">
        <v>37</v>
      </c>
      <c r="AB327" s="16" t="s">
        <v>38</v>
      </c>
      <c r="AC327" s="2"/>
    </row>
    <row r="328">
      <c r="A328" s="17" t="s">
        <v>39</v>
      </c>
      <c r="B328" s="19">
        <v>1.0</v>
      </c>
      <c r="C328" s="19">
        <v>1.0</v>
      </c>
      <c r="D328" s="19">
        <v>1.0</v>
      </c>
      <c r="E328" s="19">
        <v>1.0</v>
      </c>
      <c r="F328" s="19">
        <v>1.0</v>
      </c>
      <c r="G328" s="19">
        <v>1.0</v>
      </c>
      <c r="H328" s="19">
        <v>1.0</v>
      </c>
      <c r="I328" s="19">
        <v>1.0</v>
      </c>
      <c r="J328" s="19">
        <v>1.0</v>
      </c>
      <c r="K328" s="19">
        <v>1.0</v>
      </c>
      <c r="L328" s="19">
        <v>1.0</v>
      </c>
      <c r="M328" s="19">
        <v>1.0</v>
      </c>
      <c r="N328" s="19">
        <v>1.0</v>
      </c>
      <c r="O328" s="19">
        <v>1.0</v>
      </c>
      <c r="P328" s="19">
        <v>1.0</v>
      </c>
      <c r="Q328" s="19">
        <v>1.0</v>
      </c>
      <c r="R328" s="19">
        <v>1.0</v>
      </c>
      <c r="S328" s="19">
        <v>1.0</v>
      </c>
      <c r="T328" s="19">
        <v>1.0</v>
      </c>
      <c r="U328" s="19">
        <v>1.0</v>
      </c>
      <c r="V328" s="19">
        <v>1.0</v>
      </c>
      <c r="W328" s="19">
        <v>1.0</v>
      </c>
      <c r="X328" s="18"/>
      <c r="Y328" s="18"/>
      <c r="Z328" s="18"/>
      <c r="AA328" s="20">
        <f t="shared" ref="AA328:AA332" si="113">SUM(B328:Z328)</f>
        <v>22</v>
      </c>
      <c r="AB328" s="21">
        <f t="shared" ref="AB328:AB331" si="114">AA328/(COUNT(B328:Z328)*1)</f>
        <v>1</v>
      </c>
      <c r="AC328" s="2"/>
    </row>
    <row r="329">
      <c r="A329" s="17" t="s">
        <v>40</v>
      </c>
      <c r="B329" s="19">
        <v>1.0</v>
      </c>
      <c r="C329" s="19">
        <v>1.0</v>
      </c>
      <c r="D329" s="19">
        <v>1.0</v>
      </c>
      <c r="E329" s="19">
        <v>1.0</v>
      </c>
      <c r="F329" s="19">
        <v>1.0</v>
      </c>
      <c r="G329" s="19">
        <v>1.0</v>
      </c>
      <c r="H329" s="19">
        <v>1.0</v>
      </c>
      <c r="I329" s="19">
        <v>1.0</v>
      </c>
      <c r="J329" s="19">
        <v>1.0</v>
      </c>
      <c r="K329" s="19">
        <v>1.0</v>
      </c>
      <c r="L329" s="19">
        <v>1.0</v>
      </c>
      <c r="M329" s="19">
        <v>1.0</v>
      </c>
      <c r="N329" s="19">
        <v>1.0</v>
      </c>
      <c r="O329" s="19">
        <v>1.0</v>
      </c>
      <c r="P329" s="19">
        <v>1.0</v>
      </c>
      <c r="Q329" s="19">
        <v>1.0</v>
      </c>
      <c r="R329" s="19">
        <v>1.0</v>
      </c>
      <c r="S329" s="19">
        <v>0.0</v>
      </c>
      <c r="T329" s="19">
        <v>0.0</v>
      </c>
      <c r="U329" s="19">
        <v>0.0</v>
      </c>
      <c r="V329" s="19">
        <v>1.0</v>
      </c>
      <c r="W329" s="19">
        <v>1.0</v>
      </c>
      <c r="X329" s="18"/>
      <c r="Y329" s="18"/>
      <c r="Z329" s="18"/>
      <c r="AA329" s="20">
        <f t="shared" si="113"/>
        <v>19</v>
      </c>
      <c r="AB329" s="21">
        <f t="shared" si="114"/>
        <v>0.8636363636</v>
      </c>
      <c r="AC329" s="2"/>
    </row>
    <row r="330">
      <c r="A330" s="17" t="s">
        <v>41</v>
      </c>
      <c r="B330" s="19">
        <v>1.0</v>
      </c>
      <c r="C330" s="19">
        <v>1.0</v>
      </c>
      <c r="D330" s="19">
        <v>1.0</v>
      </c>
      <c r="E330" s="19">
        <v>1.0</v>
      </c>
      <c r="F330" s="19">
        <v>1.0</v>
      </c>
      <c r="G330" s="19">
        <v>1.0</v>
      </c>
      <c r="H330" s="19">
        <v>1.0</v>
      </c>
      <c r="I330" s="19">
        <v>1.0</v>
      </c>
      <c r="J330" s="19">
        <v>1.0</v>
      </c>
      <c r="K330" s="19">
        <v>1.0</v>
      </c>
      <c r="L330" s="19">
        <v>1.0</v>
      </c>
      <c r="M330" s="19">
        <v>1.0</v>
      </c>
      <c r="N330" s="19">
        <v>1.0</v>
      </c>
      <c r="O330" s="19">
        <v>1.0</v>
      </c>
      <c r="P330" s="19">
        <v>0.0</v>
      </c>
      <c r="Q330" s="19">
        <v>1.0</v>
      </c>
      <c r="R330" s="19">
        <v>1.0</v>
      </c>
      <c r="S330" s="19">
        <v>0.0</v>
      </c>
      <c r="T330" s="19">
        <v>0.0</v>
      </c>
      <c r="U330" s="19">
        <v>1.0</v>
      </c>
      <c r="V330" s="19">
        <v>1.0</v>
      </c>
      <c r="W330" s="19">
        <v>0.0</v>
      </c>
      <c r="X330" s="18"/>
      <c r="Y330" s="18"/>
      <c r="Z330" s="18"/>
      <c r="AA330" s="20">
        <f t="shared" si="113"/>
        <v>18</v>
      </c>
      <c r="AB330" s="21">
        <f t="shared" si="114"/>
        <v>0.8181818182</v>
      </c>
      <c r="AC330" s="2"/>
    </row>
    <row r="331">
      <c r="A331" s="17" t="s">
        <v>42</v>
      </c>
      <c r="B331" s="19">
        <v>1.0</v>
      </c>
      <c r="C331" s="19">
        <v>1.0</v>
      </c>
      <c r="D331" s="19">
        <v>1.0</v>
      </c>
      <c r="E331" s="19">
        <v>1.0</v>
      </c>
      <c r="F331" s="19">
        <v>1.0</v>
      </c>
      <c r="G331" s="19">
        <v>1.0</v>
      </c>
      <c r="H331" s="19">
        <v>1.0</v>
      </c>
      <c r="I331" s="19">
        <v>1.0</v>
      </c>
      <c r="J331" s="19">
        <v>1.0</v>
      </c>
      <c r="K331" s="19">
        <v>1.0</v>
      </c>
      <c r="L331" s="19">
        <v>0.0</v>
      </c>
      <c r="M331" s="19">
        <v>0.0</v>
      </c>
      <c r="N331" s="19">
        <v>1.0</v>
      </c>
      <c r="O331" s="19">
        <v>1.0</v>
      </c>
      <c r="P331" s="19">
        <v>0.0</v>
      </c>
      <c r="Q331" s="19">
        <v>1.0</v>
      </c>
      <c r="R331" s="19">
        <v>1.0</v>
      </c>
      <c r="S331" s="19">
        <v>0.0</v>
      </c>
      <c r="T331" s="19">
        <v>0.0</v>
      </c>
      <c r="U331" s="19">
        <v>0.0</v>
      </c>
      <c r="V331" s="19">
        <v>0.0</v>
      </c>
      <c r="W331" s="19">
        <v>0.0</v>
      </c>
      <c r="X331" s="18"/>
      <c r="Y331" s="18"/>
      <c r="Z331" s="18"/>
      <c r="AA331" s="20">
        <f t="shared" si="113"/>
        <v>14</v>
      </c>
      <c r="AB331" s="21">
        <f t="shared" si="114"/>
        <v>0.6363636364</v>
      </c>
      <c r="AC331" s="2"/>
    </row>
    <row r="332">
      <c r="A332" s="17" t="s">
        <v>43</v>
      </c>
      <c r="B332" s="22">
        <f t="shared" ref="B332:Z332" si="115">SUM(B328:B331)</f>
        <v>4</v>
      </c>
      <c r="C332" s="22">
        <f t="shared" si="115"/>
        <v>4</v>
      </c>
      <c r="D332" s="22">
        <f t="shared" si="115"/>
        <v>4</v>
      </c>
      <c r="E332" s="22">
        <f t="shared" si="115"/>
        <v>4</v>
      </c>
      <c r="F332" s="22">
        <f t="shared" si="115"/>
        <v>4</v>
      </c>
      <c r="G332" s="22">
        <f t="shared" si="115"/>
        <v>4</v>
      </c>
      <c r="H332" s="22">
        <f t="shared" si="115"/>
        <v>4</v>
      </c>
      <c r="I332" s="22">
        <f t="shared" si="115"/>
        <v>4</v>
      </c>
      <c r="J332" s="22">
        <f t="shared" si="115"/>
        <v>4</v>
      </c>
      <c r="K332" s="22">
        <f t="shared" si="115"/>
        <v>4</v>
      </c>
      <c r="L332" s="22">
        <f t="shared" si="115"/>
        <v>3</v>
      </c>
      <c r="M332" s="22">
        <f t="shared" si="115"/>
        <v>3</v>
      </c>
      <c r="N332" s="22">
        <f t="shared" si="115"/>
        <v>4</v>
      </c>
      <c r="O332" s="22">
        <f t="shared" si="115"/>
        <v>4</v>
      </c>
      <c r="P332" s="22">
        <f t="shared" si="115"/>
        <v>2</v>
      </c>
      <c r="Q332" s="22">
        <f t="shared" si="115"/>
        <v>4</v>
      </c>
      <c r="R332" s="22">
        <f t="shared" si="115"/>
        <v>4</v>
      </c>
      <c r="S332" s="22">
        <f t="shared" si="115"/>
        <v>1</v>
      </c>
      <c r="T332" s="22">
        <f t="shared" si="115"/>
        <v>1</v>
      </c>
      <c r="U332" s="22">
        <f t="shared" si="115"/>
        <v>2</v>
      </c>
      <c r="V332" s="22">
        <f t="shared" si="115"/>
        <v>3</v>
      </c>
      <c r="W332" s="22">
        <f t="shared" si="115"/>
        <v>2</v>
      </c>
      <c r="X332" s="22">
        <f t="shared" si="115"/>
        <v>0</v>
      </c>
      <c r="Y332" s="22">
        <f t="shared" si="115"/>
        <v>0</v>
      </c>
      <c r="Z332" s="22">
        <f t="shared" si="115"/>
        <v>0</v>
      </c>
      <c r="AA332" s="20">
        <f t="shared" si="113"/>
        <v>73</v>
      </c>
      <c r="AB332" s="23"/>
      <c r="AC332" s="2"/>
    </row>
    <row r="333">
      <c r="A333" s="17" t="s">
        <v>38</v>
      </c>
      <c r="B333" s="24">
        <f t="shared" ref="B333:Z333" si="116">B332/(COUNT(B328:B331)*1)</f>
        <v>1</v>
      </c>
      <c r="C333" s="24">
        <f t="shared" si="116"/>
        <v>1</v>
      </c>
      <c r="D333" s="24">
        <f t="shared" si="116"/>
        <v>1</v>
      </c>
      <c r="E333" s="24">
        <f t="shared" si="116"/>
        <v>1</v>
      </c>
      <c r="F333" s="24">
        <f t="shared" si="116"/>
        <v>1</v>
      </c>
      <c r="G333" s="24">
        <f t="shared" si="116"/>
        <v>1</v>
      </c>
      <c r="H333" s="24">
        <f t="shared" si="116"/>
        <v>1</v>
      </c>
      <c r="I333" s="24">
        <f t="shared" si="116"/>
        <v>1</v>
      </c>
      <c r="J333" s="24">
        <f t="shared" si="116"/>
        <v>1</v>
      </c>
      <c r="K333" s="24">
        <f t="shared" si="116"/>
        <v>1</v>
      </c>
      <c r="L333" s="24">
        <f t="shared" si="116"/>
        <v>0.75</v>
      </c>
      <c r="M333" s="24">
        <f t="shared" si="116"/>
        <v>0.75</v>
      </c>
      <c r="N333" s="24">
        <f t="shared" si="116"/>
        <v>1</v>
      </c>
      <c r="O333" s="24">
        <f t="shared" si="116"/>
        <v>1</v>
      </c>
      <c r="P333" s="24">
        <f t="shared" si="116"/>
        <v>0.5</v>
      </c>
      <c r="Q333" s="24">
        <f t="shared" si="116"/>
        <v>1</v>
      </c>
      <c r="R333" s="24">
        <f t="shared" si="116"/>
        <v>1</v>
      </c>
      <c r="S333" s="24">
        <f t="shared" si="116"/>
        <v>0.25</v>
      </c>
      <c r="T333" s="24">
        <f t="shared" si="116"/>
        <v>0.25</v>
      </c>
      <c r="U333" s="24">
        <f t="shared" si="116"/>
        <v>0.5</v>
      </c>
      <c r="V333" s="24">
        <f t="shared" si="116"/>
        <v>0.75</v>
      </c>
      <c r="W333" s="24">
        <f t="shared" si="116"/>
        <v>0.5</v>
      </c>
      <c r="X333" s="24" t="str">
        <f t="shared" si="116"/>
        <v>#DIV/0!</v>
      </c>
      <c r="Y333" s="24" t="str">
        <f t="shared" si="116"/>
        <v>#DIV/0!</v>
      </c>
      <c r="Z333" s="24" t="str">
        <f t="shared" si="116"/>
        <v>#DIV/0!</v>
      </c>
      <c r="AA333" s="25"/>
      <c r="AB333" s="26">
        <f>SUM(AB328:AB331)/4</f>
        <v>0.8295454545</v>
      </c>
      <c r="AC333" s="2"/>
    </row>
    <row r="334">
      <c r="A334" s="27" t="s">
        <v>44</v>
      </c>
      <c r="B334" s="28"/>
      <c r="C334" s="29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30">
        <f t="shared" ref="AA334:AA336" si="117">SUM(B334:Z334)</f>
        <v>0</v>
      </c>
      <c r="AB334" s="31"/>
      <c r="AC334" s="2"/>
    </row>
    <row r="335">
      <c r="A335" s="32" t="s">
        <v>45</v>
      </c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28"/>
      <c r="W335" s="28"/>
      <c r="X335" s="28"/>
      <c r="Y335" s="28"/>
      <c r="Z335" s="28"/>
      <c r="AA335" s="30">
        <f t="shared" si="117"/>
        <v>0</v>
      </c>
      <c r="AB335" s="31"/>
      <c r="AC335" s="9"/>
    </row>
    <row r="336">
      <c r="A336" s="34" t="s">
        <v>46</v>
      </c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28"/>
      <c r="W336" s="28"/>
      <c r="X336" s="28"/>
      <c r="Y336" s="28"/>
      <c r="Z336" s="28"/>
      <c r="AA336" s="30">
        <f t="shared" si="117"/>
        <v>0</v>
      </c>
      <c r="AB336" s="31"/>
      <c r="AC336" s="9"/>
    </row>
    <row r="337">
      <c r="A337" s="35" t="s">
        <v>47</v>
      </c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7"/>
      <c r="AA337" s="38"/>
      <c r="AB337" s="39"/>
      <c r="AC337" s="2"/>
    </row>
    <row r="338">
      <c r="A338" s="40" t="s">
        <v>48</v>
      </c>
      <c r="B338" s="41"/>
      <c r="C338" s="42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3"/>
      <c r="W338" s="43"/>
      <c r="X338" s="43"/>
      <c r="Y338" s="43"/>
      <c r="Z338" s="43"/>
      <c r="AA338" s="44">
        <f t="shared" ref="AA338:AA339" si="118">SUM(B338:Z338)</f>
        <v>0</v>
      </c>
      <c r="AB338" s="31"/>
      <c r="AC338" s="2"/>
    </row>
    <row r="339">
      <c r="A339" s="40" t="s">
        <v>49</v>
      </c>
      <c r="B339" s="41"/>
      <c r="C339" s="42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3"/>
      <c r="W339" s="43"/>
      <c r="X339" s="43"/>
      <c r="Y339" s="43"/>
      <c r="Z339" s="43"/>
      <c r="AA339" s="44">
        <f t="shared" si="118"/>
        <v>0</v>
      </c>
      <c r="AB339" s="31"/>
      <c r="AC339" s="2"/>
    </row>
    <row r="340">
      <c r="A340" s="40" t="s">
        <v>50</v>
      </c>
      <c r="B340" s="42"/>
      <c r="C340" s="42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3"/>
      <c r="W340" s="43"/>
      <c r="X340" s="43"/>
      <c r="Y340" s="43"/>
      <c r="Z340" s="43"/>
      <c r="AA340" s="44" t="str">
        <f>AVERAGE(B340:Z340)</f>
        <v>#DIV/0!</v>
      </c>
      <c r="AB340" s="31"/>
      <c r="AC340" s="2"/>
    </row>
    <row r="341">
      <c r="A341" s="45" t="s">
        <v>51</v>
      </c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7"/>
      <c r="AA341" s="46"/>
      <c r="AB341" s="39"/>
      <c r="AC341" s="2"/>
    </row>
    <row r="342">
      <c r="A342" s="47" t="s">
        <v>48</v>
      </c>
      <c r="B342" s="48"/>
      <c r="C342" s="49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50"/>
      <c r="W342" s="50"/>
      <c r="X342" s="50"/>
      <c r="Y342" s="50"/>
      <c r="Z342" s="50"/>
      <c r="AA342" s="51">
        <f t="shared" ref="AA342:AA343" si="119">SUM(B342:Z342)</f>
        <v>0</v>
      </c>
      <c r="AB342" s="31"/>
      <c r="AC342" s="2"/>
    </row>
    <row r="343">
      <c r="A343" s="47" t="s">
        <v>49</v>
      </c>
      <c r="B343" s="48"/>
      <c r="C343" s="49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50"/>
      <c r="W343" s="50"/>
      <c r="X343" s="50"/>
      <c r="Y343" s="50"/>
      <c r="Z343" s="50"/>
      <c r="AA343" s="51">
        <f t="shared" si="119"/>
        <v>0</v>
      </c>
      <c r="AB343" s="31"/>
      <c r="AC343" s="2"/>
    </row>
    <row r="344">
      <c r="A344" s="47" t="s">
        <v>50</v>
      </c>
      <c r="B344" s="49"/>
      <c r="C344" s="49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50"/>
      <c r="W344" s="50"/>
      <c r="X344" s="50"/>
      <c r="Y344" s="50"/>
      <c r="Z344" s="50"/>
      <c r="AA344" s="51" t="str">
        <f>AVERAGE(B344:Z344)</f>
        <v>#DIV/0!</v>
      </c>
      <c r="AB344" s="31"/>
      <c r="AC344" s="2"/>
    </row>
    <row r="345">
      <c r="A345" s="52" t="s">
        <v>53</v>
      </c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7"/>
      <c r="AA345" s="38"/>
      <c r="AB345" s="39"/>
      <c r="AC345" s="2"/>
    </row>
    <row r="346">
      <c r="A346" s="40" t="s">
        <v>48</v>
      </c>
      <c r="B346" s="41"/>
      <c r="C346" s="42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3"/>
      <c r="W346" s="43"/>
      <c r="X346" s="43"/>
      <c r="Y346" s="43"/>
      <c r="Z346" s="43"/>
      <c r="AA346" s="44">
        <f t="shared" ref="AA346:AA347" si="120">SUM(B346:Z346)</f>
        <v>0</v>
      </c>
      <c r="AB346" s="31"/>
      <c r="AC346" s="2"/>
    </row>
    <row r="347">
      <c r="A347" s="40" t="s">
        <v>49</v>
      </c>
      <c r="B347" s="41"/>
      <c r="C347" s="42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3"/>
      <c r="W347" s="43"/>
      <c r="X347" s="43"/>
      <c r="Y347" s="43"/>
      <c r="Z347" s="43"/>
      <c r="AA347" s="44">
        <f t="shared" si="120"/>
        <v>0</v>
      </c>
      <c r="AB347" s="31"/>
      <c r="AC347" s="2"/>
    </row>
    <row r="348">
      <c r="A348" s="53" t="s">
        <v>50</v>
      </c>
      <c r="B348" s="54"/>
      <c r="C348" s="54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6"/>
      <c r="W348" s="56"/>
      <c r="X348" s="56"/>
      <c r="Y348" s="56"/>
      <c r="Z348" s="56"/>
      <c r="AA348" s="57" t="str">
        <f>AVERAGE(B348:Z348)</f>
        <v>#DIV/0!</v>
      </c>
      <c r="AB348" s="58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59"/>
      <c r="AB349" s="59"/>
      <c r="AC349" s="2"/>
    </row>
    <row r="350">
      <c r="A350" s="71" t="s">
        <v>54</v>
      </c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5" t="s">
        <v>37</v>
      </c>
      <c r="AB350" s="16" t="s">
        <v>38</v>
      </c>
      <c r="AC350" s="2"/>
    </row>
    <row r="351">
      <c r="A351" s="17" t="s">
        <v>39</v>
      </c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20">
        <f t="shared" ref="AA351:AA355" si="121">SUM(B351:Z351)</f>
        <v>0</v>
      </c>
      <c r="AB351" s="21" t="str">
        <f t="shared" ref="AB351:AB354" si="122">AA351/(COUNT(B351:Z351)*1)</f>
        <v>#DIV/0!</v>
      </c>
      <c r="AC351" s="2"/>
    </row>
    <row r="352">
      <c r="A352" s="17" t="s">
        <v>40</v>
      </c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20">
        <f t="shared" si="121"/>
        <v>0</v>
      </c>
      <c r="AB352" s="21" t="str">
        <f t="shared" si="122"/>
        <v>#DIV/0!</v>
      </c>
      <c r="AC352" s="2"/>
    </row>
    <row r="353">
      <c r="A353" s="17" t="s">
        <v>41</v>
      </c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20">
        <f t="shared" si="121"/>
        <v>0</v>
      </c>
      <c r="AB353" s="21" t="str">
        <f t="shared" si="122"/>
        <v>#DIV/0!</v>
      </c>
      <c r="AC353" s="2"/>
    </row>
    <row r="354">
      <c r="A354" s="17" t="s">
        <v>42</v>
      </c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20">
        <f t="shared" si="121"/>
        <v>0</v>
      </c>
      <c r="AB354" s="21" t="str">
        <f t="shared" si="122"/>
        <v>#DIV/0!</v>
      </c>
      <c r="AC354" s="2"/>
    </row>
    <row r="355">
      <c r="A355" s="17" t="s">
        <v>43</v>
      </c>
      <c r="B355" s="22">
        <f t="shared" ref="B355:Z355" si="123">SUM(B351:B354)</f>
        <v>0</v>
      </c>
      <c r="C355" s="22">
        <f t="shared" si="123"/>
        <v>0</v>
      </c>
      <c r="D355" s="22">
        <f t="shared" si="123"/>
        <v>0</v>
      </c>
      <c r="E355" s="22">
        <f t="shared" si="123"/>
        <v>0</v>
      </c>
      <c r="F355" s="22">
        <f t="shared" si="123"/>
        <v>0</v>
      </c>
      <c r="G355" s="22">
        <f t="shared" si="123"/>
        <v>0</v>
      </c>
      <c r="H355" s="22">
        <f t="shared" si="123"/>
        <v>0</v>
      </c>
      <c r="I355" s="22">
        <f t="shared" si="123"/>
        <v>0</v>
      </c>
      <c r="J355" s="22">
        <f t="shared" si="123"/>
        <v>0</v>
      </c>
      <c r="K355" s="22">
        <f t="shared" si="123"/>
        <v>0</v>
      </c>
      <c r="L355" s="22">
        <f t="shared" si="123"/>
        <v>0</v>
      </c>
      <c r="M355" s="22">
        <f t="shared" si="123"/>
        <v>0</v>
      </c>
      <c r="N355" s="22">
        <f t="shared" si="123"/>
        <v>0</v>
      </c>
      <c r="O355" s="22">
        <f t="shared" si="123"/>
        <v>0</v>
      </c>
      <c r="P355" s="22">
        <f t="shared" si="123"/>
        <v>0</v>
      </c>
      <c r="Q355" s="22">
        <f t="shared" si="123"/>
        <v>0</v>
      </c>
      <c r="R355" s="22">
        <f t="shared" si="123"/>
        <v>0</v>
      </c>
      <c r="S355" s="22">
        <f t="shared" si="123"/>
        <v>0</v>
      </c>
      <c r="T355" s="22">
        <f t="shared" si="123"/>
        <v>0</v>
      </c>
      <c r="U355" s="22">
        <f t="shared" si="123"/>
        <v>0</v>
      </c>
      <c r="V355" s="22">
        <f t="shared" si="123"/>
        <v>0</v>
      </c>
      <c r="W355" s="22">
        <f t="shared" si="123"/>
        <v>0</v>
      </c>
      <c r="X355" s="22">
        <f t="shared" si="123"/>
        <v>0</v>
      </c>
      <c r="Y355" s="22">
        <f t="shared" si="123"/>
        <v>0</v>
      </c>
      <c r="Z355" s="22">
        <f t="shared" si="123"/>
        <v>0</v>
      </c>
      <c r="AA355" s="20">
        <f t="shared" si="121"/>
        <v>0</v>
      </c>
      <c r="AB355" s="23"/>
      <c r="AC355" s="2"/>
    </row>
    <row r="356">
      <c r="A356" s="17" t="s">
        <v>38</v>
      </c>
      <c r="B356" s="24" t="str">
        <f t="shared" ref="B356:Z356" si="124">B355/(COUNT(B351:B354)*1)</f>
        <v>#DIV/0!</v>
      </c>
      <c r="C356" s="24" t="str">
        <f t="shared" si="124"/>
        <v>#DIV/0!</v>
      </c>
      <c r="D356" s="24" t="str">
        <f t="shared" si="124"/>
        <v>#DIV/0!</v>
      </c>
      <c r="E356" s="24" t="str">
        <f t="shared" si="124"/>
        <v>#DIV/0!</v>
      </c>
      <c r="F356" s="24" t="str">
        <f t="shared" si="124"/>
        <v>#DIV/0!</v>
      </c>
      <c r="G356" s="24" t="str">
        <f t="shared" si="124"/>
        <v>#DIV/0!</v>
      </c>
      <c r="H356" s="24" t="str">
        <f t="shared" si="124"/>
        <v>#DIV/0!</v>
      </c>
      <c r="I356" s="24" t="str">
        <f t="shared" si="124"/>
        <v>#DIV/0!</v>
      </c>
      <c r="J356" s="24" t="str">
        <f t="shared" si="124"/>
        <v>#DIV/0!</v>
      </c>
      <c r="K356" s="24" t="str">
        <f t="shared" si="124"/>
        <v>#DIV/0!</v>
      </c>
      <c r="L356" s="24" t="str">
        <f t="shared" si="124"/>
        <v>#DIV/0!</v>
      </c>
      <c r="M356" s="24" t="str">
        <f t="shared" si="124"/>
        <v>#DIV/0!</v>
      </c>
      <c r="N356" s="24" t="str">
        <f t="shared" si="124"/>
        <v>#DIV/0!</v>
      </c>
      <c r="O356" s="24" t="str">
        <f t="shared" si="124"/>
        <v>#DIV/0!</v>
      </c>
      <c r="P356" s="24" t="str">
        <f t="shared" si="124"/>
        <v>#DIV/0!</v>
      </c>
      <c r="Q356" s="24" t="str">
        <f t="shared" si="124"/>
        <v>#DIV/0!</v>
      </c>
      <c r="R356" s="24" t="str">
        <f t="shared" si="124"/>
        <v>#DIV/0!</v>
      </c>
      <c r="S356" s="24" t="str">
        <f t="shared" si="124"/>
        <v>#DIV/0!</v>
      </c>
      <c r="T356" s="24" t="str">
        <f t="shared" si="124"/>
        <v>#DIV/0!</v>
      </c>
      <c r="U356" s="24" t="str">
        <f t="shared" si="124"/>
        <v>#DIV/0!</v>
      </c>
      <c r="V356" s="24" t="str">
        <f t="shared" si="124"/>
        <v>#DIV/0!</v>
      </c>
      <c r="W356" s="24" t="str">
        <f t="shared" si="124"/>
        <v>#DIV/0!</v>
      </c>
      <c r="X356" s="24" t="str">
        <f t="shared" si="124"/>
        <v>#DIV/0!</v>
      </c>
      <c r="Y356" s="24" t="str">
        <f t="shared" si="124"/>
        <v>#DIV/0!</v>
      </c>
      <c r="Z356" s="24" t="str">
        <f t="shared" si="124"/>
        <v>#DIV/0!</v>
      </c>
      <c r="AA356" s="25"/>
      <c r="AB356" s="26" t="str">
        <f>SUM(AB351:AB354)/4</f>
        <v>#DIV/0!</v>
      </c>
      <c r="AC356" s="2"/>
    </row>
    <row r="357">
      <c r="A357" s="27" t="s">
        <v>44</v>
      </c>
      <c r="B357" s="28"/>
      <c r="C357" s="29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30">
        <f t="shared" ref="AA357:AA359" si="125">SUM(B357:Z357)</f>
        <v>0</v>
      </c>
      <c r="AB357" s="31"/>
      <c r="AC357" s="2"/>
    </row>
    <row r="358">
      <c r="A358" s="32" t="s">
        <v>45</v>
      </c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28"/>
      <c r="W358" s="28"/>
      <c r="X358" s="28"/>
      <c r="Y358" s="28"/>
      <c r="Z358" s="28"/>
      <c r="AA358" s="30">
        <f t="shared" si="125"/>
        <v>0</v>
      </c>
      <c r="AB358" s="31"/>
      <c r="AC358" s="9"/>
    </row>
    <row r="359">
      <c r="A359" s="34" t="s">
        <v>46</v>
      </c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28"/>
      <c r="W359" s="28"/>
      <c r="X359" s="28"/>
      <c r="Y359" s="28"/>
      <c r="Z359" s="28"/>
      <c r="AA359" s="30">
        <f t="shared" si="125"/>
        <v>0</v>
      </c>
      <c r="AB359" s="31"/>
      <c r="AC359" s="9"/>
    </row>
    <row r="360">
      <c r="A360" s="35" t="s">
        <v>47</v>
      </c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7"/>
      <c r="AA360" s="38"/>
      <c r="AB360" s="39"/>
      <c r="AC360" s="2"/>
    </row>
    <row r="361">
      <c r="A361" s="40" t="s">
        <v>48</v>
      </c>
      <c r="B361" s="41"/>
      <c r="C361" s="42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3"/>
      <c r="W361" s="43"/>
      <c r="X361" s="43"/>
      <c r="Y361" s="43"/>
      <c r="Z361" s="43"/>
      <c r="AA361" s="44">
        <f t="shared" ref="AA361:AA362" si="126">SUM(B361:Z361)</f>
        <v>0</v>
      </c>
      <c r="AB361" s="31"/>
      <c r="AC361" s="2"/>
    </row>
    <row r="362">
      <c r="A362" s="40" t="s">
        <v>49</v>
      </c>
      <c r="B362" s="41"/>
      <c r="C362" s="42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3"/>
      <c r="W362" s="43"/>
      <c r="X362" s="43"/>
      <c r="Y362" s="43"/>
      <c r="Z362" s="43"/>
      <c r="AA362" s="44">
        <f t="shared" si="126"/>
        <v>0</v>
      </c>
      <c r="AB362" s="31"/>
      <c r="AC362" s="2"/>
    </row>
    <row r="363">
      <c r="A363" s="40" t="s">
        <v>50</v>
      </c>
      <c r="B363" s="42"/>
      <c r="C363" s="42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3"/>
      <c r="W363" s="43"/>
      <c r="X363" s="43"/>
      <c r="Y363" s="43"/>
      <c r="Z363" s="43"/>
      <c r="AA363" s="44" t="str">
        <f>AVERAGE(B363:Z363)</f>
        <v>#DIV/0!</v>
      </c>
      <c r="AB363" s="31"/>
      <c r="AC363" s="2"/>
    </row>
    <row r="364">
      <c r="A364" s="45" t="s">
        <v>51</v>
      </c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7"/>
      <c r="AA364" s="46"/>
      <c r="AB364" s="39"/>
      <c r="AC364" s="2"/>
    </row>
    <row r="365">
      <c r="A365" s="47" t="s">
        <v>48</v>
      </c>
      <c r="B365" s="48"/>
      <c r="C365" s="49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50"/>
      <c r="W365" s="50"/>
      <c r="X365" s="50"/>
      <c r="Y365" s="50"/>
      <c r="Z365" s="50"/>
      <c r="AA365" s="51">
        <f t="shared" ref="AA365:AA366" si="127">SUM(B365:Z365)</f>
        <v>0</v>
      </c>
      <c r="AB365" s="31"/>
      <c r="AC365" s="2"/>
    </row>
    <row r="366">
      <c r="A366" s="47" t="s">
        <v>49</v>
      </c>
      <c r="B366" s="48"/>
      <c r="C366" s="49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50"/>
      <c r="W366" s="50"/>
      <c r="X366" s="50"/>
      <c r="Y366" s="50"/>
      <c r="Z366" s="50"/>
      <c r="AA366" s="51">
        <f t="shared" si="127"/>
        <v>0</v>
      </c>
      <c r="AB366" s="31"/>
      <c r="AC366" s="2"/>
    </row>
    <row r="367">
      <c r="A367" s="47" t="s">
        <v>50</v>
      </c>
      <c r="B367" s="49"/>
      <c r="C367" s="49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50"/>
      <c r="W367" s="50"/>
      <c r="X367" s="50"/>
      <c r="Y367" s="50"/>
      <c r="Z367" s="50"/>
      <c r="AA367" s="51" t="str">
        <f>AVERAGE(B367:Z367)</f>
        <v>#DIV/0!</v>
      </c>
      <c r="AB367" s="31"/>
      <c r="AC367" s="2"/>
    </row>
    <row r="368">
      <c r="A368" s="52" t="s">
        <v>53</v>
      </c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8"/>
      <c r="AB368" s="39"/>
      <c r="AC368" s="2"/>
    </row>
    <row r="369">
      <c r="A369" s="40" t="s">
        <v>48</v>
      </c>
      <c r="B369" s="41"/>
      <c r="C369" s="42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3"/>
      <c r="W369" s="43"/>
      <c r="X369" s="43"/>
      <c r="Y369" s="43"/>
      <c r="Z369" s="43"/>
      <c r="AA369" s="44">
        <f t="shared" ref="AA369:AA370" si="128">SUM(B369:Z369)</f>
        <v>0</v>
      </c>
      <c r="AB369" s="31"/>
      <c r="AC369" s="2"/>
    </row>
    <row r="370">
      <c r="A370" s="40" t="s">
        <v>49</v>
      </c>
      <c r="B370" s="41"/>
      <c r="C370" s="42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3"/>
      <c r="W370" s="43"/>
      <c r="X370" s="43"/>
      <c r="Y370" s="43"/>
      <c r="Z370" s="43"/>
      <c r="AA370" s="44">
        <f t="shared" si="128"/>
        <v>0</v>
      </c>
      <c r="AB370" s="31"/>
      <c r="AC370" s="2"/>
    </row>
    <row r="371">
      <c r="A371" s="53" t="s">
        <v>50</v>
      </c>
      <c r="B371" s="54"/>
      <c r="C371" s="54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6"/>
      <c r="W371" s="56"/>
      <c r="X371" s="56"/>
      <c r="Y371" s="56"/>
      <c r="Z371" s="56"/>
      <c r="AA371" s="57" t="str">
        <f>AVERAGE(B371:Z371)</f>
        <v>#DIV/0!</v>
      </c>
      <c r="AB371" s="58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59"/>
      <c r="AB372" s="59"/>
      <c r="AC372" s="2"/>
    </row>
    <row r="373">
      <c r="A373" s="71" t="s">
        <v>54</v>
      </c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5" t="s">
        <v>37</v>
      </c>
      <c r="AB373" s="16" t="s">
        <v>38</v>
      </c>
      <c r="AC373" s="2"/>
    </row>
    <row r="374">
      <c r="A374" s="17" t="s">
        <v>39</v>
      </c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20">
        <f t="shared" ref="AA374:AA378" si="129">SUM(B374:Z374)</f>
        <v>0</v>
      </c>
      <c r="AB374" s="21" t="str">
        <f t="shared" ref="AB374:AB377" si="130">AA374/(COUNT(B374:Z374)*1)</f>
        <v>#DIV/0!</v>
      </c>
      <c r="AC374" s="2"/>
    </row>
    <row r="375">
      <c r="A375" s="17" t="s">
        <v>40</v>
      </c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20">
        <f t="shared" si="129"/>
        <v>0</v>
      </c>
      <c r="AB375" s="21" t="str">
        <f t="shared" si="130"/>
        <v>#DIV/0!</v>
      </c>
      <c r="AC375" s="2"/>
    </row>
    <row r="376">
      <c r="A376" s="17" t="s">
        <v>41</v>
      </c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20">
        <f t="shared" si="129"/>
        <v>0</v>
      </c>
      <c r="AB376" s="21" t="str">
        <f t="shared" si="130"/>
        <v>#DIV/0!</v>
      </c>
      <c r="AC376" s="2"/>
    </row>
    <row r="377">
      <c r="A377" s="17" t="s">
        <v>42</v>
      </c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20">
        <f t="shared" si="129"/>
        <v>0</v>
      </c>
      <c r="AB377" s="21" t="str">
        <f t="shared" si="130"/>
        <v>#DIV/0!</v>
      </c>
      <c r="AC377" s="2"/>
    </row>
    <row r="378">
      <c r="A378" s="17" t="s">
        <v>43</v>
      </c>
      <c r="B378" s="22">
        <f t="shared" ref="B378:Z378" si="131">SUM(B374:B377)</f>
        <v>0</v>
      </c>
      <c r="C378" s="22">
        <f t="shared" si="131"/>
        <v>0</v>
      </c>
      <c r="D378" s="22">
        <f t="shared" si="131"/>
        <v>0</v>
      </c>
      <c r="E378" s="22">
        <f t="shared" si="131"/>
        <v>0</v>
      </c>
      <c r="F378" s="22">
        <f t="shared" si="131"/>
        <v>0</v>
      </c>
      <c r="G378" s="22">
        <f t="shared" si="131"/>
        <v>0</v>
      </c>
      <c r="H378" s="22">
        <f t="shared" si="131"/>
        <v>0</v>
      </c>
      <c r="I378" s="22">
        <f t="shared" si="131"/>
        <v>0</v>
      </c>
      <c r="J378" s="22">
        <f t="shared" si="131"/>
        <v>0</v>
      </c>
      <c r="K378" s="22">
        <f t="shared" si="131"/>
        <v>0</v>
      </c>
      <c r="L378" s="22">
        <f t="shared" si="131"/>
        <v>0</v>
      </c>
      <c r="M378" s="22">
        <f t="shared" si="131"/>
        <v>0</v>
      </c>
      <c r="N378" s="22">
        <f t="shared" si="131"/>
        <v>0</v>
      </c>
      <c r="O378" s="22">
        <f t="shared" si="131"/>
        <v>0</v>
      </c>
      <c r="P378" s="22">
        <f t="shared" si="131"/>
        <v>0</v>
      </c>
      <c r="Q378" s="22">
        <f t="shared" si="131"/>
        <v>0</v>
      </c>
      <c r="R378" s="22">
        <f t="shared" si="131"/>
        <v>0</v>
      </c>
      <c r="S378" s="22">
        <f t="shared" si="131"/>
        <v>0</v>
      </c>
      <c r="T378" s="22">
        <f t="shared" si="131"/>
        <v>0</v>
      </c>
      <c r="U378" s="22">
        <f t="shared" si="131"/>
        <v>0</v>
      </c>
      <c r="V378" s="22">
        <f t="shared" si="131"/>
        <v>0</v>
      </c>
      <c r="W378" s="22">
        <f t="shared" si="131"/>
        <v>0</v>
      </c>
      <c r="X378" s="22">
        <f t="shared" si="131"/>
        <v>0</v>
      </c>
      <c r="Y378" s="22">
        <f t="shared" si="131"/>
        <v>0</v>
      </c>
      <c r="Z378" s="22">
        <f t="shared" si="131"/>
        <v>0</v>
      </c>
      <c r="AA378" s="20">
        <f t="shared" si="129"/>
        <v>0</v>
      </c>
      <c r="AB378" s="23"/>
      <c r="AC378" s="2"/>
    </row>
    <row r="379">
      <c r="A379" s="17" t="s">
        <v>38</v>
      </c>
      <c r="B379" s="24" t="str">
        <f t="shared" ref="B379:Z379" si="132">B378/(COUNT(B374:B377)*1)</f>
        <v>#DIV/0!</v>
      </c>
      <c r="C379" s="24" t="str">
        <f t="shared" si="132"/>
        <v>#DIV/0!</v>
      </c>
      <c r="D379" s="24" t="str">
        <f t="shared" si="132"/>
        <v>#DIV/0!</v>
      </c>
      <c r="E379" s="24" t="str">
        <f t="shared" si="132"/>
        <v>#DIV/0!</v>
      </c>
      <c r="F379" s="24" t="str">
        <f t="shared" si="132"/>
        <v>#DIV/0!</v>
      </c>
      <c r="G379" s="24" t="str">
        <f t="shared" si="132"/>
        <v>#DIV/0!</v>
      </c>
      <c r="H379" s="24" t="str">
        <f t="shared" si="132"/>
        <v>#DIV/0!</v>
      </c>
      <c r="I379" s="24" t="str">
        <f t="shared" si="132"/>
        <v>#DIV/0!</v>
      </c>
      <c r="J379" s="24" t="str">
        <f t="shared" si="132"/>
        <v>#DIV/0!</v>
      </c>
      <c r="K379" s="24" t="str">
        <f t="shared" si="132"/>
        <v>#DIV/0!</v>
      </c>
      <c r="L379" s="24" t="str">
        <f t="shared" si="132"/>
        <v>#DIV/0!</v>
      </c>
      <c r="M379" s="24" t="str">
        <f t="shared" si="132"/>
        <v>#DIV/0!</v>
      </c>
      <c r="N379" s="24" t="str">
        <f t="shared" si="132"/>
        <v>#DIV/0!</v>
      </c>
      <c r="O379" s="24" t="str">
        <f t="shared" si="132"/>
        <v>#DIV/0!</v>
      </c>
      <c r="P379" s="24" t="str">
        <f t="shared" si="132"/>
        <v>#DIV/0!</v>
      </c>
      <c r="Q379" s="24" t="str">
        <f t="shared" si="132"/>
        <v>#DIV/0!</v>
      </c>
      <c r="R379" s="24" t="str">
        <f t="shared" si="132"/>
        <v>#DIV/0!</v>
      </c>
      <c r="S379" s="24" t="str">
        <f t="shared" si="132"/>
        <v>#DIV/0!</v>
      </c>
      <c r="T379" s="24" t="str">
        <f t="shared" si="132"/>
        <v>#DIV/0!</v>
      </c>
      <c r="U379" s="24" t="str">
        <f t="shared" si="132"/>
        <v>#DIV/0!</v>
      </c>
      <c r="V379" s="24" t="str">
        <f t="shared" si="132"/>
        <v>#DIV/0!</v>
      </c>
      <c r="W379" s="24" t="str">
        <f t="shared" si="132"/>
        <v>#DIV/0!</v>
      </c>
      <c r="X379" s="24" t="str">
        <f t="shared" si="132"/>
        <v>#DIV/0!</v>
      </c>
      <c r="Y379" s="24" t="str">
        <f t="shared" si="132"/>
        <v>#DIV/0!</v>
      </c>
      <c r="Z379" s="24" t="str">
        <f t="shared" si="132"/>
        <v>#DIV/0!</v>
      </c>
      <c r="AA379" s="25"/>
      <c r="AB379" s="26" t="str">
        <f>SUM(AB374:AB377)/4</f>
        <v>#DIV/0!</v>
      </c>
      <c r="AC379" s="2"/>
    </row>
    <row r="380">
      <c r="A380" s="27" t="s">
        <v>44</v>
      </c>
      <c r="B380" s="28"/>
      <c r="C380" s="29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30">
        <f t="shared" ref="AA380:AA382" si="133">SUM(B380:Z380)</f>
        <v>0</v>
      </c>
      <c r="AB380" s="31"/>
      <c r="AC380" s="2"/>
    </row>
    <row r="381">
      <c r="A381" s="32" t="s">
        <v>45</v>
      </c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28"/>
      <c r="W381" s="28"/>
      <c r="X381" s="28"/>
      <c r="Y381" s="28"/>
      <c r="Z381" s="28"/>
      <c r="AA381" s="30">
        <f t="shared" si="133"/>
        <v>0</v>
      </c>
      <c r="AB381" s="31"/>
      <c r="AC381" s="9"/>
    </row>
    <row r="382">
      <c r="A382" s="34" t="s">
        <v>46</v>
      </c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28"/>
      <c r="W382" s="28"/>
      <c r="X382" s="28"/>
      <c r="Y382" s="28"/>
      <c r="Z382" s="28"/>
      <c r="AA382" s="30">
        <f t="shared" si="133"/>
        <v>0</v>
      </c>
      <c r="AB382" s="31"/>
      <c r="AC382" s="9"/>
    </row>
    <row r="383">
      <c r="A383" s="35" t="s">
        <v>47</v>
      </c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7"/>
      <c r="AA383" s="38"/>
      <c r="AB383" s="39"/>
      <c r="AC383" s="2"/>
    </row>
    <row r="384">
      <c r="A384" s="40" t="s">
        <v>48</v>
      </c>
      <c r="B384" s="41"/>
      <c r="C384" s="42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3"/>
      <c r="W384" s="43"/>
      <c r="X384" s="43"/>
      <c r="Y384" s="43"/>
      <c r="Z384" s="43"/>
      <c r="AA384" s="44">
        <f t="shared" ref="AA384:AA385" si="134">SUM(B384:Z384)</f>
        <v>0</v>
      </c>
      <c r="AB384" s="31"/>
      <c r="AC384" s="2"/>
    </row>
    <row r="385">
      <c r="A385" s="40" t="s">
        <v>49</v>
      </c>
      <c r="B385" s="41"/>
      <c r="C385" s="42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3"/>
      <c r="W385" s="43"/>
      <c r="X385" s="43"/>
      <c r="Y385" s="43"/>
      <c r="Z385" s="43"/>
      <c r="AA385" s="44">
        <f t="shared" si="134"/>
        <v>0</v>
      </c>
      <c r="AB385" s="31"/>
      <c r="AC385" s="2"/>
    </row>
    <row r="386">
      <c r="A386" s="40" t="s">
        <v>50</v>
      </c>
      <c r="B386" s="42"/>
      <c r="C386" s="42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3"/>
      <c r="W386" s="43"/>
      <c r="X386" s="43"/>
      <c r="Y386" s="43"/>
      <c r="Z386" s="43"/>
      <c r="AA386" s="44" t="str">
        <f>AVERAGE(B386:Z386)</f>
        <v>#DIV/0!</v>
      </c>
      <c r="AB386" s="31"/>
      <c r="AC386" s="2"/>
    </row>
    <row r="387">
      <c r="A387" s="45" t="s">
        <v>51</v>
      </c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7"/>
      <c r="AA387" s="46"/>
      <c r="AB387" s="39"/>
      <c r="AC387" s="2"/>
    </row>
    <row r="388">
      <c r="A388" s="47" t="s">
        <v>48</v>
      </c>
      <c r="B388" s="48"/>
      <c r="C388" s="49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50"/>
      <c r="W388" s="50"/>
      <c r="X388" s="50"/>
      <c r="Y388" s="50"/>
      <c r="Z388" s="50"/>
      <c r="AA388" s="51">
        <f t="shared" ref="AA388:AA389" si="135">SUM(B388:Z388)</f>
        <v>0</v>
      </c>
      <c r="AB388" s="31"/>
      <c r="AC388" s="2"/>
    </row>
    <row r="389">
      <c r="A389" s="47" t="s">
        <v>49</v>
      </c>
      <c r="B389" s="48"/>
      <c r="C389" s="49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50"/>
      <c r="W389" s="50"/>
      <c r="X389" s="50"/>
      <c r="Y389" s="50"/>
      <c r="Z389" s="50"/>
      <c r="AA389" s="51">
        <f t="shared" si="135"/>
        <v>0</v>
      </c>
      <c r="AB389" s="31"/>
      <c r="AC389" s="2"/>
    </row>
    <row r="390">
      <c r="A390" s="47" t="s">
        <v>50</v>
      </c>
      <c r="B390" s="49"/>
      <c r="C390" s="49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50"/>
      <c r="W390" s="50"/>
      <c r="X390" s="50"/>
      <c r="Y390" s="50"/>
      <c r="Z390" s="50"/>
      <c r="AA390" s="51" t="str">
        <f>AVERAGE(B390:Z390)</f>
        <v>#DIV/0!</v>
      </c>
      <c r="AB390" s="31"/>
      <c r="AC390" s="2"/>
    </row>
    <row r="391">
      <c r="A391" s="52" t="s">
        <v>53</v>
      </c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7"/>
      <c r="AA391" s="38"/>
      <c r="AB391" s="39"/>
      <c r="AC391" s="2"/>
    </row>
    <row r="392">
      <c r="A392" s="40" t="s">
        <v>48</v>
      </c>
      <c r="B392" s="41"/>
      <c r="C392" s="42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3"/>
      <c r="W392" s="43"/>
      <c r="X392" s="43"/>
      <c r="Y392" s="43"/>
      <c r="Z392" s="43"/>
      <c r="AA392" s="44">
        <f t="shared" ref="AA392:AA393" si="136">SUM(B392:Z392)</f>
        <v>0</v>
      </c>
      <c r="AB392" s="31"/>
      <c r="AC392" s="2"/>
    </row>
    <row r="393">
      <c r="A393" s="40" t="s">
        <v>49</v>
      </c>
      <c r="B393" s="41"/>
      <c r="C393" s="42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3"/>
      <c r="W393" s="43"/>
      <c r="X393" s="43"/>
      <c r="Y393" s="43"/>
      <c r="Z393" s="43"/>
      <c r="AA393" s="44">
        <f t="shared" si="136"/>
        <v>0</v>
      </c>
      <c r="AB393" s="31"/>
      <c r="AC393" s="2"/>
    </row>
    <row r="394">
      <c r="A394" s="53" t="s">
        <v>50</v>
      </c>
      <c r="B394" s="54"/>
      <c r="C394" s="54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6"/>
      <c r="W394" s="56"/>
      <c r="X394" s="56"/>
      <c r="Y394" s="56"/>
      <c r="Z394" s="56"/>
      <c r="AA394" s="57" t="str">
        <f>AVERAGE(B394:Z394)</f>
        <v>#DIV/0!</v>
      </c>
      <c r="AB394" s="58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59"/>
      <c r="AB395" s="59"/>
      <c r="AC395" s="2"/>
    </row>
    <row r="396">
      <c r="A396" s="71" t="s">
        <v>54</v>
      </c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5" t="s">
        <v>37</v>
      </c>
      <c r="AB396" s="16" t="s">
        <v>38</v>
      </c>
      <c r="AC396" s="2"/>
    </row>
    <row r="397">
      <c r="A397" s="17" t="s">
        <v>39</v>
      </c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20">
        <f t="shared" ref="AA397:AA401" si="137">SUM(B397:Z397)</f>
        <v>0</v>
      </c>
      <c r="AB397" s="21" t="str">
        <f t="shared" ref="AB397:AB400" si="138">AA397/(COUNT(B397:Z397)*1)</f>
        <v>#DIV/0!</v>
      </c>
      <c r="AC397" s="2"/>
    </row>
    <row r="398">
      <c r="A398" s="17" t="s">
        <v>40</v>
      </c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20">
        <f t="shared" si="137"/>
        <v>0</v>
      </c>
      <c r="AB398" s="21" t="str">
        <f t="shared" si="138"/>
        <v>#DIV/0!</v>
      </c>
      <c r="AC398" s="2"/>
    </row>
    <row r="399">
      <c r="A399" s="17" t="s">
        <v>41</v>
      </c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20">
        <f t="shared" si="137"/>
        <v>0</v>
      </c>
      <c r="AB399" s="21" t="str">
        <f t="shared" si="138"/>
        <v>#DIV/0!</v>
      </c>
      <c r="AC399" s="2"/>
    </row>
    <row r="400">
      <c r="A400" s="17" t="s">
        <v>42</v>
      </c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20">
        <f t="shared" si="137"/>
        <v>0</v>
      </c>
      <c r="AB400" s="21" t="str">
        <f t="shared" si="138"/>
        <v>#DIV/0!</v>
      </c>
      <c r="AC400" s="2"/>
    </row>
    <row r="401">
      <c r="A401" s="17" t="s">
        <v>43</v>
      </c>
      <c r="B401" s="22">
        <f t="shared" ref="B401:Z401" si="139">SUM(B397:B400)</f>
        <v>0</v>
      </c>
      <c r="C401" s="22">
        <f t="shared" si="139"/>
        <v>0</v>
      </c>
      <c r="D401" s="22">
        <f t="shared" si="139"/>
        <v>0</v>
      </c>
      <c r="E401" s="22">
        <f t="shared" si="139"/>
        <v>0</v>
      </c>
      <c r="F401" s="22">
        <f t="shared" si="139"/>
        <v>0</v>
      </c>
      <c r="G401" s="22">
        <f t="shared" si="139"/>
        <v>0</v>
      </c>
      <c r="H401" s="22">
        <f t="shared" si="139"/>
        <v>0</v>
      </c>
      <c r="I401" s="22">
        <f t="shared" si="139"/>
        <v>0</v>
      </c>
      <c r="J401" s="22">
        <f t="shared" si="139"/>
        <v>0</v>
      </c>
      <c r="K401" s="22">
        <f t="shared" si="139"/>
        <v>0</v>
      </c>
      <c r="L401" s="22">
        <f t="shared" si="139"/>
        <v>0</v>
      </c>
      <c r="M401" s="22">
        <f t="shared" si="139"/>
        <v>0</v>
      </c>
      <c r="N401" s="22">
        <f t="shared" si="139"/>
        <v>0</v>
      </c>
      <c r="O401" s="22">
        <f t="shared" si="139"/>
        <v>0</v>
      </c>
      <c r="P401" s="22">
        <f t="shared" si="139"/>
        <v>0</v>
      </c>
      <c r="Q401" s="22">
        <f t="shared" si="139"/>
        <v>0</v>
      </c>
      <c r="R401" s="22">
        <f t="shared" si="139"/>
        <v>0</v>
      </c>
      <c r="S401" s="22">
        <f t="shared" si="139"/>
        <v>0</v>
      </c>
      <c r="T401" s="22">
        <f t="shared" si="139"/>
        <v>0</v>
      </c>
      <c r="U401" s="22">
        <f t="shared" si="139"/>
        <v>0</v>
      </c>
      <c r="V401" s="22">
        <f t="shared" si="139"/>
        <v>0</v>
      </c>
      <c r="W401" s="22">
        <f t="shared" si="139"/>
        <v>0</v>
      </c>
      <c r="X401" s="22">
        <f t="shared" si="139"/>
        <v>0</v>
      </c>
      <c r="Y401" s="22">
        <f t="shared" si="139"/>
        <v>0</v>
      </c>
      <c r="Z401" s="22">
        <f t="shared" si="139"/>
        <v>0</v>
      </c>
      <c r="AA401" s="20">
        <f t="shared" si="137"/>
        <v>0</v>
      </c>
      <c r="AB401" s="23"/>
      <c r="AC401" s="2"/>
    </row>
    <row r="402">
      <c r="A402" s="17" t="s">
        <v>38</v>
      </c>
      <c r="B402" s="24" t="str">
        <f t="shared" ref="B402:Z402" si="140">B401/(COUNT(B397:B400)*1)</f>
        <v>#DIV/0!</v>
      </c>
      <c r="C402" s="24" t="str">
        <f t="shared" si="140"/>
        <v>#DIV/0!</v>
      </c>
      <c r="D402" s="24" t="str">
        <f t="shared" si="140"/>
        <v>#DIV/0!</v>
      </c>
      <c r="E402" s="24" t="str">
        <f t="shared" si="140"/>
        <v>#DIV/0!</v>
      </c>
      <c r="F402" s="24" t="str">
        <f t="shared" si="140"/>
        <v>#DIV/0!</v>
      </c>
      <c r="G402" s="24" t="str">
        <f t="shared" si="140"/>
        <v>#DIV/0!</v>
      </c>
      <c r="H402" s="24" t="str">
        <f t="shared" si="140"/>
        <v>#DIV/0!</v>
      </c>
      <c r="I402" s="24" t="str">
        <f t="shared" si="140"/>
        <v>#DIV/0!</v>
      </c>
      <c r="J402" s="24" t="str">
        <f t="shared" si="140"/>
        <v>#DIV/0!</v>
      </c>
      <c r="K402" s="24" t="str">
        <f t="shared" si="140"/>
        <v>#DIV/0!</v>
      </c>
      <c r="L402" s="24" t="str">
        <f t="shared" si="140"/>
        <v>#DIV/0!</v>
      </c>
      <c r="M402" s="24" t="str">
        <f t="shared" si="140"/>
        <v>#DIV/0!</v>
      </c>
      <c r="N402" s="24" t="str">
        <f t="shared" si="140"/>
        <v>#DIV/0!</v>
      </c>
      <c r="O402" s="24" t="str">
        <f t="shared" si="140"/>
        <v>#DIV/0!</v>
      </c>
      <c r="P402" s="24" t="str">
        <f t="shared" si="140"/>
        <v>#DIV/0!</v>
      </c>
      <c r="Q402" s="24" t="str">
        <f t="shared" si="140"/>
        <v>#DIV/0!</v>
      </c>
      <c r="R402" s="24" t="str">
        <f t="shared" si="140"/>
        <v>#DIV/0!</v>
      </c>
      <c r="S402" s="24" t="str">
        <f t="shared" si="140"/>
        <v>#DIV/0!</v>
      </c>
      <c r="T402" s="24" t="str">
        <f t="shared" si="140"/>
        <v>#DIV/0!</v>
      </c>
      <c r="U402" s="24" t="str">
        <f t="shared" si="140"/>
        <v>#DIV/0!</v>
      </c>
      <c r="V402" s="24" t="str">
        <f t="shared" si="140"/>
        <v>#DIV/0!</v>
      </c>
      <c r="W402" s="24" t="str">
        <f t="shared" si="140"/>
        <v>#DIV/0!</v>
      </c>
      <c r="X402" s="24" t="str">
        <f t="shared" si="140"/>
        <v>#DIV/0!</v>
      </c>
      <c r="Y402" s="24" t="str">
        <f t="shared" si="140"/>
        <v>#DIV/0!</v>
      </c>
      <c r="Z402" s="24" t="str">
        <f t="shared" si="140"/>
        <v>#DIV/0!</v>
      </c>
      <c r="AA402" s="25"/>
      <c r="AB402" s="26" t="str">
        <f>SUM(AB397:AB400)/4</f>
        <v>#DIV/0!</v>
      </c>
      <c r="AC402" s="2"/>
    </row>
    <row r="403">
      <c r="A403" s="27" t="s">
        <v>44</v>
      </c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30">
        <f t="shared" ref="AA403:AA405" si="141">SUM(B403:Z403)</f>
        <v>0</v>
      </c>
      <c r="AB403" s="31"/>
      <c r="AC403" s="2"/>
    </row>
    <row r="404">
      <c r="A404" s="32" t="s">
        <v>45</v>
      </c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28"/>
      <c r="W404" s="28"/>
      <c r="X404" s="28"/>
      <c r="Y404" s="28"/>
      <c r="Z404" s="28"/>
      <c r="AA404" s="30">
        <f t="shared" si="141"/>
        <v>0</v>
      </c>
      <c r="AB404" s="31"/>
      <c r="AC404" s="9"/>
    </row>
    <row r="405">
      <c r="A405" s="34" t="s">
        <v>46</v>
      </c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28"/>
      <c r="W405" s="28"/>
      <c r="X405" s="28"/>
      <c r="Y405" s="28"/>
      <c r="Z405" s="28"/>
      <c r="AA405" s="30">
        <f t="shared" si="141"/>
        <v>0</v>
      </c>
      <c r="AB405" s="31"/>
      <c r="AC405" s="9"/>
    </row>
    <row r="406">
      <c r="A406" s="35" t="s">
        <v>47</v>
      </c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8"/>
      <c r="AB406" s="39"/>
      <c r="AC406" s="2"/>
    </row>
    <row r="407">
      <c r="A407" s="40" t="s">
        <v>48</v>
      </c>
      <c r="B407" s="41"/>
      <c r="C407" s="42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3"/>
      <c r="W407" s="43"/>
      <c r="X407" s="43"/>
      <c r="Y407" s="43"/>
      <c r="Z407" s="43"/>
      <c r="AA407" s="44">
        <f t="shared" ref="AA407:AA408" si="142">SUM(B407:Z407)</f>
        <v>0</v>
      </c>
      <c r="AB407" s="31"/>
      <c r="AC407" s="2"/>
    </row>
    <row r="408">
      <c r="A408" s="40" t="s">
        <v>49</v>
      </c>
      <c r="B408" s="41"/>
      <c r="C408" s="42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3"/>
      <c r="W408" s="43"/>
      <c r="X408" s="43"/>
      <c r="Y408" s="43"/>
      <c r="Z408" s="43"/>
      <c r="AA408" s="44">
        <f t="shared" si="142"/>
        <v>0</v>
      </c>
      <c r="AB408" s="31"/>
      <c r="AC408" s="2"/>
    </row>
    <row r="409">
      <c r="A409" s="40" t="s">
        <v>50</v>
      </c>
      <c r="B409" s="42"/>
      <c r="C409" s="42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3"/>
      <c r="W409" s="43"/>
      <c r="X409" s="43"/>
      <c r="Y409" s="43"/>
      <c r="Z409" s="43"/>
      <c r="AA409" s="44" t="str">
        <f>AVERAGE(B409:Z409)</f>
        <v>#DIV/0!</v>
      </c>
      <c r="AB409" s="31"/>
      <c r="AC409" s="2"/>
    </row>
    <row r="410">
      <c r="A410" s="45" t="s">
        <v>51</v>
      </c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7"/>
      <c r="AA410" s="46"/>
      <c r="AB410" s="39"/>
      <c r="AC410" s="2"/>
    </row>
    <row r="411">
      <c r="A411" s="47" t="s">
        <v>48</v>
      </c>
      <c r="B411" s="48"/>
      <c r="C411" s="49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50"/>
      <c r="W411" s="50"/>
      <c r="X411" s="50"/>
      <c r="Y411" s="50"/>
      <c r="Z411" s="50"/>
      <c r="AA411" s="51">
        <f t="shared" ref="AA411:AA412" si="143">SUM(B411:Z411)</f>
        <v>0</v>
      </c>
      <c r="AB411" s="31"/>
      <c r="AC411" s="2"/>
    </row>
    <row r="412">
      <c r="A412" s="47" t="s">
        <v>49</v>
      </c>
      <c r="B412" s="48"/>
      <c r="C412" s="49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50"/>
      <c r="W412" s="50"/>
      <c r="X412" s="50"/>
      <c r="Y412" s="50"/>
      <c r="Z412" s="50"/>
      <c r="AA412" s="51">
        <f t="shared" si="143"/>
        <v>0</v>
      </c>
      <c r="AB412" s="31"/>
      <c r="AC412" s="2"/>
    </row>
    <row r="413">
      <c r="A413" s="47" t="s">
        <v>50</v>
      </c>
      <c r="B413" s="49"/>
      <c r="C413" s="49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50"/>
      <c r="W413" s="50"/>
      <c r="X413" s="50"/>
      <c r="Y413" s="50"/>
      <c r="Z413" s="50"/>
      <c r="AA413" s="51" t="str">
        <f>AVERAGE(B413:Z413)</f>
        <v>#DIV/0!</v>
      </c>
      <c r="AB413" s="31"/>
      <c r="AC413" s="2"/>
    </row>
    <row r="414">
      <c r="A414" s="52" t="s">
        <v>53</v>
      </c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7"/>
      <c r="AA414" s="38"/>
      <c r="AB414" s="39"/>
      <c r="AC414" s="2"/>
    </row>
    <row r="415">
      <c r="A415" s="40" t="s">
        <v>48</v>
      </c>
      <c r="B415" s="41"/>
      <c r="C415" s="42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3"/>
      <c r="W415" s="43"/>
      <c r="X415" s="43"/>
      <c r="Y415" s="43"/>
      <c r="Z415" s="43"/>
      <c r="AA415" s="44">
        <f t="shared" ref="AA415:AA416" si="144">SUM(B415:Z415)</f>
        <v>0</v>
      </c>
      <c r="AB415" s="31"/>
      <c r="AC415" s="2"/>
    </row>
    <row r="416">
      <c r="A416" s="40" t="s">
        <v>49</v>
      </c>
      <c r="B416" s="41"/>
      <c r="C416" s="42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3"/>
      <c r="W416" s="43"/>
      <c r="X416" s="43"/>
      <c r="Y416" s="43"/>
      <c r="Z416" s="43"/>
      <c r="AA416" s="44">
        <f t="shared" si="144"/>
        <v>0</v>
      </c>
      <c r="AB416" s="31"/>
      <c r="AC416" s="2"/>
    </row>
    <row r="417">
      <c r="A417" s="53" t="s">
        <v>50</v>
      </c>
      <c r="B417" s="54"/>
      <c r="C417" s="54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6"/>
      <c r="W417" s="56"/>
      <c r="X417" s="56"/>
      <c r="Y417" s="56"/>
      <c r="Z417" s="56"/>
      <c r="AA417" s="57" t="str">
        <f>AVERAGE(B417:Z417)</f>
        <v>#DIV/0!</v>
      </c>
      <c r="AB417" s="58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59"/>
      <c r="AB418" s="59"/>
      <c r="AC418" s="2"/>
    </row>
    <row r="419">
      <c r="A419" s="71" t="s">
        <v>54</v>
      </c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5" t="s">
        <v>37</v>
      </c>
      <c r="AB419" s="16" t="s">
        <v>38</v>
      </c>
      <c r="AC419" s="2"/>
    </row>
    <row r="420">
      <c r="A420" s="17" t="s">
        <v>39</v>
      </c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20">
        <f t="shared" ref="AA420:AA424" si="145">SUM(B420:Z420)</f>
        <v>0</v>
      </c>
      <c r="AB420" s="21" t="str">
        <f t="shared" ref="AB420:AB423" si="146">AA420/(COUNT(B420:Z420)*1)</f>
        <v>#DIV/0!</v>
      </c>
      <c r="AC420" s="2"/>
    </row>
    <row r="421">
      <c r="A421" s="17" t="s">
        <v>40</v>
      </c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20">
        <f t="shared" si="145"/>
        <v>0</v>
      </c>
      <c r="AB421" s="21" t="str">
        <f t="shared" si="146"/>
        <v>#DIV/0!</v>
      </c>
      <c r="AC421" s="2"/>
    </row>
    <row r="422">
      <c r="A422" s="17" t="s">
        <v>41</v>
      </c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20">
        <f t="shared" si="145"/>
        <v>0</v>
      </c>
      <c r="AB422" s="21" t="str">
        <f t="shared" si="146"/>
        <v>#DIV/0!</v>
      </c>
      <c r="AC422" s="2"/>
    </row>
    <row r="423">
      <c r="A423" s="17" t="s">
        <v>42</v>
      </c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20">
        <f t="shared" si="145"/>
        <v>0</v>
      </c>
      <c r="AB423" s="21" t="str">
        <f t="shared" si="146"/>
        <v>#DIV/0!</v>
      </c>
      <c r="AC423" s="2"/>
    </row>
    <row r="424">
      <c r="A424" s="17" t="s">
        <v>43</v>
      </c>
      <c r="B424" s="22">
        <f t="shared" ref="B424:Z424" si="147">SUM(B420:B423)</f>
        <v>0</v>
      </c>
      <c r="C424" s="22">
        <f t="shared" si="147"/>
        <v>0</v>
      </c>
      <c r="D424" s="22">
        <f t="shared" si="147"/>
        <v>0</v>
      </c>
      <c r="E424" s="22">
        <f t="shared" si="147"/>
        <v>0</v>
      </c>
      <c r="F424" s="22">
        <f t="shared" si="147"/>
        <v>0</v>
      </c>
      <c r="G424" s="22">
        <f t="shared" si="147"/>
        <v>0</v>
      </c>
      <c r="H424" s="22">
        <f t="shared" si="147"/>
        <v>0</v>
      </c>
      <c r="I424" s="22">
        <f t="shared" si="147"/>
        <v>0</v>
      </c>
      <c r="J424" s="22">
        <f t="shared" si="147"/>
        <v>0</v>
      </c>
      <c r="K424" s="22">
        <f t="shared" si="147"/>
        <v>0</v>
      </c>
      <c r="L424" s="22">
        <f t="shared" si="147"/>
        <v>0</v>
      </c>
      <c r="M424" s="22">
        <f t="shared" si="147"/>
        <v>0</v>
      </c>
      <c r="N424" s="22">
        <f t="shared" si="147"/>
        <v>0</v>
      </c>
      <c r="O424" s="22">
        <f t="shared" si="147"/>
        <v>0</v>
      </c>
      <c r="P424" s="22">
        <f t="shared" si="147"/>
        <v>0</v>
      </c>
      <c r="Q424" s="22">
        <f t="shared" si="147"/>
        <v>0</v>
      </c>
      <c r="R424" s="22">
        <f t="shared" si="147"/>
        <v>0</v>
      </c>
      <c r="S424" s="22">
        <f t="shared" si="147"/>
        <v>0</v>
      </c>
      <c r="T424" s="22">
        <f t="shared" si="147"/>
        <v>0</v>
      </c>
      <c r="U424" s="22">
        <f t="shared" si="147"/>
        <v>0</v>
      </c>
      <c r="V424" s="22">
        <f t="shared" si="147"/>
        <v>0</v>
      </c>
      <c r="W424" s="22">
        <f t="shared" si="147"/>
        <v>0</v>
      </c>
      <c r="X424" s="22">
        <f t="shared" si="147"/>
        <v>0</v>
      </c>
      <c r="Y424" s="22">
        <f t="shared" si="147"/>
        <v>0</v>
      </c>
      <c r="Z424" s="22">
        <f t="shared" si="147"/>
        <v>0</v>
      </c>
      <c r="AA424" s="20">
        <f t="shared" si="145"/>
        <v>0</v>
      </c>
      <c r="AB424" s="23"/>
      <c r="AC424" s="2"/>
    </row>
    <row r="425">
      <c r="A425" s="17" t="s">
        <v>38</v>
      </c>
      <c r="B425" s="24" t="str">
        <f t="shared" ref="B425:Z425" si="148">B424/(COUNT(B420:B423)*1)</f>
        <v>#DIV/0!</v>
      </c>
      <c r="C425" s="24" t="str">
        <f t="shared" si="148"/>
        <v>#DIV/0!</v>
      </c>
      <c r="D425" s="24" t="str">
        <f t="shared" si="148"/>
        <v>#DIV/0!</v>
      </c>
      <c r="E425" s="24" t="str">
        <f t="shared" si="148"/>
        <v>#DIV/0!</v>
      </c>
      <c r="F425" s="24" t="str">
        <f t="shared" si="148"/>
        <v>#DIV/0!</v>
      </c>
      <c r="G425" s="24" t="str">
        <f t="shared" si="148"/>
        <v>#DIV/0!</v>
      </c>
      <c r="H425" s="24" t="str">
        <f t="shared" si="148"/>
        <v>#DIV/0!</v>
      </c>
      <c r="I425" s="24" t="str">
        <f t="shared" si="148"/>
        <v>#DIV/0!</v>
      </c>
      <c r="J425" s="24" t="str">
        <f t="shared" si="148"/>
        <v>#DIV/0!</v>
      </c>
      <c r="K425" s="24" t="str">
        <f t="shared" si="148"/>
        <v>#DIV/0!</v>
      </c>
      <c r="L425" s="24" t="str">
        <f t="shared" si="148"/>
        <v>#DIV/0!</v>
      </c>
      <c r="M425" s="24" t="str">
        <f t="shared" si="148"/>
        <v>#DIV/0!</v>
      </c>
      <c r="N425" s="24" t="str">
        <f t="shared" si="148"/>
        <v>#DIV/0!</v>
      </c>
      <c r="O425" s="24" t="str">
        <f t="shared" si="148"/>
        <v>#DIV/0!</v>
      </c>
      <c r="P425" s="24" t="str">
        <f t="shared" si="148"/>
        <v>#DIV/0!</v>
      </c>
      <c r="Q425" s="24" t="str">
        <f t="shared" si="148"/>
        <v>#DIV/0!</v>
      </c>
      <c r="R425" s="24" t="str">
        <f t="shared" si="148"/>
        <v>#DIV/0!</v>
      </c>
      <c r="S425" s="24" t="str">
        <f t="shared" si="148"/>
        <v>#DIV/0!</v>
      </c>
      <c r="T425" s="24" t="str">
        <f t="shared" si="148"/>
        <v>#DIV/0!</v>
      </c>
      <c r="U425" s="24" t="str">
        <f t="shared" si="148"/>
        <v>#DIV/0!</v>
      </c>
      <c r="V425" s="24" t="str">
        <f t="shared" si="148"/>
        <v>#DIV/0!</v>
      </c>
      <c r="W425" s="24" t="str">
        <f t="shared" si="148"/>
        <v>#DIV/0!</v>
      </c>
      <c r="X425" s="24" t="str">
        <f t="shared" si="148"/>
        <v>#DIV/0!</v>
      </c>
      <c r="Y425" s="24" t="str">
        <f t="shared" si="148"/>
        <v>#DIV/0!</v>
      </c>
      <c r="Z425" s="24" t="str">
        <f t="shared" si="148"/>
        <v>#DIV/0!</v>
      </c>
      <c r="AA425" s="25"/>
      <c r="AB425" s="26" t="str">
        <f>SUM(AB420:AB423)/4</f>
        <v>#DIV/0!</v>
      </c>
      <c r="AC425" s="2"/>
    </row>
    <row r="426">
      <c r="A426" s="27" t="s">
        <v>44</v>
      </c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30">
        <f t="shared" ref="AA426:AA428" si="149">SUM(B426:Z426)</f>
        <v>0</v>
      </c>
      <c r="AB426" s="31"/>
      <c r="AC426" s="2"/>
    </row>
    <row r="427">
      <c r="A427" s="32" t="s">
        <v>45</v>
      </c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28"/>
      <c r="W427" s="28"/>
      <c r="X427" s="28"/>
      <c r="Y427" s="28"/>
      <c r="Z427" s="28"/>
      <c r="AA427" s="30">
        <f t="shared" si="149"/>
        <v>0</v>
      </c>
      <c r="AB427" s="31"/>
      <c r="AC427" s="9"/>
    </row>
    <row r="428">
      <c r="A428" s="34" t="s">
        <v>46</v>
      </c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28"/>
      <c r="W428" s="28"/>
      <c r="X428" s="28"/>
      <c r="Y428" s="28"/>
      <c r="Z428" s="28"/>
      <c r="AA428" s="30">
        <f t="shared" si="149"/>
        <v>0</v>
      </c>
      <c r="AB428" s="31"/>
      <c r="AC428" s="9"/>
    </row>
    <row r="429">
      <c r="A429" s="35" t="s">
        <v>47</v>
      </c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7"/>
      <c r="AA429" s="38"/>
      <c r="AB429" s="39"/>
      <c r="AC429" s="2"/>
    </row>
    <row r="430">
      <c r="A430" s="40" t="s">
        <v>48</v>
      </c>
      <c r="B430" s="41"/>
      <c r="C430" s="42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3"/>
      <c r="W430" s="43"/>
      <c r="X430" s="43"/>
      <c r="Y430" s="43"/>
      <c r="Z430" s="43"/>
      <c r="AA430" s="44">
        <f t="shared" ref="AA430:AA431" si="150">SUM(B430:Z430)</f>
        <v>0</v>
      </c>
      <c r="AB430" s="31"/>
      <c r="AC430" s="2"/>
    </row>
    <row r="431">
      <c r="A431" s="40" t="s">
        <v>49</v>
      </c>
      <c r="B431" s="41"/>
      <c r="C431" s="42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3"/>
      <c r="W431" s="43"/>
      <c r="X431" s="43"/>
      <c r="Y431" s="43"/>
      <c r="Z431" s="43"/>
      <c r="AA431" s="44">
        <f t="shared" si="150"/>
        <v>0</v>
      </c>
      <c r="AB431" s="31"/>
      <c r="AC431" s="2"/>
    </row>
    <row r="432">
      <c r="A432" s="40" t="s">
        <v>50</v>
      </c>
      <c r="B432" s="42"/>
      <c r="C432" s="42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3"/>
      <c r="W432" s="43"/>
      <c r="X432" s="43"/>
      <c r="Y432" s="43"/>
      <c r="Z432" s="43"/>
      <c r="AA432" s="44" t="str">
        <f>AVERAGE(B432:Z432)</f>
        <v>#DIV/0!</v>
      </c>
      <c r="AB432" s="31"/>
      <c r="AC432" s="2"/>
    </row>
    <row r="433">
      <c r="A433" s="45" t="s">
        <v>51</v>
      </c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7"/>
      <c r="AA433" s="46"/>
      <c r="AB433" s="39"/>
      <c r="AC433" s="2"/>
    </row>
    <row r="434">
      <c r="A434" s="47" t="s">
        <v>48</v>
      </c>
      <c r="B434" s="48"/>
      <c r="C434" s="49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50"/>
      <c r="W434" s="50"/>
      <c r="X434" s="50"/>
      <c r="Y434" s="50"/>
      <c r="Z434" s="50"/>
      <c r="AA434" s="51">
        <f t="shared" ref="AA434:AA435" si="151">SUM(B434:Z434)</f>
        <v>0</v>
      </c>
      <c r="AB434" s="31"/>
      <c r="AC434" s="2"/>
    </row>
    <row r="435">
      <c r="A435" s="47" t="s">
        <v>49</v>
      </c>
      <c r="B435" s="48"/>
      <c r="C435" s="49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50"/>
      <c r="W435" s="50"/>
      <c r="X435" s="50"/>
      <c r="Y435" s="50"/>
      <c r="Z435" s="50"/>
      <c r="AA435" s="51">
        <f t="shared" si="151"/>
        <v>0</v>
      </c>
      <c r="AB435" s="31"/>
      <c r="AC435" s="2"/>
    </row>
    <row r="436">
      <c r="A436" s="47" t="s">
        <v>50</v>
      </c>
      <c r="B436" s="49"/>
      <c r="C436" s="49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50"/>
      <c r="W436" s="50"/>
      <c r="X436" s="50"/>
      <c r="Y436" s="50"/>
      <c r="Z436" s="50"/>
      <c r="AA436" s="51" t="str">
        <f>AVERAGE(B436:Z436)</f>
        <v>#DIV/0!</v>
      </c>
      <c r="AB436" s="31"/>
      <c r="AC436" s="2"/>
    </row>
    <row r="437">
      <c r="A437" s="52" t="s">
        <v>53</v>
      </c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7"/>
      <c r="AA437" s="38"/>
      <c r="AB437" s="39"/>
      <c r="AC437" s="2"/>
    </row>
    <row r="438">
      <c r="A438" s="40" t="s">
        <v>48</v>
      </c>
      <c r="B438" s="41"/>
      <c r="C438" s="42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3"/>
      <c r="W438" s="43"/>
      <c r="X438" s="43"/>
      <c r="Y438" s="43"/>
      <c r="Z438" s="43"/>
      <c r="AA438" s="44">
        <f t="shared" ref="AA438:AA439" si="152">SUM(B438:Z438)</f>
        <v>0</v>
      </c>
      <c r="AB438" s="31"/>
      <c r="AC438" s="2"/>
    </row>
    <row r="439">
      <c r="A439" s="40" t="s">
        <v>49</v>
      </c>
      <c r="B439" s="41"/>
      <c r="C439" s="42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3"/>
      <c r="W439" s="43"/>
      <c r="X439" s="43"/>
      <c r="Y439" s="43"/>
      <c r="Z439" s="43"/>
      <c r="AA439" s="44">
        <f t="shared" si="152"/>
        <v>0</v>
      </c>
      <c r="AB439" s="31"/>
      <c r="AC439" s="2"/>
    </row>
    <row r="440">
      <c r="A440" s="53" t="s">
        <v>50</v>
      </c>
      <c r="B440" s="54"/>
      <c r="C440" s="54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6"/>
      <c r="W440" s="56"/>
      <c r="X440" s="56"/>
      <c r="Y440" s="56"/>
      <c r="Z440" s="56"/>
      <c r="AA440" s="57" t="str">
        <f>AVERAGE(B440:Z440)</f>
        <v>#DIV/0!</v>
      </c>
      <c r="AB440" s="58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59"/>
      <c r="AB441" s="59"/>
      <c r="AC441" s="2"/>
    </row>
    <row r="442">
      <c r="A442" s="71" t="s">
        <v>54</v>
      </c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5" t="s">
        <v>37</v>
      </c>
      <c r="AB442" s="16" t="s">
        <v>38</v>
      </c>
      <c r="AC442" s="2"/>
    </row>
    <row r="443">
      <c r="A443" s="17" t="s">
        <v>39</v>
      </c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20">
        <f t="shared" ref="AA443:AA447" si="153">SUM(B443:Z443)</f>
        <v>0</v>
      </c>
      <c r="AB443" s="21" t="str">
        <f t="shared" ref="AB443:AB446" si="154">AA443/(COUNT(B443:Z443)*1)</f>
        <v>#DIV/0!</v>
      </c>
      <c r="AC443" s="2"/>
    </row>
    <row r="444">
      <c r="A444" s="17" t="s">
        <v>40</v>
      </c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20">
        <f t="shared" si="153"/>
        <v>0</v>
      </c>
      <c r="AB444" s="21" t="str">
        <f t="shared" si="154"/>
        <v>#DIV/0!</v>
      </c>
      <c r="AC444" s="2"/>
    </row>
    <row r="445">
      <c r="A445" s="17" t="s">
        <v>41</v>
      </c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20">
        <f t="shared" si="153"/>
        <v>0</v>
      </c>
      <c r="AB445" s="21" t="str">
        <f t="shared" si="154"/>
        <v>#DIV/0!</v>
      </c>
      <c r="AC445" s="2"/>
    </row>
    <row r="446">
      <c r="A446" s="17" t="s">
        <v>42</v>
      </c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20">
        <f t="shared" si="153"/>
        <v>0</v>
      </c>
      <c r="AB446" s="21" t="str">
        <f t="shared" si="154"/>
        <v>#DIV/0!</v>
      </c>
      <c r="AC446" s="2"/>
    </row>
    <row r="447">
      <c r="A447" s="17" t="s">
        <v>43</v>
      </c>
      <c r="B447" s="22">
        <f t="shared" ref="B447:Z447" si="155">SUM(B443:B446)</f>
        <v>0</v>
      </c>
      <c r="C447" s="22">
        <f t="shared" si="155"/>
        <v>0</v>
      </c>
      <c r="D447" s="22">
        <f t="shared" si="155"/>
        <v>0</v>
      </c>
      <c r="E447" s="22">
        <f t="shared" si="155"/>
        <v>0</v>
      </c>
      <c r="F447" s="22">
        <f t="shared" si="155"/>
        <v>0</v>
      </c>
      <c r="G447" s="22">
        <f t="shared" si="155"/>
        <v>0</v>
      </c>
      <c r="H447" s="22">
        <f t="shared" si="155"/>
        <v>0</v>
      </c>
      <c r="I447" s="22">
        <f t="shared" si="155"/>
        <v>0</v>
      </c>
      <c r="J447" s="22">
        <f t="shared" si="155"/>
        <v>0</v>
      </c>
      <c r="K447" s="22">
        <f t="shared" si="155"/>
        <v>0</v>
      </c>
      <c r="L447" s="22">
        <f t="shared" si="155"/>
        <v>0</v>
      </c>
      <c r="M447" s="22">
        <f t="shared" si="155"/>
        <v>0</v>
      </c>
      <c r="N447" s="22">
        <f t="shared" si="155"/>
        <v>0</v>
      </c>
      <c r="O447" s="22">
        <f t="shared" si="155"/>
        <v>0</v>
      </c>
      <c r="P447" s="22">
        <f t="shared" si="155"/>
        <v>0</v>
      </c>
      <c r="Q447" s="22">
        <f t="shared" si="155"/>
        <v>0</v>
      </c>
      <c r="R447" s="22">
        <f t="shared" si="155"/>
        <v>0</v>
      </c>
      <c r="S447" s="22">
        <f t="shared" si="155"/>
        <v>0</v>
      </c>
      <c r="T447" s="22">
        <f t="shared" si="155"/>
        <v>0</v>
      </c>
      <c r="U447" s="22">
        <f t="shared" si="155"/>
        <v>0</v>
      </c>
      <c r="V447" s="22">
        <f t="shared" si="155"/>
        <v>0</v>
      </c>
      <c r="W447" s="22">
        <f t="shared" si="155"/>
        <v>0</v>
      </c>
      <c r="X447" s="22">
        <f t="shared" si="155"/>
        <v>0</v>
      </c>
      <c r="Y447" s="22">
        <f t="shared" si="155"/>
        <v>0</v>
      </c>
      <c r="Z447" s="22">
        <f t="shared" si="155"/>
        <v>0</v>
      </c>
      <c r="AA447" s="20">
        <f t="shared" si="153"/>
        <v>0</v>
      </c>
      <c r="AB447" s="23"/>
      <c r="AC447" s="2"/>
    </row>
    <row r="448">
      <c r="A448" s="17" t="s">
        <v>38</v>
      </c>
      <c r="B448" s="24" t="str">
        <f t="shared" ref="B448:Z448" si="156">B447/(COUNT(B443:B446)*1)</f>
        <v>#DIV/0!</v>
      </c>
      <c r="C448" s="24" t="str">
        <f t="shared" si="156"/>
        <v>#DIV/0!</v>
      </c>
      <c r="D448" s="24" t="str">
        <f t="shared" si="156"/>
        <v>#DIV/0!</v>
      </c>
      <c r="E448" s="24" t="str">
        <f t="shared" si="156"/>
        <v>#DIV/0!</v>
      </c>
      <c r="F448" s="24" t="str">
        <f t="shared" si="156"/>
        <v>#DIV/0!</v>
      </c>
      <c r="G448" s="24" t="str">
        <f t="shared" si="156"/>
        <v>#DIV/0!</v>
      </c>
      <c r="H448" s="24" t="str">
        <f t="shared" si="156"/>
        <v>#DIV/0!</v>
      </c>
      <c r="I448" s="24" t="str">
        <f t="shared" si="156"/>
        <v>#DIV/0!</v>
      </c>
      <c r="J448" s="24" t="str">
        <f t="shared" si="156"/>
        <v>#DIV/0!</v>
      </c>
      <c r="K448" s="24" t="str">
        <f t="shared" si="156"/>
        <v>#DIV/0!</v>
      </c>
      <c r="L448" s="24" t="str">
        <f t="shared" si="156"/>
        <v>#DIV/0!</v>
      </c>
      <c r="M448" s="24" t="str">
        <f t="shared" si="156"/>
        <v>#DIV/0!</v>
      </c>
      <c r="N448" s="24" t="str">
        <f t="shared" si="156"/>
        <v>#DIV/0!</v>
      </c>
      <c r="O448" s="24" t="str">
        <f t="shared" si="156"/>
        <v>#DIV/0!</v>
      </c>
      <c r="P448" s="24" t="str">
        <f t="shared" si="156"/>
        <v>#DIV/0!</v>
      </c>
      <c r="Q448" s="24" t="str">
        <f t="shared" si="156"/>
        <v>#DIV/0!</v>
      </c>
      <c r="R448" s="24" t="str">
        <f t="shared" si="156"/>
        <v>#DIV/0!</v>
      </c>
      <c r="S448" s="24" t="str">
        <f t="shared" si="156"/>
        <v>#DIV/0!</v>
      </c>
      <c r="T448" s="24" t="str">
        <f t="shared" si="156"/>
        <v>#DIV/0!</v>
      </c>
      <c r="U448" s="24" t="str">
        <f t="shared" si="156"/>
        <v>#DIV/0!</v>
      </c>
      <c r="V448" s="24" t="str">
        <f t="shared" si="156"/>
        <v>#DIV/0!</v>
      </c>
      <c r="W448" s="24" t="str">
        <f t="shared" si="156"/>
        <v>#DIV/0!</v>
      </c>
      <c r="X448" s="24" t="str">
        <f t="shared" si="156"/>
        <v>#DIV/0!</v>
      </c>
      <c r="Y448" s="24" t="str">
        <f t="shared" si="156"/>
        <v>#DIV/0!</v>
      </c>
      <c r="Z448" s="24" t="str">
        <f t="shared" si="156"/>
        <v>#DIV/0!</v>
      </c>
      <c r="AA448" s="25"/>
      <c r="AB448" s="26" t="str">
        <f>SUM(AB443:AB446)/4</f>
        <v>#DIV/0!</v>
      </c>
      <c r="AC448" s="2"/>
    </row>
    <row r="449">
      <c r="A449" s="27" t="s">
        <v>44</v>
      </c>
      <c r="B449" s="28"/>
      <c r="C449" s="29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30">
        <f t="shared" ref="AA449:AA451" si="157">SUM(B449:Z449)</f>
        <v>0</v>
      </c>
      <c r="AB449" s="31"/>
      <c r="AC449" s="2"/>
    </row>
    <row r="450">
      <c r="A450" s="32" t="s">
        <v>45</v>
      </c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28"/>
      <c r="W450" s="28"/>
      <c r="X450" s="28"/>
      <c r="Y450" s="28"/>
      <c r="Z450" s="28"/>
      <c r="AA450" s="30">
        <f t="shared" si="157"/>
        <v>0</v>
      </c>
      <c r="AB450" s="31"/>
      <c r="AC450" s="9"/>
    </row>
    <row r="451">
      <c r="A451" s="34" t="s">
        <v>46</v>
      </c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28"/>
      <c r="W451" s="28"/>
      <c r="X451" s="28"/>
      <c r="Y451" s="28"/>
      <c r="Z451" s="28"/>
      <c r="AA451" s="30">
        <f t="shared" si="157"/>
        <v>0</v>
      </c>
      <c r="AB451" s="31"/>
      <c r="AC451" s="9"/>
    </row>
    <row r="452">
      <c r="A452" s="35" t="s">
        <v>47</v>
      </c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7"/>
      <c r="AA452" s="38"/>
      <c r="AB452" s="39"/>
      <c r="AC452" s="2"/>
    </row>
    <row r="453">
      <c r="A453" s="40" t="s">
        <v>48</v>
      </c>
      <c r="B453" s="41"/>
      <c r="C453" s="42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3"/>
      <c r="W453" s="43"/>
      <c r="X453" s="43"/>
      <c r="Y453" s="43"/>
      <c r="Z453" s="43"/>
      <c r="AA453" s="44">
        <f t="shared" ref="AA453:AA454" si="158">SUM(B453:Z453)</f>
        <v>0</v>
      </c>
      <c r="AB453" s="31"/>
      <c r="AC453" s="2"/>
    </row>
    <row r="454">
      <c r="A454" s="40" t="s">
        <v>49</v>
      </c>
      <c r="B454" s="41"/>
      <c r="C454" s="42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3"/>
      <c r="W454" s="43"/>
      <c r="X454" s="43"/>
      <c r="Y454" s="43"/>
      <c r="Z454" s="43"/>
      <c r="AA454" s="44">
        <f t="shared" si="158"/>
        <v>0</v>
      </c>
      <c r="AB454" s="31"/>
      <c r="AC454" s="2"/>
    </row>
    <row r="455">
      <c r="A455" s="40" t="s">
        <v>50</v>
      </c>
      <c r="B455" s="42"/>
      <c r="C455" s="42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3"/>
      <c r="W455" s="43"/>
      <c r="X455" s="43"/>
      <c r="Y455" s="43"/>
      <c r="Z455" s="43"/>
      <c r="AA455" s="44" t="str">
        <f>AVERAGE(B455:Z455)</f>
        <v>#DIV/0!</v>
      </c>
      <c r="AB455" s="31"/>
      <c r="AC455" s="2"/>
    </row>
    <row r="456">
      <c r="A456" s="45" t="s">
        <v>51</v>
      </c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7"/>
      <c r="AA456" s="46"/>
      <c r="AB456" s="39"/>
      <c r="AC456" s="2"/>
    </row>
    <row r="457">
      <c r="A457" s="47" t="s">
        <v>48</v>
      </c>
      <c r="B457" s="48"/>
      <c r="C457" s="49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50"/>
      <c r="W457" s="50"/>
      <c r="X457" s="50"/>
      <c r="Y457" s="50"/>
      <c r="Z457" s="50"/>
      <c r="AA457" s="51">
        <f t="shared" ref="AA457:AA458" si="159">SUM(B457:Z457)</f>
        <v>0</v>
      </c>
      <c r="AB457" s="31"/>
      <c r="AC457" s="2"/>
    </row>
    <row r="458">
      <c r="A458" s="47" t="s">
        <v>49</v>
      </c>
      <c r="B458" s="48"/>
      <c r="C458" s="49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50"/>
      <c r="W458" s="50"/>
      <c r="X458" s="50"/>
      <c r="Y458" s="50"/>
      <c r="Z458" s="50"/>
      <c r="AA458" s="51">
        <f t="shared" si="159"/>
        <v>0</v>
      </c>
      <c r="AB458" s="31"/>
      <c r="AC458" s="2"/>
    </row>
    <row r="459">
      <c r="A459" s="47" t="s">
        <v>50</v>
      </c>
      <c r="B459" s="49"/>
      <c r="C459" s="49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50"/>
      <c r="W459" s="50"/>
      <c r="X459" s="50"/>
      <c r="Y459" s="50"/>
      <c r="Z459" s="50"/>
      <c r="AA459" s="51" t="str">
        <f>AVERAGE(B459:Z459)</f>
        <v>#DIV/0!</v>
      </c>
      <c r="AB459" s="31"/>
      <c r="AC459" s="2"/>
    </row>
    <row r="460">
      <c r="A460" s="52" t="s">
        <v>53</v>
      </c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7"/>
      <c r="AA460" s="38"/>
      <c r="AB460" s="39"/>
      <c r="AC460" s="2"/>
    </row>
    <row r="461">
      <c r="A461" s="40" t="s">
        <v>48</v>
      </c>
      <c r="B461" s="41"/>
      <c r="C461" s="42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3"/>
      <c r="W461" s="43"/>
      <c r="X461" s="43"/>
      <c r="Y461" s="43"/>
      <c r="Z461" s="43"/>
      <c r="AA461" s="44">
        <f t="shared" ref="AA461:AA462" si="160">SUM(B461:Z461)</f>
        <v>0</v>
      </c>
      <c r="AB461" s="31"/>
      <c r="AC461" s="2"/>
    </row>
    <row r="462">
      <c r="A462" s="40" t="s">
        <v>49</v>
      </c>
      <c r="B462" s="41"/>
      <c r="C462" s="42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3"/>
      <c r="W462" s="43"/>
      <c r="X462" s="43"/>
      <c r="Y462" s="43"/>
      <c r="Z462" s="43"/>
      <c r="AA462" s="44">
        <f t="shared" si="160"/>
        <v>0</v>
      </c>
      <c r="AB462" s="31"/>
      <c r="AC462" s="2"/>
    </row>
    <row r="463">
      <c r="A463" s="53" t="s">
        <v>50</v>
      </c>
      <c r="B463" s="54"/>
      <c r="C463" s="54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6"/>
      <c r="W463" s="56"/>
      <c r="X463" s="56"/>
      <c r="Y463" s="56"/>
      <c r="Z463" s="56"/>
      <c r="AA463" s="57" t="str">
        <f>AVERAGE(B463:Z463)</f>
        <v>#DIV/0!</v>
      </c>
      <c r="AB463" s="58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59"/>
      <c r="AB464" s="59"/>
      <c r="AC464" s="2"/>
    </row>
    <row r="465">
      <c r="A465" s="71" t="s">
        <v>54</v>
      </c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 t="s">
        <v>37</v>
      </c>
      <c r="AB465" s="16" t="s">
        <v>38</v>
      </c>
      <c r="AC465" s="2"/>
    </row>
    <row r="466">
      <c r="A466" s="17" t="s">
        <v>39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20">
        <f t="shared" ref="AA466:AA470" si="161">SUM(B466:Z466)</f>
        <v>0</v>
      </c>
      <c r="AB466" s="21" t="str">
        <f t="shared" ref="AB466:AB469" si="162">AA466/(COUNT(B466:Z466)*1)</f>
        <v>#DIV/0!</v>
      </c>
      <c r="AC466" s="2"/>
    </row>
    <row r="467">
      <c r="A467" s="17" t="s">
        <v>40</v>
      </c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20">
        <f t="shared" si="161"/>
        <v>0</v>
      </c>
      <c r="AB467" s="21" t="str">
        <f t="shared" si="162"/>
        <v>#DIV/0!</v>
      </c>
      <c r="AC467" s="2"/>
    </row>
    <row r="468">
      <c r="A468" s="17" t="s">
        <v>41</v>
      </c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20">
        <f t="shared" si="161"/>
        <v>0</v>
      </c>
      <c r="AB468" s="21" t="str">
        <f t="shared" si="162"/>
        <v>#DIV/0!</v>
      </c>
      <c r="AC468" s="2"/>
    </row>
    <row r="469">
      <c r="A469" s="17" t="s">
        <v>42</v>
      </c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20">
        <f t="shared" si="161"/>
        <v>0</v>
      </c>
      <c r="AB469" s="21" t="str">
        <f t="shared" si="162"/>
        <v>#DIV/0!</v>
      </c>
      <c r="AC469" s="2"/>
    </row>
    <row r="470">
      <c r="A470" s="17" t="s">
        <v>43</v>
      </c>
      <c r="B470" s="22">
        <f t="shared" ref="B470:Z470" si="163">SUM(B466:B469)</f>
        <v>0</v>
      </c>
      <c r="C470" s="22">
        <f t="shared" si="163"/>
        <v>0</v>
      </c>
      <c r="D470" s="22">
        <f t="shared" si="163"/>
        <v>0</v>
      </c>
      <c r="E470" s="22">
        <f t="shared" si="163"/>
        <v>0</v>
      </c>
      <c r="F470" s="22">
        <f t="shared" si="163"/>
        <v>0</v>
      </c>
      <c r="G470" s="22">
        <f t="shared" si="163"/>
        <v>0</v>
      </c>
      <c r="H470" s="22">
        <f t="shared" si="163"/>
        <v>0</v>
      </c>
      <c r="I470" s="22">
        <f t="shared" si="163"/>
        <v>0</v>
      </c>
      <c r="J470" s="22">
        <f t="shared" si="163"/>
        <v>0</v>
      </c>
      <c r="K470" s="22">
        <f t="shared" si="163"/>
        <v>0</v>
      </c>
      <c r="L470" s="22">
        <f t="shared" si="163"/>
        <v>0</v>
      </c>
      <c r="M470" s="22">
        <f t="shared" si="163"/>
        <v>0</v>
      </c>
      <c r="N470" s="22">
        <f t="shared" si="163"/>
        <v>0</v>
      </c>
      <c r="O470" s="22">
        <f t="shared" si="163"/>
        <v>0</v>
      </c>
      <c r="P470" s="22">
        <f t="shared" si="163"/>
        <v>0</v>
      </c>
      <c r="Q470" s="22">
        <f t="shared" si="163"/>
        <v>0</v>
      </c>
      <c r="R470" s="22">
        <f t="shared" si="163"/>
        <v>0</v>
      </c>
      <c r="S470" s="22">
        <f t="shared" si="163"/>
        <v>0</v>
      </c>
      <c r="T470" s="22">
        <f t="shared" si="163"/>
        <v>0</v>
      </c>
      <c r="U470" s="22">
        <f t="shared" si="163"/>
        <v>0</v>
      </c>
      <c r="V470" s="22">
        <f t="shared" si="163"/>
        <v>0</v>
      </c>
      <c r="W470" s="22">
        <f t="shared" si="163"/>
        <v>0</v>
      </c>
      <c r="X470" s="22">
        <f t="shared" si="163"/>
        <v>0</v>
      </c>
      <c r="Y470" s="22">
        <f t="shared" si="163"/>
        <v>0</v>
      </c>
      <c r="Z470" s="22">
        <f t="shared" si="163"/>
        <v>0</v>
      </c>
      <c r="AA470" s="20">
        <f t="shared" si="161"/>
        <v>0</v>
      </c>
      <c r="AB470" s="23"/>
      <c r="AC470" s="2"/>
    </row>
    <row r="471">
      <c r="A471" s="17" t="s">
        <v>38</v>
      </c>
      <c r="B471" s="24" t="str">
        <f t="shared" ref="B471:Z471" si="164">B470/(COUNT(B466:B469)*1)</f>
        <v>#DIV/0!</v>
      </c>
      <c r="C471" s="24" t="str">
        <f t="shared" si="164"/>
        <v>#DIV/0!</v>
      </c>
      <c r="D471" s="24" t="str">
        <f t="shared" si="164"/>
        <v>#DIV/0!</v>
      </c>
      <c r="E471" s="24" t="str">
        <f t="shared" si="164"/>
        <v>#DIV/0!</v>
      </c>
      <c r="F471" s="24" t="str">
        <f t="shared" si="164"/>
        <v>#DIV/0!</v>
      </c>
      <c r="G471" s="24" t="str">
        <f t="shared" si="164"/>
        <v>#DIV/0!</v>
      </c>
      <c r="H471" s="24" t="str">
        <f t="shared" si="164"/>
        <v>#DIV/0!</v>
      </c>
      <c r="I471" s="24" t="str">
        <f t="shared" si="164"/>
        <v>#DIV/0!</v>
      </c>
      <c r="J471" s="24" t="str">
        <f t="shared" si="164"/>
        <v>#DIV/0!</v>
      </c>
      <c r="K471" s="24" t="str">
        <f t="shared" si="164"/>
        <v>#DIV/0!</v>
      </c>
      <c r="L471" s="24" t="str">
        <f t="shared" si="164"/>
        <v>#DIV/0!</v>
      </c>
      <c r="M471" s="24" t="str">
        <f t="shared" si="164"/>
        <v>#DIV/0!</v>
      </c>
      <c r="N471" s="24" t="str">
        <f t="shared" si="164"/>
        <v>#DIV/0!</v>
      </c>
      <c r="O471" s="24" t="str">
        <f t="shared" si="164"/>
        <v>#DIV/0!</v>
      </c>
      <c r="P471" s="24" t="str">
        <f t="shared" si="164"/>
        <v>#DIV/0!</v>
      </c>
      <c r="Q471" s="24" t="str">
        <f t="shared" si="164"/>
        <v>#DIV/0!</v>
      </c>
      <c r="R471" s="24" t="str">
        <f t="shared" si="164"/>
        <v>#DIV/0!</v>
      </c>
      <c r="S471" s="24" t="str">
        <f t="shared" si="164"/>
        <v>#DIV/0!</v>
      </c>
      <c r="T471" s="24" t="str">
        <f t="shared" si="164"/>
        <v>#DIV/0!</v>
      </c>
      <c r="U471" s="24" t="str">
        <f t="shared" si="164"/>
        <v>#DIV/0!</v>
      </c>
      <c r="V471" s="24" t="str">
        <f t="shared" si="164"/>
        <v>#DIV/0!</v>
      </c>
      <c r="W471" s="24" t="str">
        <f t="shared" si="164"/>
        <v>#DIV/0!</v>
      </c>
      <c r="X471" s="24" t="str">
        <f t="shared" si="164"/>
        <v>#DIV/0!</v>
      </c>
      <c r="Y471" s="24" t="str">
        <f t="shared" si="164"/>
        <v>#DIV/0!</v>
      </c>
      <c r="Z471" s="24" t="str">
        <f t="shared" si="164"/>
        <v>#DIV/0!</v>
      </c>
      <c r="AA471" s="25"/>
      <c r="AB471" s="26" t="str">
        <f>SUM(AB466:AB469)/4</f>
        <v>#DIV/0!</v>
      </c>
      <c r="AC471" s="2"/>
    </row>
    <row r="472">
      <c r="A472" s="27" t="s">
        <v>44</v>
      </c>
      <c r="B472" s="28"/>
      <c r="C472" s="2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30">
        <f t="shared" ref="AA472:AA474" si="165">SUM(B472:Z472)</f>
        <v>0</v>
      </c>
      <c r="AB472" s="31"/>
      <c r="AC472" s="2"/>
    </row>
    <row r="473">
      <c r="A473" s="32" t="s">
        <v>45</v>
      </c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28"/>
      <c r="W473" s="28"/>
      <c r="X473" s="28"/>
      <c r="Y473" s="28"/>
      <c r="Z473" s="28"/>
      <c r="AA473" s="30">
        <f t="shared" si="165"/>
        <v>0</v>
      </c>
      <c r="AB473" s="31"/>
      <c r="AC473" s="9"/>
    </row>
    <row r="474">
      <c r="A474" s="34" t="s">
        <v>46</v>
      </c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28"/>
      <c r="W474" s="28"/>
      <c r="X474" s="28"/>
      <c r="Y474" s="28"/>
      <c r="Z474" s="28"/>
      <c r="AA474" s="30">
        <f t="shared" si="165"/>
        <v>0</v>
      </c>
      <c r="AB474" s="31"/>
      <c r="AC474" s="9"/>
    </row>
    <row r="475">
      <c r="A475" s="35" t="s">
        <v>47</v>
      </c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7"/>
      <c r="AA475" s="38"/>
      <c r="AB475" s="39"/>
      <c r="AC475" s="2"/>
    </row>
    <row r="476">
      <c r="A476" s="40" t="s">
        <v>48</v>
      </c>
      <c r="B476" s="41"/>
      <c r="C476" s="42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3"/>
      <c r="W476" s="43"/>
      <c r="X476" s="43"/>
      <c r="Y476" s="43"/>
      <c r="Z476" s="43"/>
      <c r="AA476" s="44">
        <f t="shared" ref="AA476:AA477" si="166">SUM(B476:Z476)</f>
        <v>0</v>
      </c>
      <c r="AB476" s="31"/>
      <c r="AC476" s="2"/>
    </row>
    <row r="477">
      <c r="A477" s="40" t="s">
        <v>49</v>
      </c>
      <c r="B477" s="41"/>
      <c r="C477" s="42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3"/>
      <c r="W477" s="43"/>
      <c r="X477" s="43"/>
      <c r="Y477" s="43"/>
      <c r="Z477" s="43"/>
      <c r="AA477" s="44">
        <f t="shared" si="166"/>
        <v>0</v>
      </c>
      <c r="AB477" s="31"/>
      <c r="AC477" s="2"/>
    </row>
    <row r="478">
      <c r="A478" s="40" t="s">
        <v>50</v>
      </c>
      <c r="B478" s="42"/>
      <c r="C478" s="42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3"/>
      <c r="W478" s="43"/>
      <c r="X478" s="43"/>
      <c r="Y478" s="43"/>
      <c r="Z478" s="43"/>
      <c r="AA478" s="44" t="str">
        <f>AVERAGE(B478:Z478)</f>
        <v>#DIV/0!</v>
      </c>
      <c r="AB478" s="31"/>
      <c r="AC478" s="2"/>
    </row>
    <row r="479">
      <c r="A479" s="45" t="s">
        <v>51</v>
      </c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7"/>
      <c r="AA479" s="46"/>
      <c r="AB479" s="39"/>
      <c r="AC479" s="2"/>
    </row>
    <row r="480">
      <c r="A480" s="47" t="s">
        <v>48</v>
      </c>
      <c r="B480" s="48"/>
      <c r="C480" s="49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50"/>
      <c r="W480" s="50"/>
      <c r="X480" s="50"/>
      <c r="Y480" s="50"/>
      <c r="Z480" s="50"/>
      <c r="AA480" s="51">
        <f t="shared" ref="AA480:AA481" si="167">SUM(B480:Z480)</f>
        <v>0</v>
      </c>
      <c r="AB480" s="31"/>
      <c r="AC480" s="2"/>
    </row>
    <row r="481">
      <c r="A481" s="47" t="s">
        <v>49</v>
      </c>
      <c r="B481" s="48"/>
      <c r="C481" s="49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50"/>
      <c r="W481" s="50"/>
      <c r="X481" s="50"/>
      <c r="Y481" s="50"/>
      <c r="Z481" s="50"/>
      <c r="AA481" s="51">
        <f t="shared" si="167"/>
        <v>0</v>
      </c>
      <c r="AB481" s="31"/>
      <c r="AC481" s="2"/>
    </row>
    <row r="482">
      <c r="A482" s="47" t="s">
        <v>50</v>
      </c>
      <c r="B482" s="49"/>
      <c r="C482" s="49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50"/>
      <c r="W482" s="50"/>
      <c r="X482" s="50"/>
      <c r="Y482" s="50"/>
      <c r="Z482" s="50"/>
      <c r="AA482" s="51" t="str">
        <f>AVERAGE(B482:Z482)</f>
        <v>#DIV/0!</v>
      </c>
      <c r="AB482" s="31"/>
      <c r="AC482" s="2"/>
    </row>
    <row r="483">
      <c r="A483" s="52" t="s">
        <v>53</v>
      </c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7"/>
      <c r="AA483" s="38"/>
      <c r="AB483" s="39"/>
      <c r="AC483" s="2"/>
    </row>
    <row r="484">
      <c r="A484" s="40" t="s">
        <v>48</v>
      </c>
      <c r="B484" s="41"/>
      <c r="C484" s="42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3"/>
      <c r="W484" s="43"/>
      <c r="X484" s="43"/>
      <c r="Y484" s="43"/>
      <c r="Z484" s="43"/>
      <c r="AA484" s="44">
        <f t="shared" ref="AA484:AA485" si="168">SUM(B484:Z484)</f>
        <v>0</v>
      </c>
      <c r="AB484" s="31"/>
      <c r="AC484" s="2"/>
    </row>
    <row r="485">
      <c r="A485" s="40" t="s">
        <v>49</v>
      </c>
      <c r="B485" s="41"/>
      <c r="C485" s="42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3"/>
      <c r="W485" s="43"/>
      <c r="X485" s="43"/>
      <c r="Y485" s="43"/>
      <c r="Z485" s="43"/>
      <c r="AA485" s="44">
        <f t="shared" si="168"/>
        <v>0</v>
      </c>
      <c r="AB485" s="31"/>
      <c r="AC485" s="2"/>
    </row>
    <row r="486">
      <c r="A486" s="53" t="s">
        <v>50</v>
      </c>
      <c r="B486" s="54"/>
      <c r="C486" s="54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6"/>
      <c r="W486" s="56"/>
      <c r="X486" s="56"/>
      <c r="Y486" s="56"/>
      <c r="Z486" s="56"/>
      <c r="AA486" s="57" t="str">
        <f>AVERAGE(B486:Z486)</f>
        <v>#DIV/0!</v>
      </c>
      <c r="AB486" s="58"/>
      <c r="AC486" s="2"/>
    </row>
    <row r="487">
      <c r="A487" s="9"/>
      <c r="B487" s="9"/>
      <c r="C487" s="9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71" t="s">
        <v>54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5" t="s">
        <v>37</v>
      </c>
      <c r="AB488" s="16" t="s">
        <v>38</v>
      </c>
      <c r="AC488" s="2"/>
    </row>
    <row r="489">
      <c r="A489" s="17" t="s">
        <v>39</v>
      </c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20">
        <f t="shared" ref="AA489:AA493" si="169">SUM(B489:Z489)</f>
        <v>0</v>
      </c>
      <c r="AB489" s="21" t="str">
        <f t="shared" ref="AB489:AB492" si="170">AA489/(COUNT(B489:Z489)*1)</f>
        <v>#DIV/0!</v>
      </c>
      <c r="AC489" s="2"/>
    </row>
    <row r="490">
      <c r="A490" s="17" t="s">
        <v>40</v>
      </c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20">
        <f t="shared" si="169"/>
        <v>0</v>
      </c>
      <c r="AB490" s="21" t="str">
        <f t="shared" si="170"/>
        <v>#DIV/0!</v>
      </c>
      <c r="AC490" s="2"/>
    </row>
    <row r="491">
      <c r="A491" s="17" t="s">
        <v>41</v>
      </c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20">
        <f t="shared" si="169"/>
        <v>0</v>
      </c>
      <c r="AB491" s="21" t="str">
        <f t="shared" si="170"/>
        <v>#DIV/0!</v>
      </c>
      <c r="AC491" s="2"/>
    </row>
    <row r="492">
      <c r="A492" s="17" t="s">
        <v>42</v>
      </c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20">
        <f t="shared" si="169"/>
        <v>0</v>
      </c>
      <c r="AB492" s="21" t="str">
        <f t="shared" si="170"/>
        <v>#DIV/0!</v>
      </c>
      <c r="AC492" s="2"/>
    </row>
    <row r="493">
      <c r="A493" s="17" t="s">
        <v>43</v>
      </c>
      <c r="B493" s="22">
        <f t="shared" ref="B493:Z493" si="171">SUM(B489:B492)</f>
        <v>0</v>
      </c>
      <c r="C493" s="22">
        <f t="shared" si="171"/>
        <v>0</v>
      </c>
      <c r="D493" s="22">
        <f t="shared" si="171"/>
        <v>0</v>
      </c>
      <c r="E493" s="22">
        <f t="shared" si="171"/>
        <v>0</v>
      </c>
      <c r="F493" s="22">
        <f t="shared" si="171"/>
        <v>0</v>
      </c>
      <c r="G493" s="22">
        <f t="shared" si="171"/>
        <v>0</v>
      </c>
      <c r="H493" s="22">
        <f t="shared" si="171"/>
        <v>0</v>
      </c>
      <c r="I493" s="22">
        <f t="shared" si="171"/>
        <v>0</v>
      </c>
      <c r="J493" s="22">
        <f t="shared" si="171"/>
        <v>0</v>
      </c>
      <c r="K493" s="22">
        <f t="shared" si="171"/>
        <v>0</v>
      </c>
      <c r="L493" s="22">
        <f t="shared" si="171"/>
        <v>0</v>
      </c>
      <c r="M493" s="22">
        <f t="shared" si="171"/>
        <v>0</v>
      </c>
      <c r="N493" s="22">
        <f t="shared" si="171"/>
        <v>0</v>
      </c>
      <c r="O493" s="22">
        <f t="shared" si="171"/>
        <v>0</v>
      </c>
      <c r="P493" s="22">
        <f t="shared" si="171"/>
        <v>0</v>
      </c>
      <c r="Q493" s="22">
        <f t="shared" si="171"/>
        <v>0</v>
      </c>
      <c r="R493" s="22">
        <f t="shared" si="171"/>
        <v>0</v>
      </c>
      <c r="S493" s="22">
        <f t="shared" si="171"/>
        <v>0</v>
      </c>
      <c r="T493" s="22">
        <f t="shared" si="171"/>
        <v>0</v>
      </c>
      <c r="U493" s="22">
        <f t="shared" si="171"/>
        <v>0</v>
      </c>
      <c r="V493" s="22">
        <f t="shared" si="171"/>
        <v>0</v>
      </c>
      <c r="W493" s="22">
        <f t="shared" si="171"/>
        <v>0</v>
      </c>
      <c r="X493" s="22">
        <f t="shared" si="171"/>
        <v>0</v>
      </c>
      <c r="Y493" s="22">
        <f t="shared" si="171"/>
        <v>0</v>
      </c>
      <c r="Z493" s="22">
        <f t="shared" si="171"/>
        <v>0</v>
      </c>
      <c r="AA493" s="20">
        <f t="shared" si="169"/>
        <v>0</v>
      </c>
      <c r="AB493" s="23"/>
      <c r="AC493" s="2"/>
    </row>
    <row r="494">
      <c r="A494" s="17" t="s">
        <v>38</v>
      </c>
      <c r="B494" s="24" t="str">
        <f t="shared" ref="B494:Z494" si="172">B493/(COUNT(B489:B492)*1)</f>
        <v>#DIV/0!</v>
      </c>
      <c r="C494" s="24" t="str">
        <f t="shared" si="172"/>
        <v>#DIV/0!</v>
      </c>
      <c r="D494" s="24" t="str">
        <f t="shared" si="172"/>
        <v>#DIV/0!</v>
      </c>
      <c r="E494" s="24" t="str">
        <f t="shared" si="172"/>
        <v>#DIV/0!</v>
      </c>
      <c r="F494" s="24" t="str">
        <f t="shared" si="172"/>
        <v>#DIV/0!</v>
      </c>
      <c r="G494" s="24" t="str">
        <f t="shared" si="172"/>
        <v>#DIV/0!</v>
      </c>
      <c r="H494" s="24" t="str">
        <f t="shared" si="172"/>
        <v>#DIV/0!</v>
      </c>
      <c r="I494" s="24" t="str">
        <f t="shared" si="172"/>
        <v>#DIV/0!</v>
      </c>
      <c r="J494" s="24" t="str">
        <f t="shared" si="172"/>
        <v>#DIV/0!</v>
      </c>
      <c r="K494" s="24" t="str">
        <f t="shared" si="172"/>
        <v>#DIV/0!</v>
      </c>
      <c r="L494" s="24" t="str">
        <f t="shared" si="172"/>
        <v>#DIV/0!</v>
      </c>
      <c r="M494" s="24" t="str">
        <f t="shared" si="172"/>
        <v>#DIV/0!</v>
      </c>
      <c r="N494" s="24" t="str">
        <f t="shared" si="172"/>
        <v>#DIV/0!</v>
      </c>
      <c r="O494" s="24" t="str">
        <f t="shared" si="172"/>
        <v>#DIV/0!</v>
      </c>
      <c r="P494" s="24" t="str">
        <f t="shared" si="172"/>
        <v>#DIV/0!</v>
      </c>
      <c r="Q494" s="24" t="str">
        <f t="shared" si="172"/>
        <v>#DIV/0!</v>
      </c>
      <c r="R494" s="24" t="str">
        <f t="shared" si="172"/>
        <v>#DIV/0!</v>
      </c>
      <c r="S494" s="24" t="str">
        <f t="shared" si="172"/>
        <v>#DIV/0!</v>
      </c>
      <c r="T494" s="24" t="str">
        <f t="shared" si="172"/>
        <v>#DIV/0!</v>
      </c>
      <c r="U494" s="24" t="str">
        <f t="shared" si="172"/>
        <v>#DIV/0!</v>
      </c>
      <c r="V494" s="24" t="str">
        <f t="shared" si="172"/>
        <v>#DIV/0!</v>
      </c>
      <c r="W494" s="24" t="str">
        <f t="shared" si="172"/>
        <v>#DIV/0!</v>
      </c>
      <c r="X494" s="24" t="str">
        <f t="shared" si="172"/>
        <v>#DIV/0!</v>
      </c>
      <c r="Y494" s="24" t="str">
        <f t="shared" si="172"/>
        <v>#DIV/0!</v>
      </c>
      <c r="Z494" s="24" t="str">
        <f t="shared" si="172"/>
        <v>#DIV/0!</v>
      </c>
      <c r="AA494" s="25"/>
      <c r="AB494" s="26" t="str">
        <f>SUM(AB489:AB492)/4</f>
        <v>#DIV/0!</v>
      </c>
      <c r="AC494" s="2"/>
    </row>
    <row r="495">
      <c r="A495" s="27" t="s">
        <v>44</v>
      </c>
      <c r="B495" s="28"/>
      <c r="C495" s="2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30">
        <f t="shared" ref="AA495:AA497" si="173">SUM(B495:Z495)</f>
        <v>0</v>
      </c>
      <c r="AB495" s="31"/>
      <c r="AC495" s="2"/>
    </row>
    <row r="496">
      <c r="A496" s="32" t="s">
        <v>45</v>
      </c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28"/>
      <c r="W496" s="28"/>
      <c r="X496" s="28"/>
      <c r="Y496" s="28"/>
      <c r="Z496" s="28"/>
      <c r="AA496" s="30">
        <f t="shared" si="173"/>
        <v>0</v>
      </c>
      <c r="AB496" s="31"/>
      <c r="AC496" s="9"/>
    </row>
    <row r="497">
      <c r="A497" s="34" t="s">
        <v>46</v>
      </c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28"/>
      <c r="W497" s="28"/>
      <c r="X497" s="28"/>
      <c r="Y497" s="28"/>
      <c r="Z497" s="28"/>
      <c r="AA497" s="30">
        <f t="shared" si="173"/>
        <v>0</v>
      </c>
      <c r="AB497" s="31"/>
      <c r="AC497" s="9"/>
    </row>
    <row r="498">
      <c r="A498" s="35" t="s">
        <v>47</v>
      </c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7"/>
      <c r="AA498" s="38"/>
      <c r="AB498" s="39"/>
      <c r="AC498" s="2"/>
    </row>
    <row r="499">
      <c r="A499" s="40" t="s">
        <v>48</v>
      </c>
      <c r="B499" s="41"/>
      <c r="C499" s="42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3"/>
      <c r="W499" s="43"/>
      <c r="X499" s="43"/>
      <c r="Y499" s="43"/>
      <c r="Z499" s="43"/>
      <c r="AA499" s="44">
        <f t="shared" ref="AA499:AA500" si="174">SUM(B499:Z499)</f>
        <v>0</v>
      </c>
      <c r="AB499" s="31"/>
      <c r="AC499" s="2"/>
    </row>
    <row r="500">
      <c r="A500" s="40" t="s">
        <v>49</v>
      </c>
      <c r="B500" s="41"/>
      <c r="C500" s="42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3"/>
      <c r="W500" s="43"/>
      <c r="X500" s="43"/>
      <c r="Y500" s="43"/>
      <c r="Z500" s="43"/>
      <c r="AA500" s="44">
        <f t="shared" si="174"/>
        <v>0</v>
      </c>
      <c r="AB500" s="31"/>
      <c r="AC500" s="2"/>
    </row>
    <row r="501">
      <c r="A501" s="40" t="s">
        <v>50</v>
      </c>
      <c r="B501" s="42"/>
      <c r="C501" s="42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3"/>
      <c r="W501" s="43"/>
      <c r="X501" s="43"/>
      <c r="Y501" s="43"/>
      <c r="Z501" s="43"/>
      <c r="AA501" s="44" t="str">
        <f>AVERAGE(B501:Z501)</f>
        <v>#DIV/0!</v>
      </c>
      <c r="AB501" s="31"/>
      <c r="AC501" s="2"/>
    </row>
    <row r="502">
      <c r="A502" s="45" t="s">
        <v>51</v>
      </c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7"/>
      <c r="AA502" s="46"/>
      <c r="AB502" s="39"/>
      <c r="AC502" s="2"/>
    </row>
    <row r="503">
      <c r="A503" s="47" t="s">
        <v>48</v>
      </c>
      <c r="B503" s="48"/>
      <c r="C503" s="49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50"/>
      <c r="W503" s="50"/>
      <c r="X503" s="50"/>
      <c r="Y503" s="50"/>
      <c r="Z503" s="50"/>
      <c r="AA503" s="51">
        <f t="shared" ref="AA503:AA504" si="175">SUM(B503:Z503)</f>
        <v>0</v>
      </c>
      <c r="AB503" s="31"/>
      <c r="AC503" s="2"/>
    </row>
    <row r="504">
      <c r="A504" s="47" t="s">
        <v>49</v>
      </c>
      <c r="B504" s="48"/>
      <c r="C504" s="49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50"/>
      <c r="W504" s="50"/>
      <c r="X504" s="50"/>
      <c r="Y504" s="50"/>
      <c r="Z504" s="50"/>
      <c r="AA504" s="51">
        <f t="shared" si="175"/>
        <v>0</v>
      </c>
      <c r="AB504" s="31"/>
      <c r="AC504" s="2"/>
    </row>
    <row r="505">
      <c r="A505" s="47" t="s">
        <v>50</v>
      </c>
      <c r="B505" s="49"/>
      <c r="C505" s="49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50"/>
      <c r="W505" s="50"/>
      <c r="X505" s="50"/>
      <c r="Y505" s="50"/>
      <c r="Z505" s="50"/>
      <c r="AA505" s="51" t="str">
        <f>AVERAGE(B505:Z505)</f>
        <v>#DIV/0!</v>
      </c>
      <c r="AB505" s="31"/>
      <c r="AC505" s="2"/>
    </row>
    <row r="506">
      <c r="A506" s="52" t="s">
        <v>53</v>
      </c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7"/>
      <c r="AA506" s="38"/>
      <c r="AB506" s="39"/>
      <c r="AC506" s="2"/>
    </row>
    <row r="507">
      <c r="A507" s="40" t="s">
        <v>48</v>
      </c>
      <c r="B507" s="41"/>
      <c r="C507" s="42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3"/>
      <c r="W507" s="43"/>
      <c r="X507" s="43"/>
      <c r="Y507" s="43"/>
      <c r="Z507" s="43"/>
      <c r="AA507" s="44">
        <f t="shared" ref="AA507:AA508" si="176">SUM(B507:Z507)</f>
        <v>0</v>
      </c>
      <c r="AB507" s="31"/>
      <c r="AC507" s="2"/>
    </row>
    <row r="508">
      <c r="A508" s="40" t="s">
        <v>49</v>
      </c>
      <c r="B508" s="41"/>
      <c r="C508" s="42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3"/>
      <c r="W508" s="43"/>
      <c r="X508" s="43"/>
      <c r="Y508" s="43"/>
      <c r="Z508" s="43"/>
      <c r="AA508" s="44">
        <f t="shared" si="176"/>
        <v>0</v>
      </c>
      <c r="AB508" s="31"/>
      <c r="AC508" s="2"/>
    </row>
    <row r="509">
      <c r="A509" s="53" t="s">
        <v>50</v>
      </c>
      <c r="B509" s="54"/>
      <c r="C509" s="54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6"/>
      <c r="W509" s="56"/>
      <c r="X509" s="56"/>
      <c r="Y509" s="56"/>
      <c r="Z509" s="56"/>
      <c r="AA509" s="57" t="str">
        <f>AVERAGE(B509:Z509)</f>
        <v>#DIV/0!</v>
      </c>
      <c r="AB509" s="58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9"/>
      <c r="AB511" s="9"/>
      <c r="AC511" s="2"/>
    </row>
    <row r="512" ht="15.75" customHeight="1">
      <c r="A512" s="72" t="s">
        <v>55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73" t="s">
        <v>56</v>
      </c>
      <c r="AB512" s="73" t="s">
        <v>57</v>
      </c>
      <c r="AC512" s="2"/>
    </row>
    <row r="513" ht="15.75" customHeight="1">
      <c r="A513" s="74" t="s">
        <v>39</v>
      </c>
      <c r="B513" s="75">
        <f t="shared" ref="B513:Z513" si="177">B6+B29+B52+B75+B98+B121+B144+B167+B190+B213+B236+B259+B282+B305+B328+B351+B374+B397+B420+B443+B466+B489</f>
        <v>15</v>
      </c>
      <c r="C513" s="75">
        <f t="shared" si="177"/>
        <v>15</v>
      </c>
      <c r="D513" s="75">
        <f t="shared" si="177"/>
        <v>14</v>
      </c>
      <c r="E513" s="75">
        <f t="shared" si="177"/>
        <v>11</v>
      </c>
      <c r="F513" s="75">
        <f t="shared" si="177"/>
        <v>9</v>
      </c>
      <c r="G513" s="75">
        <f t="shared" si="177"/>
        <v>12</v>
      </c>
      <c r="H513" s="75">
        <f t="shared" si="177"/>
        <v>12</v>
      </c>
      <c r="I513" s="75">
        <f t="shared" si="177"/>
        <v>13</v>
      </c>
      <c r="J513" s="75">
        <f t="shared" si="177"/>
        <v>12</v>
      </c>
      <c r="K513" s="75">
        <f t="shared" si="177"/>
        <v>10</v>
      </c>
      <c r="L513" s="75">
        <f t="shared" si="177"/>
        <v>11</v>
      </c>
      <c r="M513" s="75">
        <f t="shared" si="177"/>
        <v>9</v>
      </c>
      <c r="N513" s="75">
        <f t="shared" si="177"/>
        <v>9</v>
      </c>
      <c r="O513" s="75">
        <f t="shared" si="177"/>
        <v>11</v>
      </c>
      <c r="P513" s="75">
        <f t="shared" si="177"/>
        <v>11</v>
      </c>
      <c r="Q513" s="75">
        <f t="shared" si="177"/>
        <v>12</v>
      </c>
      <c r="R513" s="75">
        <f t="shared" si="177"/>
        <v>13</v>
      </c>
      <c r="S513" s="75">
        <f t="shared" si="177"/>
        <v>13</v>
      </c>
      <c r="T513" s="75">
        <f t="shared" si="177"/>
        <v>11</v>
      </c>
      <c r="U513" s="75">
        <f t="shared" si="177"/>
        <v>9</v>
      </c>
      <c r="V513" s="75">
        <f t="shared" si="177"/>
        <v>10</v>
      </c>
      <c r="W513" s="75">
        <f t="shared" si="177"/>
        <v>9</v>
      </c>
      <c r="X513" s="75">
        <f t="shared" si="177"/>
        <v>8</v>
      </c>
      <c r="Y513" s="75">
        <f t="shared" si="177"/>
        <v>5</v>
      </c>
      <c r="Z513" s="75">
        <f t="shared" si="177"/>
        <v>1</v>
      </c>
      <c r="AA513" s="76">
        <f t="shared" ref="AA513:AA521" si="179">SUM(B513:Z513)</f>
        <v>265</v>
      </c>
      <c r="AB513" s="77">
        <f t="shared" ref="AB513:AB516" si="180">AA513/(COUNT(B6:Z6,B29:Z29,B52:Z52,B75:Z75,B98:Z98,B121:Z121,B144:Z144,B167:Z167,B190:Z190,B213:Z213,B236:Z236,B259:Z259,B282:Z282,B305:Z305,B328:Z328,B351:Z351,B374:Z374,B397:Z397,B420:Z420,B443:Z443,B466:Z466,B489:Z489))</f>
        <v>0.8255451713</v>
      </c>
      <c r="AC513" s="78" t="s">
        <v>39</v>
      </c>
    </row>
    <row r="514" ht="15.75" customHeight="1">
      <c r="A514" s="17" t="s">
        <v>40</v>
      </c>
      <c r="B514" s="20">
        <f t="shared" ref="B514:Z514" si="178">B7+B30+B53+B76+B99+B122+B145+B168+B191+B214+B237+B260+B283+B306+B329+B352+B375+B398+B421+B444+B467+B490</f>
        <v>15</v>
      </c>
      <c r="C514" s="20">
        <f t="shared" si="178"/>
        <v>15</v>
      </c>
      <c r="D514" s="20">
        <f t="shared" si="178"/>
        <v>15</v>
      </c>
      <c r="E514" s="20">
        <f t="shared" si="178"/>
        <v>15</v>
      </c>
      <c r="F514" s="20">
        <f t="shared" si="178"/>
        <v>14</v>
      </c>
      <c r="G514" s="20">
        <f t="shared" si="178"/>
        <v>14</v>
      </c>
      <c r="H514" s="20">
        <f t="shared" si="178"/>
        <v>14</v>
      </c>
      <c r="I514" s="20">
        <f t="shared" si="178"/>
        <v>13</v>
      </c>
      <c r="J514" s="20">
        <f t="shared" si="178"/>
        <v>14</v>
      </c>
      <c r="K514" s="20">
        <f t="shared" si="178"/>
        <v>14</v>
      </c>
      <c r="L514" s="20">
        <f t="shared" si="178"/>
        <v>14</v>
      </c>
      <c r="M514" s="20">
        <f t="shared" si="178"/>
        <v>13</v>
      </c>
      <c r="N514" s="20">
        <f t="shared" si="178"/>
        <v>13</v>
      </c>
      <c r="O514" s="20">
        <f t="shared" si="178"/>
        <v>11</v>
      </c>
      <c r="P514" s="20">
        <f t="shared" si="178"/>
        <v>10</v>
      </c>
      <c r="Q514" s="20">
        <f t="shared" si="178"/>
        <v>13</v>
      </c>
      <c r="R514" s="20">
        <f t="shared" si="178"/>
        <v>13</v>
      </c>
      <c r="S514" s="20">
        <f t="shared" si="178"/>
        <v>13</v>
      </c>
      <c r="T514" s="20">
        <f t="shared" si="178"/>
        <v>12</v>
      </c>
      <c r="U514" s="20">
        <f t="shared" si="178"/>
        <v>11</v>
      </c>
      <c r="V514" s="20">
        <f t="shared" si="178"/>
        <v>12</v>
      </c>
      <c r="W514" s="20">
        <f t="shared" si="178"/>
        <v>12</v>
      </c>
      <c r="X514" s="20">
        <f t="shared" si="178"/>
        <v>10</v>
      </c>
      <c r="Y514" s="20">
        <f t="shared" si="178"/>
        <v>5</v>
      </c>
      <c r="Z514" s="20">
        <f t="shared" si="178"/>
        <v>1</v>
      </c>
      <c r="AA514" s="79">
        <f t="shared" si="179"/>
        <v>306</v>
      </c>
      <c r="AB514" s="80">
        <f t="shared" si="180"/>
        <v>0.953271028</v>
      </c>
      <c r="AC514" s="81" t="s">
        <v>40</v>
      </c>
    </row>
    <row r="515" ht="15.75" customHeight="1">
      <c r="A515" s="17" t="s">
        <v>41</v>
      </c>
      <c r="B515" s="20">
        <f t="shared" ref="B515:Z515" si="181">B8+B31+B54+B77+B100+B123+B146+B169+B192+B215+B238+B261+B284+B307+B330+B353+B376+B399+B422+B445+B468+B491</f>
        <v>14</v>
      </c>
      <c r="C515" s="20">
        <f t="shared" si="181"/>
        <v>12</v>
      </c>
      <c r="D515" s="20">
        <f t="shared" si="181"/>
        <v>11</v>
      </c>
      <c r="E515" s="20">
        <f t="shared" si="181"/>
        <v>10</v>
      </c>
      <c r="F515" s="20">
        <f t="shared" si="181"/>
        <v>11</v>
      </c>
      <c r="G515" s="20">
        <f t="shared" si="181"/>
        <v>12</v>
      </c>
      <c r="H515" s="20">
        <f t="shared" si="181"/>
        <v>11</v>
      </c>
      <c r="I515" s="20">
        <f t="shared" si="181"/>
        <v>11</v>
      </c>
      <c r="J515" s="20">
        <f t="shared" si="181"/>
        <v>11</v>
      </c>
      <c r="K515" s="20">
        <f t="shared" si="181"/>
        <v>11</v>
      </c>
      <c r="L515" s="20">
        <f t="shared" si="181"/>
        <v>12</v>
      </c>
      <c r="M515" s="20">
        <f t="shared" si="181"/>
        <v>12</v>
      </c>
      <c r="N515" s="20">
        <f t="shared" si="181"/>
        <v>12</v>
      </c>
      <c r="O515" s="20">
        <f t="shared" si="181"/>
        <v>10</v>
      </c>
      <c r="P515" s="20">
        <f t="shared" si="181"/>
        <v>7</v>
      </c>
      <c r="Q515" s="20">
        <f t="shared" si="181"/>
        <v>13</v>
      </c>
      <c r="R515" s="20">
        <f t="shared" si="181"/>
        <v>11</v>
      </c>
      <c r="S515" s="20">
        <f t="shared" si="181"/>
        <v>8</v>
      </c>
      <c r="T515" s="20">
        <f t="shared" si="181"/>
        <v>8</v>
      </c>
      <c r="U515" s="20">
        <f t="shared" si="181"/>
        <v>7</v>
      </c>
      <c r="V515" s="20">
        <f t="shared" si="181"/>
        <v>8</v>
      </c>
      <c r="W515" s="20">
        <f t="shared" si="181"/>
        <v>7</v>
      </c>
      <c r="X515" s="20">
        <f t="shared" si="181"/>
        <v>8</v>
      </c>
      <c r="Y515" s="20">
        <f t="shared" si="181"/>
        <v>5</v>
      </c>
      <c r="Z515" s="20">
        <f t="shared" si="181"/>
        <v>1</v>
      </c>
      <c r="AA515" s="79">
        <f t="shared" si="179"/>
        <v>243</v>
      </c>
      <c r="AB515" s="80">
        <f t="shared" si="180"/>
        <v>0.759375</v>
      </c>
      <c r="AC515" s="81" t="s">
        <v>41</v>
      </c>
    </row>
    <row r="516" ht="15.75" customHeight="1">
      <c r="A516" s="17" t="s">
        <v>42</v>
      </c>
      <c r="B516" s="20">
        <f t="shared" ref="B516:Z516" si="182">B9+B32+B55+B78+B101+B124+B147+B170+B193+B216+B239+B262+B285+B308+B331+B354+B377+B400+B423+B446+B469+B492</f>
        <v>15</v>
      </c>
      <c r="C516" s="20">
        <f t="shared" si="182"/>
        <v>13</v>
      </c>
      <c r="D516" s="20">
        <f t="shared" si="182"/>
        <v>12</v>
      </c>
      <c r="E516" s="20">
        <f t="shared" si="182"/>
        <v>14</v>
      </c>
      <c r="F516" s="20">
        <f t="shared" si="182"/>
        <v>12</v>
      </c>
      <c r="G516" s="20">
        <f t="shared" si="182"/>
        <v>12</v>
      </c>
      <c r="H516" s="20">
        <f t="shared" si="182"/>
        <v>12</v>
      </c>
      <c r="I516" s="20">
        <f t="shared" si="182"/>
        <v>12</v>
      </c>
      <c r="J516" s="20">
        <f t="shared" si="182"/>
        <v>11</v>
      </c>
      <c r="K516" s="20">
        <f t="shared" si="182"/>
        <v>10</v>
      </c>
      <c r="L516" s="20">
        <f t="shared" si="182"/>
        <v>8</v>
      </c>
      <c r="M516" s="20">
        <f t="shared" si="182"/>
        <v>9</v>
      </c>
      <c r="N516" s="20">
        <f t="shared" si="182"/>
        <v>10</v>
      </c>
      <c r="O516" s="20">
        <f t="shared" si="182"/>
        <v>11</v>
      </c>
      <c r="P516" s="20">
        <f t="shared" si="182"/>
        <v>7</v>
      </c>
      <c r="Q516" s="20">
        <f t="shared" si="182"/>
        <v>9</v>
      </c>
      <c r="R516" s="20">
        <f t="shared" si="182"/>
        <v>10</v>
      </c>
      <c r="S516" s="20">
        <f t="shared" si="182"/>
        <v>9</v>
      </c>
      <c r="T516" s="20">
        <f t="shared" si="182"/>
        <v>11</v>
      </c>
      <c r="U516" s="20">
        <f t="shared" si="182"/>
        <v>8</v>
      </c>
      <c r="V516" s="20">
        <f t="shared" si="182"/>
        <v>7</v>
      </c>
      <c r="W516" s="20">
        <f t="shared" si="182"/>
        <v>8</v>
      </c>
      <c r="X516" s="20">
        <f t="shared" si="182"/>
        <v>7</v>
      </c>
      <c r="Y516" s="20">
        <f t="shared" si="182"/>
        <v>4</v>
      </c>
      <c r="Z516" s="20">
        <f t="shared" si="182"/>
        <v>1</v>
      </c>
      <c r="AA516" s="79">
        <f t="shared" si="179"/>
        <v>242</v>
      </c>
      <c r="AB516" s="80">
        <f t="shared" si="180"/>
        <v>0.75625</v>
      </c>
      <c r="AC516" s="81" t="s">
        <v>42</v>
      </c>
    </row>
    <row r="517" ht="15.75" hidden="1" customHeight="1">
      <c r="A517" s="82"/>
      <c r="B517" s="20">
        <f t="shared" ref="B517:Z517" si="183">B513+B514+B515+B516</f>
        <v>59</v>
      </c>
      <c r="C517" s="20">
        <f t="shared" si="183"/>
        <v>55</v>
      </c>
      <c r="D517" s="20">
        <f t="shared" si="183"/>
        <v>52</v>
      </c>
      <c r="E517" s="20">
        <f t="shared" si="183"/>
        <v>50</v>
      </c>
      <c r="F517" s="20">
        <f t="shared" si="183"/>
        <v>46</v>
      </c>
      <c r="G517" s="20">
        <f t="shared" si="183"/>
        <v>50</v>
      </c>
      <c r="H517" s="20">
        <f t="shared" si="183"/>
        <v>49</v>
      </c>
      <c r="I517" s="20">
        <f t="shared" si="183"/>
        <v>49</v>
      </c>
      <c r="J517" s="20">
        <f t="shared" si="183"/>
        <v>48</v>
      </c>
      <c r="K517" s="20">
        <f t="shared" si="183"/>
        <v>45</v>
      </c>
      <c r="L517" s="20">
        <f t="shared" si="183"/>
        <v>45</v>
      </c>
      <c r="M517" s="20">
        <f t="shared" si="183"/>
        <v>43</v>
      </c>
      <c r="N517" s="20">
        <f t="shared" si="183"/>
        <v>44</v>
      </c>
      <c r="O517" s="20">
        <f t="shared" si="183"/>
        <v>43</v>
      </c>
      <c r="P517" s="20">
        <f t="shared" si="183"/>
        <v>35</v>
      </c>
      <c r="Q517" s="20">
        <f t="shared" si="183"/>
        <v>47</v>
      </c>
      <c r="R517" s="20">
        <f t="shared" si="183"/>
        <v>47</v>
      </c>
      <c r="S517" s="20">
        <f t="shared" si="183"/>
        <v>43</v>
      </c>
      <c r="T517" s="20">
        <f t="shared" si="183"/>
        <v>42</v>
      </c>
      <c r="U517" s="20">
        <f t="shared" si="183"/>
        <v>35</v>
      </c>
      <c r="V517" s="20">
        <f t="shared" si="183"/>
        <v>37</v>
      </c>
      <c r="W517" s="20">
        <f t="shared" si="183"/>
        <v>36</v>
      </c>
      <c r="X517" s="20">
        <f t="shared" si="183"/>
        <v>33</v>
      </c>
      <c r="Y517" s="20">
        <f t="shared" si="183"/>
        <v>19</v>
      </c>
      <c r="Z517" s="20">
        <f t="shared" si="183"/>
        <v>4</v>
      </c>
      <c r="AA517" s="79">
        <f t="shared" si="179"/>
        <v>1056</v>
      </c>
      <c r="AB517" s="83"/>
      <c r="AC517" s="82"/>
    </row>
    <row r="518" ht="15.75" customHeight="1">
      <c r="A518" s="84" t="s">
        <v>58</v>
      </c>
      <c r="B518" s="85">
        <f t="shared" ref="B518:Z518" si="184">B517/(COUNT(B6:B9,B29:B32,B52:B55,B75:B78,B98:B101,B121:B124,B144:B147,B167:B170,B190:B193,B213:B216,B236:B239,B259:B262,B282:B285,B305:B308,B328:B331,B351:B354,B374:B377,B397:B400,B420:B423,B443:B446,B466:B469,B489:B492)*1)</f>
        <v>0.9833333333</v>
      </c>
      <c r="C518" s="85">
        <f t="shared" si="184"/>
        <v>0.9166666667</v>
      </c>
      <c r="D518" s="85">
        <f t="shared" si="184"/>
        <v>0.8666666667</v>
      </c>
      <c r="E518" s="85">
        <f t="shared" si="184"/>
        <v>0.8333333333</v>
      </c>
      <c r="F518" s="85">
        <f t="shared" si="184"/>
        <v>0.8214285714</v>
      </c>
      <c r="G518" s="85">
        <f t="shared" si="184"/>
        <v>0.9090909091</v>
      </c>
      <c r="H518" s="85">
        <f t="shared" si="184"/>
        <v>0.875</v>
      </c>
      <c r="I518" s="85">
        <f t="shared" si="184"/>
        <v>0.875</v>
      </c>
      <c r="J518" s="85">
        <f t="shared" si="184"/>
        <v>0.8571428571</v>
      </c>
      <c r="K518" s="85">
        <f t="shared" si="184"/>
        <v>0.8035714286</v>
      </c>
      <c r="L518" s="85">
        <f t="shared" si="184"/>
        <v>0.8035714286</v>
      </c>
      <c r="M518" s="85">
        <f t="shared" si="184"/>
        <v>0.7678571429</v>
      </c>
      <c r="N518" s="85">
        <f t="shared" si="184"/>
        <v>0.7857142857</v>
      </c>
      <c r="O518" s="85">
        <f t="shared" si="184"/>
        <v>0.9772727273</v>
      </c>
      <c r="P518" s="85">
        <f t="shared" si="184"/>
        <v>0.7954545455</v>
      </c>
      <c r="Q518" s="85">
        <f t="shared" si="184"/>
        <v>0.8392857143</v>
      </c>
      <c r="R518" s="85">
        <f t="shared" si="184"/>
        <v>0.8392857143</v>
      </c>
      <c r="S518" s="85">
        <f t="shared" si="184"/>
        <v>0.7678571429</v>
      </c>
      <c r="T518" s="85">
        <f t="shared" si="184"/>
        <v>0.7636363636</v>
      </c>
      <c r="U518" s="85">
        <f t="shared" si="184"/>
        <v>0.625</v>
      </c>
      <c r="V518" s="85">
        <f t="shared" si="184"/>
        <v>0.7115384615</v>
      </c>
      <c r="W518" s="85">
        <f t="shared" si="184"/>
        <v>0.75</v>
      </c>
      <c r="X518" s="85">
        <f t="shared" si="184"/>
        <v>0.75</v>
      </c>
      <c r="Y518" s="85">
        <f t="shared" si="184"/>
        <v>0.7916666667</v>
      </c>
      <c r="Z518" s="85">
        <f t="shared" si="184"/>
        <v>1</v>
      </c>
      <c r="AA518" s="86">
        <f t="shared" si="179"/>
        <v>20.70937396</v>
      </c>
      <c r="AB518" s="80">
        <f>SUM(AB513:AB516)/4</f>
        <v>0.8236102998</v>
      </c>
      <c r="AC518" s="87" t="s">
        <v>58</v>
      </c>
    </row>
    <row r="519">
      <c r="A519" s="27" t="s">
        <v>44</v>
      </c>
      <c r="B519" s="88">
        <f t="shared" ref="B519:Z519" si="185">B12+B35+B58+B81+B104+B127+B150+B173+B196+B219+B242+B265+B288+B311+B334+B357+B380+B403+B426+B449+B472+B495</f>
        <v>0</v>
      </c>
      <c r="C519" s="88">
        <f t="shared" si="185"/>
        <v>0</v>
      </c>
      <c r="D519" s="88">
        <f t="shared" si="185"/>
        <v>20</v>
      </c>
      <c r="E519" s="88">
        <f t="shared" si="185"/>
        <v>60</v>
      </c>
      <c r="F519" s="88">
        <f t="shared" si="185"/>
        <v>60</v>
      </c>
      <c r="G519" s="88">
        <f t="shared" si="185"/>
        <v>20</v>
      </c>
      <c r="H519" s="88">
        <f t="shared" si="185"/>
        <v>20</v>
      </c>
      <c r="I519" s="88">
        <f t="shared" si="185"/>
        <v>40</v>
      </c>
      <c r="J519" s="88">
        <f t="shared" si="185"/>
        <v>0</v>
      </c>
      <c r="K519" s="88">
        <f t="shared" si="185"/>
        <v>0</v>
      </c>
      <c r="L519" s="88">
        <f t="shared" si="185"/>
        <v>0</v>
      </c>
      <c r="M519" s="88">
        <f t="shared" si="185"/>
        <v>0</v>
      </c>
      <c r="N519" s="88">
        <f t="shared" si="185"/>
        <v>0</v>
      </c>
      <c r="O519" s="88">
        <f t="shared" si="185"/>
        <v>0</v>
      </c>
      <c r="P519" s="88">
        <f t="shared" si="185"/>
        <v>0</v>
      </c>
      <c r="Q519" s="88">
        <f t="shared" si="185"/>
        <v>0</v>
      </c>
      <c r="R519" s="88">
        <f t="shared" si="185"/>
        <v>0</v>
      </c>
      <c r="S519" s="88">
        <f t="shared" si="185"/>
        <v>0</v>
      </c>
      <c r="T519" s="88">
        <f t="shared" si="185"/>
        <v>0</v>
      </c>
      <c r="U519" s="88">
        <f t="shared" si="185"/>
        <v>0</v>
      </c>
      <c r="V519" s="88">
        <f t="shared" si="185"/>
        <v>0</v>
      </c>
      <c r="W519" s="88">
        <f t="shared" si="185"/>
        <v>0</v>
      </c>
      <c r="X519" s="88">
        <f t="shared" si="185"/>
        <v>0</v>
      </c>
      <c r="Y519" s="88">
        <f t="shared" si="185"/>
        <v>0</v>
      </c>
      <c r="Z519" s="88">
        <f t="shared" si="185"/>
        <v>0</v>
      </c>
      <c r="AA519" s="89">
        <f t="shared" si="179"/>
        <v>220</v>
      </c>
      <c r="AB519" s="90" t="s">
        <v>59</v>
      </c>
      <c r="AC519" s="91"/>
    </row>
    <row r="520" ht="15.75" customHeight="1">
      <c r="A520" s="32" t="s">
        <v>45</v>
      </c>
      <c r="B520" s="88">
        <f t="shared" ref="B520:Z520" si="186">B13+B36+B59+B82+B105+B128+B151+B174+B197+B220+B243+B266+B289+B312+B335+B358+B381+B404+B427+B450+B473+B496</f>
        <v>0</v>
      </c>
      <c r="C520" s="88">
        <f t="shared" si="186"/>
        <v>0</v>
      </c>
      <c r="D520" s="88">
        <f t="shared" si="186"/>
        <v>0</v>
      </c>
      <c r="E520" s="88">
        <f t="shared" si="186"/>
        <v>1</v>
      </c>
      <c r="F520" s="88">
        <f t="shared" si="186"/>
        <v>0</v>
      </c>
      <c r="G520" s="88">
        <f t="shared" si="186"/>
        <v>0</v>
      </c>
      <c r="H520" s="88">
        <f t="shared" si="186"/>
        <v>0</v>
      </c>
      <c r="I520" s="88">
        <f t="shared" si="186"/>
        <v>0</v>
      </c>
      <c r="J520" s="88">
        <f t="shared" si="186"/>
        <v>0</v>
      </c>
      <c r="K520" s="88">
        <f t="shared" si="186"/>
        <v>3</v>
      </c>
      <c r="L520" s="88">
        <f t="shared" si="186"/>
        <v>5</v>
      </c>
      <c r="M520" s="88">
        <f t="shared" si="186"/>
        <v>7</v>
      </c>
      <c r="N520" s="88">
        <f t="shared" si="186"/>
        <v>7</v>
      </c>
      <c r="O520" s="88">
        <f t="shared" si="186"/>
        <v>0</v>
      </c>
      <c r="P520" s="88">
        <f t="shared" si="186"/>
        <v>0</v>
      </c>
      <c r="Q520" s="88">
        <f t="shared" si="186"/>
        <v>4</v>
      </c>
      <c r="R520" s="88">
        <f t="shared" si="186"/>
        <v>5</v>
      </c>
      <c r="S520" s="88">
        <f t="shared" si="186"/>
        <v>3</v>
      </c>
      <c r="T520" s="88">
        <f t="shared" si="186"/>
        <v>5</v>
      </c>
      <c r="U520" s="88">
        <f t="shared" si="186"/>
        <v>8</v>
      </c>
      <c r="V520" s="88">
        <f t="shared" si="186"/>
        <v>4</v>
      </c>
      <c r="W520" s="88">
        <f t="shared" si="186"/>
        <v>10</v>
      </c>
      <c r="X520" s="88">
        <f t="shared" si="186"/>
        <v>3</v>
      </c>
      <c r="Y520" s="88">
        <f t="shared" si="186"/>
        <v>0</v>
      </c>
      <c r="Z520" s="88">
        <f t="shared" si="186"/>
        <v>0</v>
      </c>
      <c r="AA520" s="89">
        <f t="shared" si="179"/>
        <v>65</v>
      </c>
      <c r="AB520" s="90" t="s">
        <v>59</v>
      </c>
      <c r="AC520" s="92"/>
    </row>
    <row r="521">
      <c r="A521" s="93" t="s">
        <v>46</v>
      </c>
      <c r="B521" s="88">
        <f t="shared" ref="B521:Z521" si="187">B14+B37+B60+B83+B106+B129+B152+B175+B198+B221+B244+B267+B290+B313+B336+B359+B382+B405+B428+B451+B474+B497</f>
        <v>0</v>
      </c>
      <c r="C521" s="88">
        <f t="shared" si="187"/>
        <v>0</v>
      </c>
      <c r="D521" s="88">
        <f t="shared" si="187"/>
        <v>0</v>
      </c>
      <c r="E521" s="88">
        <f t="shared" si="187"/>
        <v>0</v>
      </c>
      <c r="F521" s="88">
        <f t="shared" si="187"/>
        <v>0</v>
      </c>
      <c r="G521" s="88">
        <f t="shared" si="187"/>
        <v>0</v>
      </c>
      <c r="H521" s="88">
        <f t="shared" si="187"/>
        <v>0</v>
      </c>
      <c r="I521" s="88">
        <f t="shared" si="187"/>
        <v>0</v>
      </c>
      <c r="J521" s="88">
        <f t="shared" si="187"/>
        <v>0</v>
      </c>
      <c r="K521" s="88">
        <f t="shared" si="187"/>
        <v>0</v>
      </c>
      <c r="L521" s="88">
        <f t="shared" si="187"/>
        <v>0</v>
      </c>
      <c r="M521" s="88">
        <f t="shared" si="187"/>
        <v>0</v>
      </c>
      <c r="N521" s="88">
        <f t="shared" si="187"/>
        <v>0</v>
      </c>
      <c r="O521" s="88">
        <f t="shared" si="187"/>
        <v>0</v>
      </c>
      <c r="P521" s="88">
        <f t="shared" si="187"/>
        <v>0</v>
      </c>
      <c r="Q521" s="88">
        <f t="shared" si="187"/>
        <v>0</v>
      </c>
      <c r="R521" s="88">
        <f t="shared" si="187"/>
        <v>0</v>
      </c>
      <c r="S521" s="88">
        <f t="shared" si="187"/>
        <v>0</v>
      </c>
      <c r="T521" s="88">
        <f t="shared" si="187"/>
        <v>0</v>
      </c>
      <c r="U521" s="88">
        <f t="shared" si="187"/>
        <v>0</v>
      </c>
      <c r="V521" s="88">
        <f t="shared" si="187"/>
        <v>0</v>
      </c>
      <c r="W521" s="88">
        <f t="shared" si="187"/>
        <v>0</v>
      </c>
      <c r="X521" s="88">
        <f t="shared" si="187"/>
        <v>0</v>
      </c>
      <c r="Y521" s="88">
        <f t="shared" si="187"/>
        <v>0</v>
      </c>
      <c r="Z521" s="88">
        <f t="shared" si="187"/>
        <v>0</v>
      </c>
      <c r="AA521" s="89">
        <f t="shared" si="179"/>
        <v>0</v>
      </c>
      <c r="AB521" s="90" t="s">
        <v>59</v>
      </c>
      <c r="AC521" s="92"/>
    </row>
    <row r="522">
      <c r="A522" s="94" t="s">
        <v>47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95"/>
      <c r="AB522" s="96" t="s">
        <v>47</v>
      </c>
      <c r="AC522" s="95"/>
    </row>
    <row r="523" ht="15.75" customHeight="1">
      <c r="A523" s="97" t="s">
        <v>48</v>
      </c>
      <c r="B523" s="98">
        <f t="shared" ref="B523:Z523" si="188">B16+B39+B62+B85+B108+B131+B154+B177+B200+B223+B246+B269+B292+B315+B338+B361+B384+B407+B430+B453+B476+B499</f>
        <v>0</v>
      </c>
      <c r="C523" s="98">
        <f t="shared" si="188"/>
        <v>0</v>
      </c>
      <c r="D523" s="98">
        <f t="shared" si="188"/>
        <v>1</v>
      </c>
      <c r="E523" s="98">
        <f t="shared" si="188"/>
        <v>2</v>
      </c>
      <c r="F523" s="98">
        <f t="shared" si="188"/>
        <v>0</v>
      </c>
      <c r="G523" s="98">
        <f t="shared" si="188"/>
        <v>0</v>
      </c>
      <c r="H523" s="98">
        <f t="shared" si="188"/>
        <v>1</v>
      </c>
      <c r="I523" s="98">
        <f t="shared" si="188"/>
        <v>1</v>
      </c>
      <c r="J523" s="98">
        <f t="shared" si="188"/>
        <v>0</v>
      </c>
      <c r="K523" s="98">
        <f t="shared" si="188"/>
        <v>1</v>
      </c>
      <c r="L523" s="98">
        <f t="shared" si="188"/>
        <v>0</v>
      </c>
      <c r="M523" s="98">
        <f t="shared" si="188"/>
        <v>2</v>
      </c>
      <c r="N523" s="98">
        <f t="shared" si="188"/>
        <v>0</v>
      </c>
      <c r="O523" s="98">
        <f t="shared" si="188"/>
        <v>0</v>
      </c>
      <c r="P523" s="98">
        <f t="shared" si="188"/>
        <v>0</v>
      </c>
      <c r="Q523" s="98">
        <f t="shared" si="188"/>
        <v>1</v>
      </c>
      <c r="R523" s="98">
        <f t="shared" si="188"/>
        <v>0</v>
      </c>
      <c r="S523" s="98">
        <f t="shared" si="188"/>
        <v>1</v>
      </c>
      <c r="T523" s="98">
        <f t="shared" si="188"/>
        <v>1</v>
      </c>
      <c r="U523" s="98">
        <f t="shared" si="188"/>
        <v>1</v>
      </c>
      <c r="V523" s="98">
        <f t="shared" si="188"/>
        <v>0</v>
      </c>
      <c r="W523" s="98">
        <f t="shared" si="188"/>
        <v>2</v>
      </c>
      <c r="X523" s="98">
        <f t="shared" si="188"/>
        <v>0</v>
      </c>
      <c r="Y523" s="98">
        <f t="shared" si="188"/>
        <v>0</v>
      </c>
      <c r="Z523" s="98">
        <f t="shared" si="188"/>
        <v>0</v>
      </c>
      <c r="AA523" s="99">
        <f t="shared" ref="AA523:AA524" si="190">SUM(B523:Z523)</f>
        <v>14</v>
      </c>
      <c r="AB523" s="100" t="s">
        <v>60</v>
      </c>
      <c r="AC523" s="95"/>
    </row>
    <row r="524" ht="15.75" customHeight="1">
      <c r="A524" s="97" t="s">
        <v>49</v>
      </c>
      <c r="B524" s="98">
        <f t="shared" ref="B524:Z524" si="189">B17+B40+B63+B86+B109+B132+B155+B178+B201+B224+B247+B270+B293+B316+B339+B362+B385+B408+B431+B454+B477+B500</f>
        <v>0</v>
      </c>
      <c r="C524" s="98">
        <f t="shared" si="189"/>
        <v>0</v>
      </c>
      <c r="D524" s="98">
        <f t="shared" si="189"/>
        <v>20</v>
      </c>
      <c r="E524" s="98">
        <f t="shared" si="189"/>
        <v>60</v>
      </c>
      <c r="F524" s="98">
        <f t="shared" si="189"/>
        <v>60</v>
      </c>
      <c r="G524" s="98">
        <f t="shared" si="189"/>
        <v>20</v>
      </c>
      <c r="H524" s="98">
        <f t="shared" si="189"/>
        <v>40</v>
      </c>
      <c r="I524" s="98">
        <f t="shared" si="189"/>
        <v>60</v>
      </c>
      <c r="J524" s="98">
        <f t="shared" si="189"/>
        <v>20</v>
      </c>
      <c r="K524" s="98">
        <f t="shared" si="189"/>
        <v>40</v>
      </c>
      <c r="L524" s="98">
        <f t="shared" si="189"/>
        <v>20</v>
      </c>
      <c r="M524" s="98">
        <f t="shared" si="189"/>
        <v>55</v>
      </c>
      <c r="N524" s="98">
        <f t="shared" si="189"/>
        <v>55</v>
      </c>
      <c r="O524" s="98">
        <f t="shared" si="189"/>
        <v>0</v>
      </c>
      <c r="P524" s="98">
        <f t="shared" si="189"/>
        <v>0</v>
      </c>
      <c r="Q524" s="98">
        <f t="shared" si="189"/>
        <v>20</v>
      </c>
      <c r="R524" s="98">
        <f t="shared" si="189"/>
        <v>20</v>
      </c>
      <c r="S524" s="98">
        <f t="shared" si="189"/>
        <v>20</v>
      </c>
      <c r="T524" s="98">
        <f t="shared" si="189"/>
        <v>40</v>
      </c>
      <c r="U524" s="98">
        <f t="shared" si="189"/>
        <v>30</v>
      </c>
      <c r="V524" s="98">
        <f t="shared" si="189"/>
        <v>20</v>
      </c>
      <c r="W524" s="98">
        <f t="shared" si="189"/>
        <v>30</v>
      </c>
      <c r="X524" s="98">
        <f t="shared" si="189"/>
        <v>30</v>
      </c>
      <c r="Y524" s="98">
        <f t="shared" si="189"/>
        <v>0</v>
      </c>
      <c r="Z524" s="98">
        <f t="shared" si="189"/>
        <v>0</v>
      </c>
      <c r="AA524" s="99">
        <f t="shared" si="190"/>
        <v>660</v>
      </c>
      <c r="AB524" s="100" t="s">
        <v>61</v>
      </c>
      <c r="AC524" s="95"/>
    </row>
    <row r="525" ht="15.75" customHeight="1">
      <c r="A525" s="101" t="s">
        <v>62</v>
      </c>
      <c r="B525" s="102">
        <f t="shared" ref="B525:Z525" si="191">SUM(B18,B41,B64,B87,B110,B133,B156,B179,B202,B225,B248,B271,B294,B317,B340,B363,B386,B409,B432,B455,B478,B501)</f>
        <v>0</v>
      </c>
      <c r="C525" s="102">
        <f t="shared" si="191"/>
        <v>0</v>
      </c>
      <c r="D525" s="102">
        <f t="shared" si="191"/>
        <v>1</v>
      </c>
      <c r="E525" s="102">
        <f t="shared" si="191"/>
        <v>2</v>
      </c>
      <c r="F525" s="102">
        <f t="shared" si="191"/>
        <v>0</v>
      </c>
      <c r="G525" s="102">
        <f t="shared" si="191"/>
        <v>0</v>
      </c>
      <c r="H525" s="102">
        <f t="shared" si="191"/>
        <v>1</v>
      </c>
      <c r="I525" s="102">
        <f t="shared" si="191"/>
        <v>1</v>
      </c>
      <c r="J525" s="102">
        <f t="shared" si="191"/>
        <v>0</v>
      </c>
      <c r="K525" s="102">
        <f t="shared" si="191"/>
        <v>1</v>
      </c>
      <c r="L525" s="102">
        <f t="shared" si="191"/>
        <v>0</v>
      </c>
      <c r="M525" s="102">
        <f t="shared" si="191"/>
        <v>2</v>
      </c>
      <c r="N525" s="102">
        <f t="shared" si="191"/>
        <v>0</v>
      </c>
      <c r="O525" s="102">
        <f t="shared" si="191"/>
        <v>0</v>
      </c>
      <c r="P525" s="102">
        <f t="shared" si="191"/>
        <v>0</v>
      </c>
      <c r="Q525" s="102">
        <f t="shared" si="191"/>
        <v>1</v>
      </c>
      <c r="R525" s="102">
        <f t="shared" si="191"/>
        <v>0</v>
      </c>
      <c r="S525" s="102">
        <f t="shared" si="191"/>
        <v>1</v>
      </c>
      <c r="T525" s="102">
        <f t="shared" si="191"/>
        <v>1</v>
      </c>
      <c r="U525" s="102">
        <f t="shared" si="191"/>
        <v>1</v>
      </c>
      <c r="V525" s="102">
        <f t="shared" si="191"/>
        <v>0</v>
      </c>
      <c r="W525" s="102">
        <f t="shared" si="191"/>
        <v>2</v>
      </c>
      <c r="X525" s="102">
        <f t="shared" si="191"/>
        <v>0</v>
      </c>
      <c r="Y525" s="102">
        <f t="shared" si="191"/>
        <v>0</v>
      </c>
      <c r="Z525" s="102">
        <f t="shared" si="191"/>
        <v>0</v>
      </c>
      <c r="AA525" s="103"/>
      <c r="AB525" s="104"/>
      <c r="AC525" s="105"/>
    </row>
    <row r="526" ht="15.75" customHeight="1">
      <c r="A526" s="106" t="s">
        <v>50</v>
      </c>
      <c r="B526" s="107" t="str">
        <f t="shared" ref="B526:Z526" si="192">B525/COUNT(B18,B41,B64,B87,B110,B133,B156,B179,B202,B225,B248,B271,B294,B317,B340,B363,B386,B409,B432,B455,B478,B501)</f>
        <v>#DIV/0!</v>
      </c>
      <c r="C526" s="107" t="str">
        <f t="shared" si="192"/>
        <v>#DIV/0!</v>
      </c>
      <c r="D526" s="107">
        <f t="shared" si="192"/>
        <v>1</v>
      </c>
      <c r="E526" s="107">
        <f t="shared" si="192"/>
        <v>1</v>
      </c>
      <c r="F526" s="107" t="str">
        <f t="shared" si="192"/>
        <v>#DIV/0!</v>
      </c>
      <c r="G526" s="107" t="str">
        <f t="shared" si="192"/>
        <v>#DIV/0!</v>
      </c>
      <c r="H526" s="107">
        <f t="shared" si="192"/>
        <v>1</v>
      </c>
      <c r="I526" s="107">
        <f t="shared" si="192"/>
        <v>1</v>
      </c>
      <c r="J526" s="107" t="str">
        <f t="shared" si="192"/>
        <v>#DIV/0!</v>
      </c>
      <c r="K526" s="107">
        <f t="shared" si="192"/>
        <v>1</v>
      </c>
      <c r="L526" s="107" t="str">
        <f t="shared" si="192"/>
        <v>#DIV/0!</v>
      </c>
      <c r="M526" s="107">
        <f t="shared" si="192"/>
        <v>1</v>
      </c>
      <c r="N526" s="107" t="str">
        <f t="shared" si="192"/>
        <v>#DIV/0!</v>
      </c>
      <c r="O526" s="107" t="str">
        <f t="shared" si="192"/>
        <v>#DIV/0!</v>
      </c>
      <c r="P526" s="107" t="str">
        <f t="shared" si="192"/>
        <v>#DIV/0!</v>
      </c>
      <c r="Q526" s="107">
        <f t="shared" si="192"/>
        <v>1</v>
      </c>
      <c r="R526" s="107" t="str">
        <f t="shared" si="192"/>
        <v>#DIV/0!</v>
      </c>
      <c r="S526" s="107">
        <f t="shared" si="192"/>
        <v>1</v>
      </c>
      <c r="T526" s="107">
        <f t="shared" si="192"/>
        <v>1</v>
      </c>
      <c r="U526" s="107">
        <f t="shared" si="192"/>
        <v>1</v>
      </c>
      <c r="V526" s="107" t="str">
        <f t="shared" si="192"/>
        <v>#DIV/0!</v>
      </c>
      <c r="W526" s="107">
        <f t="shared" si="192"/>
        <v>1</v>
      </c>
      <c r="X526" s="107" t="str">
        <f t="shared" si="192"/>
        <v>#DIV/0!</v>
      </c>
      <c r="Y526" s="107" t="str">
        <f t="shared" si="192"/>
        <v>#DIV/0!</v>
      </c>
      <c r="Z526" s="107" t="str">
        <f t="shared" si="192"/>
        <v>#DIV/0!</v>
      </c>
      <c r="AA526" s="108">
        <f>round(AVERAGEif(B526:Z526, "&gt;0"),0)</f>
        <v>1</v>
      </c>
      <c r="AB526" s="109" t="s">
        <v>63</v>
      </c>
      <c r="AC526" s="110"/>
    </row>
    <row r="527" ht="15.75" customHeight="1">
      <c r="A527" s="111" t="s">
        <v>51</v>
      </c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3"/>
      <c r="AB527" s="114" t="s">
        <v>51</v>
      </c>
      <c r="AC527" s="113"/>
    </row>
    <row r="528" ht="15.75" customHeight="1">
      <c r="A528" s="115" t="s">
        <v>48</v>
      </c>
      <c r="B528" s="20">
        <f t="shared" ref="B528:Z528" si="193">B20+B43+B66+B89+B112+B135+B158+B181+B204+B227+B250+B273+B296+B319+B342+B365+B388+B411+B434+B457+B480+B503</f>
        <v>0</v>
      </c>
      <c r="C528" s="20">
        <f t="shared" si="193"/>
        <v>0</v>
      </c>
      <c r="D528" s="20">
        <f t="shared" si="193"/>
        <v>0</v>
      </c>
      <c r="E528" s="20">
        <f t="shared" si="193"/>
        <v>0</v>
      </c>
      <c r="F528" s="20">
        <f t="shared" si="193"/>
        <v>0</v>
      </c>
      <c r="G528" s="20">
        <f t="shared" si="193"/>
        <v>0</v>
      </c>
      <c r="H528" s="20">
        <f t="shared" si="193"/>
        <v>0</v>
      </c>
      <c r="I528" s="20">
        <f t="shared" si="193"/>
        <v>0</v>
      </c>
      <c r="J528" s="20">
        <f t="shared" si="193"/>
        <v>1</v>
      </c>
      <c r="K528" s="20">
        <f t="shared" si="193"/>
        <v>0</v>
      </c>
      <c r="L528" s="20">
        <f t="shared" si="193"/>
        <v>0</v>
      </c>
      <c r="M528" s="20">
        <f t="shared" si="193"/>
        <v>0</v>
      </c>
      <c r="N528" s="20">
        <f t="shared" si="193"/>
        <v>0</v>
      </c>
      <c r="O528" s="20">
        <f t="shared" si="193"/>
        <v>0</v>
      </c>
      <c r="P528" s="20">
        <f t="shared" si="193"/>
        <v>0</v>
      </c>
      <c r="Q528" s="20">
        <f t="shared" si="193"/>
        <v>0</v>
      </c>
      <c r="R528" s="20">
        <f t="shared" si="193"/>
        <v>0</v>
      </c>
      <c r="S528" s="20">
        <f t="shared" si="193"/>
        <v>0</v>
      </c>
      <c r="T528" s="20">
        <f t="shared" si="193"/>
        <v>0</v>
      </c>
      <c r="U528" s="20">
        <f t="shared" si="193"/>
        <v>0</v>
      </c>
      <c r="V528" s="20">
        <f t="shared" si="193"/>
        <v>0</v>
      </c>
      <c r="W528" s="20">
        <f t="shared" si="193"/>
        <v>0</v>
      </c>
      <c r="X528" s="20">
        <f t="shared" si="193"/>
        <v>0</v>
      </c>
      <c r="Y528" s="20">
        <f t="shared" si="193"/>
        <v>0</v>
      </c>
      <c r="Z528" s="20">
        <f t="shared" si="193"/>
        <v>0</v>
      </c>
      <c r="AA528" s="116">
        <f t="shared" ref="AA528:AA529" si="195">SUM(B528:Z528)</f>
        <v>1</v>
      </c>
      <c r="AB528" s="114" t="s">
        <v>64</v>
      </c>
      <c r="AC528" s="113"/>
    </row>
    <row r="529" ht="15.75" customHeight="1">
      <c r="A529" s="115" t="s">
        <v>49</v>
      </c>
      <c r="B529" s="20">
        <f t="shared" ref="B529:Z529" si="194">B21+B44+B67+B90+B113+B136+B159+B182+B205+B228+B251+B274+B297+B320+B343+B366+B389+B412+B435+B458+B481+B504</f>
        <v>0</v>
      </c>
      <c r="C529" s="20">
        <f t="shared" si="194"/>
        <v>0</v>
      </c>
      <c r="D529" s="20">
        <f t="shared" si="194"/>
        <v>0</v>
      </c>
      <c r="E529" s="20">
        <f t="shared" si="194"/>
        <v>0</v>
      </c>
      <c r="F529" s="20">
        <f t="shared" si="194"/>
        <v>0</v>
      </c>
      <c r="G529" s="20">
        <f t="shared" si="194"/>
        <v>0</v>
      </c>
      <c r="H529" s="20">
        <f t="shared" si="194"/>
        <v>0</v>
      </c>
      <c r="I529" s="20">
        <f t="shared" si="194"/>
        <v>0</v>
      </c>
      <c r="J529" s="20">
        <f t="shared" si="194"/>
        <v>20</v>
      </c>
      <c r="K529" s="20">
        <f t="shared" si="194"/>
        <v>0</v>
      </c>
      <c r="L529" s="20">
        <f t="shared" si="194"/>
        <v>0</v>
      </c>
      <c r="M529" s="20">
        <f t="shared" si="194"/>
        <v>0</v>
      </c>
      <c r="N529" s="20">
        <f t="shared" si="194"/>
        <v>0</v>
      </c>
      <c r="O529" s="20">
        <f t="shared" si="194"/>
        <v>0</v>
      </c>
      <c r="P529" s="20">
        <f t="shared" si="194"/>
        <v>0</v>
      </c>
      <c r="Q529" s="20">
        <f t="shared" si="194"/>
        <v>0</v>
      </c>
      <c r="R529" s="20">
        <f t="shared" si="194"/>
        <v>0</v>
      </c>
      <c r="S529" s="20">
        <f t="shared" si="194"/>
        <v>0</v>
      </c>
      <c r="T529" s="20">
        <f t="shared" si="194"/>
        <v>0</v>
      </c>
      <c r="U529" s="20">
        <f t="shared" si="194"/>
        <v>0</v>
      </c>
      <c r="V529" s="20">
        <f t="shared" si="194"/>
        <v>0</v>
      </c>
      <c r="W529" s="20">
        <f t="shared" si="194"/>
        <v>0</v>
      </c>
      <c r="X529" s="20">
        <f t="shared" si="194"/>
        <v>0</v>
      </c>
      <c r="Y529" s="20">
        <f t="shared" si="194"/>
        <v>0</v>
      </c>
      <c r="Z529" s="20">
        <f t="shared" si="194"/>
        <v>0</v>
      </c>
      <c r="AA529" s="116">
        <f t="shared" si="195"/>
        <v>20</v>
      </c>
      <c r="AB529" s="114" t="s">
        <v>65</v>
      </c>
      <c r="AC529" s="113"/>
    </row>
    <row r="530" ht="15.75" customHeight="1">
      <c r="A530" s="101" t="s">
        <v>62</v>
      </c>
      <c r="B530" s="102">
        <f t="shared" ref="B530:Z530" si="196">sum(B22,B45,B68,B91,B114,B137,B160,B183,B206,B229,B252,B275,B298,B321,B344,B367,B390,B413,B436,B459,B482,B505)</f>
        <v>0</v>
      </c>
      <c r="C530" s="102">
        <f t="shared" si="196"/>
        <v>0</v>
      </c>
      <c r="D530" s="102">
        <f t="shared" si="196"/>
        <v>0</v>
      </c>
      <c r="E530" s="102">
        <f t="shared" si="196"/>
        <v>0</v>
      </c>
      <c r="F530" s="102">
        <f t="shared" si="196"/>
        <v>0</v>
      </c>
      <c r="G530" s="102">
        <f t="shared" si="196"/>
        <v>0</v>
      </c>
      <c r="H530" s="102">
        <f t="shared" si="196"/>
        <v>0</v>
      </c>
      <c r="I530" s="102">
        <f t="shared" si="196"/>
        <v>0</v>
      </c>
      <c r="J530" s="102">
        <f t="shared" si="196"/>
        <v>1</v>
      </c>
      <c r="K530" s="102">
        <f t="shared" si="196"/>
        <v>0</v>
      </c>
      <c r="L530" s="102">
        <f t="shared" si="196"/>
        <v>0</v>
      </c>
      <c r="M530" s="102">
        <f t="shared" si="196"/>
        <v>0</v>
      </c>
      <c r="N530" s="102">
        <f t="shared" si="196"/>
        <v>0</v>
      </c>
      <c r="O530" s="102">
        <f t="shared" si="196"/>
        <v>0</v>
      </c>
      <c r="P530" s="102">
        <f t="shared" si="196"/>
        <v>0</v>
      </c>
      <c r="Q530" s="102">
        <f t="shared" si="196"/>
        <v>0</v>
      </c>
      <c r="R530" s="102">
        <f t="shared" si="196"/>
        <v>0</v>
      </c>
      <c r="S530" s="102">
        <f t="shared" si="196"/>
        <v>0</v>
      </c>
      <c r="T530" s="102">
        <f t="shared" si="196"/>
        <v>0</v>
      </c>
      <c r="U530" s="102">
        <f t="shared" si="196"/>
        <v>0</v>
      </c>
      <c r="V530" s="102">
        <f t="shared" si="196"/>
        <v>0</v>
      </c>
      <c r="W530" s="102">
        <f t="shared" si="196"/>
        <v>0</v>
      </c>
      <c r="X530" s="102">
        <f t="shared" si="196"/>
        <v>0</v>
      </c>
      <c r="Y530" s="102">
        <f t="shared" si="196"/>
        <v>0</v>
      </c>
      <c r="Z530" s="102">
        <f t="shared" si="196"/>
        <v>0</v>
      </c>
      <c r="AA530" s="105"/>
      <c r="AB530" s="104"/>
      <c r="AC530" s="105"/>
    </row>
    <row r="531" ht="15.75" customHeight="1">
      <c r="A531" s="115" t="s">
        <v>50</v>
      </c>
      <c r="B531" s="20" t="str">
        <f t="shared" ref="B531:Z531" si="197">B530/count(B22,B45,B68,B91,B114,B137,B160,B183,B206,B229,B252,B275,B298,B321,B344,B367,B390,B413,B436,B459,B482,B505)</f>
        <v>#DIV/0!</v>
      </c>
      <c r="C531" s="20" t="str">
        <f t="shared" si="197"/>
        <v>#DIV/0!</v>
      </c>
      <c r="D531" s="20" t="str">
        <f t="shared" si="197"/>
        <v>#DIV/0!</v>
      </c>
      <c r="E531" s="20" t="str">
        <f t="shared" si="197"/>
        <v>#DIV/0!</v>
      </c>
      <c r="F531" s="20" t="str">
        <f t="shared" si="197"/>
        <v>#DIV/0!</v>
      </c>
      <c r="G531" s="20" t="str">
        <f t="shared" si="197"/>
        <v>#DIV/0!</v>
      </c>
      <c r="H531" s="20" t="str">
        <f t="shared" si="197"/>
        <v>#DIV/0!</v>
      </c>
      <c r="I531" s="20" t="str">
        <f t="shared" si="197"/>
        <v>#DIV/0!</v>
      </c>
      <c r="J531" s="20">
        <f t="shared" si="197"/>
        <v>1</v>
      </c>
      <c r="K531" s="20" t="str">
        <f t="shared" si="197"/>
        <v>#DIV/0!</v>
      </c>
      <c r="L531" s="20" t="str">
        <f t="shared" si="197"/>
        <v>#DIV/0!</v>
      </c>
      <c r="M531" s="20" t="str">
        <f t="shared" si="197"/>
        <v>#DIV/0!</v>
      </c>
      <c r="N531" s="20" t="str">
        <f t="shared" si="197"/>
        <v>#DIV/0!</v>
      </c>
      <c r="O531" s="20" t="str">
        <f t="shared" si="197"/>
        <v>#DIV/0!</v>
      </c>
      <c r="P531" s="20" t="str">
        <f t="shared" si="197"/>
        <v>#DIV/0!</v>
      </c>
      <c r="Q531" s="20" t="str">
        <f t="shared" si="197"/>
        <v>#DIV/0!</v>
      </c>
      <c r="R531" s="20" t="str">
        <f t="shared" si="197"/>
        <v>#DIV/0!</v>
      </c>
      <c r="S531" s="20" t="str">
        <f t="shared" si="197"/>
        <v>#DIV/0!</v>
      </c>
      <c r="T531" s="20" t="str">
        <f t="shared" si="197"/>
        <v>#DIV/0!</v>
      </c>
      <c r="U531" s="20" t="str">
        <f t="shared" si="197"/>
        <v>#DIV/0!</v>
      </c>
      <c r="V531" s="20" t="str">
        <f t="shared" si="197"/>
        <v>#DIV/0!</v>
      </c>
      <c r="W531" s="20" t="str">
        <f t="shared" si="197"/>
        <v>#DIV/0!</v>
      </c>
      <c r="X531" s="20" t="str">
        <f t="shared" si="197"/>
        <v>#DIV/0!</v>
      </c>
      <c r="Y531" s="20" t="str">
        <f t="shared" si="197"/>
        <v>#DIV/0!</v>
      </c>
      <c r="Z531" s="20" t="str">
        <f t="shared" si="197"/>
        <v>#DIV/0!</v>
      </c>
      <c r="AA531" s="116">
        <f>round(AVERAGEif(B531:Z531, "&gt;0"),0)</f>
        <v>1</v>
      </c>
      <c r="AB531" s="114" t="s">
        <v>63</v>
      </c>
      <c r="AC531" s="113"/>
    </row>
    <row r="532" ht="15.75" customHeight="1">
      <c r="A532" s="117" t="s">
        <v>53</v>
      </c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9"/>
      <c r="AB532" s="120" t="s">
        <v>53</v>
      </c>
      <c r="AC532" s="119"/>
    </row>
    <row r="533" ht="15.75" customHeight="1">
      <c r="A533" s="97" t="s">
        <v>48</v>
      </c>
      <c r="B533" s="98">
        <f t="shared" ref="B533:Z533" si="198">B24+B47+B70+B93+B116+B139+B162+B185+B208+B231+B254+B277+B300+B323+B346+B369+B392+B415+B438+B461+B484+B507</f>
        <v>0</v>
      </c>
      <c r="C533" s="98">
        <f t="shared" si="198"/>
        <v>0</v>
      </c>
      <c r="D533" s="98">
        <f t="shared" si="198"/>
        <v>0</v>
      </c>
      <c r="E533" s="98">
        <f t="shared" si="198"/>
        <v>0</v>
      </c>
      <c r="F533" s="98">
        <f t="shared" si="198"/>
        <v>0</v>
      </c>
      <c r="G533" s="98">
        <f t="shared" si="198"/>
        <v>0</v>
      </c>
      <c r="H533" s="98">
        <f t="shared" si="198"/>
        <v>0</v>
      </c>
      <c r="I533" s="98">
        <f t="shared" si="198"/>
        <v>0</v>
      </c>
      <c r="J533" s="98">
        <f t="shared" si="198"/>
        <v>0</v>
      </c>
      <c r="K533" s="98">
        <f t="shared" si="198"/>
        <v>0</v>
      </c>
      <c r="L533" s="98">
        <f t="shared" si="198"/>
        <v>0</v>
      </c>
      <c r="M533" s="98">
        <f t="shared" si="198"/>
        <v>0</v>
      </c>
      <c r="N533" s="98">
        <f t="shared" si="198"/>
        <v>0</v>
      </c>
      <c r="O533" s="98">
        <f t="shared" si="198"/>
        <v>0</v>
      </c>
      <c r="P533" s="98">
        <f t="shared" si="198"/>
        <v>0</v>
      </c>
      <c r="Q533" s="98">
        <f t="shared" si="198"/>
        <v>0</v>
      </c>
      <c r="R533" s="98">
        <f t="shared" si="198"/>
        <v>0</v>
      </c>
      <c r="S533" s="98">
        <f t="shared" si="198"/>
        <v>0</v>
      </c>
      <c r="T533" s="98">
        <f t="shared" si="198"/>
        <v>0</v>
      </c>
      <c r="U533" s="98">
        <f t="shared" si="198"/>
        <v>0</v>
      </c>
      <c r="V533" s="98">
        <f t="shared" si="198"/>
        <v>0</v>
      </c>
      <c r="W533" s="98">
        <f t="shared" si="198"/>
        <v>0</v>
      </c>
      <c r="X533" s="98">
        <f t="shared" si="198"/>
        <v>0</v>
      </c>
      <c r="Y533" s="98">
        <f t="shared" si="198"/>
        <v>0</v>
      </c>
      <c r="Z533" s="98">
        <f t="shared" si="198"/>
        <v>0</v>
      </c>
      <c r="AA533" s="121">
        <f t="shared" ref="AA533:AA534" si="200">SUM(B533:Z533)</f>
        <v>0</v>
      </c>
      <c r="AB533" s="120" t="s">
        <v>66</v>
      </c>
      <c r="AC533" s="119"/>
    </row>
    <row r="534" ht="15.75" customHeight="1">
      <c r="A534" s="97" t="s">
        <v>49</v>
      </c>
      <c r="B534" s="98">
        <f t="shared" ref="B534:Z534" si="199">B25+B48+B71+B94+B117+B140+B163+B186+B209+B232+B255+B278+B301+B324+B347+B370+B393+B416+B439+B462+B485+B508</f>
        <v>0</v>
      </c>
      <c r="C534" s="98">
        <f t="shared" si="199"/>
        <v>0</v>
      </c>
      <c r="D534" s="98">
        <f t="shared" si="199"/>
        <v>0</v>
      </c>
      <c r="E534" s="98">
        <f t="shared" si="199"/>
        <v>0</v>
      </c>
      <c r="F534" s="98">
        <f t="shared" si="199"/>
        <v>0</v>
      </c>
      <c r="G534" s="98">
        <f t="shared" si="199"/>
        <v>0</v>
      </c>
      <c r="H534" s="98">
        <f t="shared" si="199"/>
        <v>0</v>
      </c>
      <c r="I534" s="98">
        <f t="shared" si="199"/>
        <v>0</v>
      </c>
      <c r="J534" s="98">
        <f t="shared" si="199"/>
        <v>0</v>
      </c>
      <c r="K534" s="98">
        <f t="shared" si="199"/>
        <v>0</v>
      </c>
      <c r="L534" s="98">
        <f t="shared" si="199"/>
        <v>0</v>
      </c>
      <c r="M534" s="98">
        <f t="shared" si="199"/>
        <v>0</v>
      </c>
      <c r="N534" s="98">
        <f t="shared" si="199"/>
        <v>0</v>
      </c>
      <c r="O534" s="98">
        <f t="shared" si="199"/>
        <v>0</v>
      </c>
      <c r="P534" s="98">
        <f t="shared" si="199"/>
        <v>0</v>
      </c>
      <c r="Q534" s="98">
        <f t="shared" si="199"/>
        <v>0</v>
      </c>
      <c r="R534" s="98">
        <f t="shared" si="199"/>
        <v>0</v>
      </c>
      <c r="S534" s="98">
        <f t="shared" si="199"/>
        <v>0</v>
      </c>
      <c r="T534" s="98">
        <f t="shared" si="199"/>
        <v>0</v>
      </c>
      <c r="U534" s="98">
        <f t="shared" si="199"/>
        <v>0</v>
      </c>
      <c r="V534" s="98">
        <f t="shared" si="199"/>
        <v>0</v>
      </c>
      <c r="W534" s="98">
        <f t="shared" si="199"/>
        <v>0</v>
      </c>
      <c r="X534" s="98">
        <f t="shared" si="199"/>
        <v>0</v>
      </c>
      <c r="Y534" s="98">
        <f t="shared" si="199"/>
        <v>0</v>
      </c>
      <c r="Z534" s="98">
        <f t="shared" si="199"/>
        <v>0</v>
      </c>
      <c r="AA534" s="121">
        <f t="shared" si="200"/>
        <v>0</v>
      </c>
      <c r="AB534" s="120" t="s">
        <v>67</v>
      </c>
      <c r="AC534" s="119"/>
    </row>
    <row r="535" ht="15.75" customHeight="1">
      <c r="A535" s="122" t="s">
        <v>62</v>
      </c>
      <c r="B535" s="123">
        <f t="shared" ref="B535:Z535" si="201">sum(B26,B49,B72,B95,B118,B141,B164,B187,B210,B233,B256,B279,B302,B325,B348,B371,B394,B417,B440,B463,B486,B509)</f>
        <v>0</v>
      </c>
      <c r="C535" s="123">
        <f t="shared" si="201"/>
        <v>0</v>
      </c>
      <c r="D535" s="123">
        <f t="shared" si="201"/>
        <v>0</v>
      </c>
      <c r="E535" s="123">
        <f t="shared" si="201"/>
        <v>0</v>
      </c>
      <c r="F535" s="123">
        <f t="shared" si="201"/>
        <v>0</v>
      </c>
      <c r="G535" s="123">
        <f t="shared" si="201"/>
        <v>0</v>
      </c>
      <c r="H535" s="123">
        <f t="shared" si="201"/>
        <v>0</v>
      </c>
      <c r="I535" s="123">
        <f t="shared" si="201"/>
        <v>0</v>
      </c>
      <c r="J535" s="123">
        <f t="shared" si="201"/>
        <v>0</v>
      </c>
      <c r="K535" s="123">
        <f t="shared" si="201"/>
        <v>0</v>
      </c>
      <c r="L535" s="123">
        <f t="shared" si="201"/>
        <v>0</v>
      </c>
      <c r="M535" s="123">
        <f t="shared" si="201"/>
        <v>0</v>
      </c>
      <c r="N535" s="123">
        <f t="shared" si="201"/>
        <v>0</v>
      </c>
      <c r="O535" s="123">
        <f t="shared" si="201"/>
        <v>0</v>
      </c>
      <c r="P535" s="123">
        <f t="shared" si="201"/>
        <v>0</v>
      </c>
      <c r="Q535" s="123">
        <f t="shared" si="201"/>
        <v>0</v>
      </c>
      <c r="R535" s="123">
        <f t="shared" si="201"/>
        <v>0</v>
      </c>
      <c r="S535" s="123">
        <f t="shared" si="201"/>
        <v>0</v>
      </c>
      <c r="T535" s="123">
        <f t="shared" si="201"/>
        <v>0</v>
      </c>
      <c r="U535" s="123">
        <f t="shared" si="201"/>
        <v>0</v>
      </c>
      <c r="V535" s="123">
        <f t="shared" si="201"/>
        <v>0</v>
      </c>
      <c r="W535" s="123">
        <f t="shared" si="201"/>
        <v>0</v>
      </c>
      <c r="X535" s="123">
        <f t="shared" si="201"/>
        <v>0</v>
      </c>
      <c r="Y535" s="123">
        <f t="shared" si="201"/>
        <v>0</v>
      </c>
      <c r="Z535" s="123">
        <f t="shared" si="201"/>
        <v>0</v>
      </c>
      <c r="AA535" s="124"/>
      <c r="AB535" s="124"/>
      <c r="AC535" s="122"/>
    </row>
    <row r="536" ht="15.75" customHeight="1">
      <c r="A536" s="106" t="s">
        <v>50</v>
      </c>
      <c r="B536" s="107" t="str">
        <f t="shared" ref="B536:Z536" si="202">B535/count(B26,B49,B72,B95,B118,B141,B164,B187,B210,B233,B256,B279,B302,B325,B348,B371,B394,B417,B440,B463,B486,B509)</f>
        <v>#DIV/0!</v>
      </c>
      <c r="C536" s="107" t="str">
        <f t="shared" si="202"/>
        <v>#DIV/0!</v>
      </c>
      <c r="D536" s="107" t="str">
        <f t="shared" si="202"/>
        <v>#DIV/0!</v>
      </c>
      <c r="E536" s="107" t="str">
        <f t="shared" si="202"/>
        <v>#DIV/0!</v>
      </c>
      <c r="F536" s="107" t="str">
        <f t="shared" si="202"/>
        <v>#DIV/0!</v>
      </c>
      <c r="G536" s="107" t="str">
        <f t="shared" si="202"/>
        <v>#DIV/0!</v>
      </c>
      <c r="H536" s="107" t="str">
        <f t="shared" si="202"/>
        <v>#DIV/0!</v>
      </c>
      <c r="I536" s="107" t="str">
        <f t="shared" si="202"/>
        <v>#DIV/0!</v>
      </c>
      <c r="J536" s="107" t="str">
        <f t="shared" si="202"/>
        <v>#DIV/0!</v>
      </c>
      <c r="K536" s="107" t="str">
        <f t="shared" si="202"/>
        <v>#DIV/0!</v>
      </c>
      <c r="L536" s="107" t="str">
        <f t="shared" si="202"/>
        <v>#DIV/0!</v>
      </c>
      <c r="M536" s="107" t="str">
        <f t="shared" si="202"/>
        <v>#DIV/0!</v>
      </c>
      <c r="N536" s="107" t="str">
        <f t="shared" si="202"/>
        <v>#DIV/0!</v>
      </c>
      <c r="O536" s="107" t="str">
        <f t="shared" si="202"/>
        <v>#DIV/0!</v>
      </c>
      <c r="P536" s="107" t="str">
        <f t="shared" si="202"/>
        <v>#DIV/0!</v>
      </c>
      <c r="Q536" s="107" t="str">
        <f t="shared" si="202"/>
        <v>#DIV/0!</v>
      </c>
      <c r="R536" s="107" t="str">
        <f t="shared" si="202"/>
        <v>#DIV/0!</v>
      </c>
      <c r="S536" s="107" t="str">
        <f t="shared" si="202"/>
        <v>#DIV/0!</v>
      </c>
      <c r="T536" s="107" t="str">
        <f t="shared" si="202"/>
        <v>#DIV/0!</v>
      </c>
      <c r="U536" s="107" t="str">
        <f t="shared" si="202"/>
        <v>#DIV/0!</v>
      </c>
      <c r="V536" s="107" t="str">
        <f t="shared" si="202"/>
        <v>#DIV/0!</v>
      </c>
      <c r="W536" s="107" t="str">
        <f t="shared" si="202"/>
        <v>#DIV/0!</v>
      </c>
      <c r="X536" s="107" t="str">
        <f t="shared" si="202"/>
        <v>#DIV/0!</v>
      </c>
      <c r="Y536" s="107" t="str">
        <f t="shared" si="202"/>
        <v>#DIV/0!</v>
      </c>
      <c r="Z536" s="107" t="str">
        <f t="shared" si="202"/>
        <v>#DIV/0!</v>
      </c>
      <c r="AA536" s="125" t="str">
        <f>round(AVERAGEif(B536:Z536, "&gt;0"),0)</f>
        <v>#DIV/0!</v>
      </c>
      <c r="AB536" s="126" t="s">
        <v>63</v>
      </c>
      <c r="AC536" s="127"/>
    </row>
  </sheetData>
  <mergeCells count="78">
    <mergeCell ref="A222:Z222"/>
    <mergeCell ref="A226:Z226"/>
    <mergeCell ref="A230:Z230"/>
    <mergeCell ref="A245:Z245"/>
    <mergeCell ref="A249:Z249"/>
    <mergeCell ref="A253:Z253"/>
    <mergeCell ref="A268:Z268"/>
    <mergeCell ref="A272:Z272"/>
    <mergeCell ref="A276:Z276"/>
    <mergeCell ref="A291:Z291"/>
    <mergeCell ref="A295:Z295"/>
    <mergeCell ref="A299:Z299"/>
    <mergeCell ref="A314:Z314"/>
    <mergeCell ref="A318:Z318"/>
    <mergeCell ref="A322:Z322"/>
    <mergeCell ref="A337:Z337"/>
    <mergeCell ref="A341:Z341"/>
    <mergeCell ref="A345:Z345"/>
    <mergeCell ref="A360:Z360"/>
    <mergeCell ref="A364:Z364"/>
    <mergeCell ref="A368:Z368"/>
    <mergeCell ref="A383:Z383"/>
    <mergeCell ref="A387:Z387"/>
    <mergeCell ref="A391:Z391"/>
    <mergeCell ref="A406:Z406"/>
    <mergeCell ref="A410:Z410"/>
    <mergeCell ref="A414:Z414"/>
    <mergeCell ref="A429:Z429"/>
    <mergeCell ref="A483:Z483"/>
    <mergeCell ref="A498:Z498"/>
    <mergeCell ref="A502:Z502"/>
    <mergeCell ref="A506:Z506"/>
    <mergeCell ref="A433:Z433"/>
    <mergeCell ref="A437:Z437"/>
    <mergeCell ref="A452:Z452"/>
    <mergeCell ref="A456:Z456"/>
    <mergeCell ref="A460:Z460"/>
    <mergeCell ref="A475:Z475"/>
    <mergeCell ref="A479:Z479"/>
    <mergeCell ref="Q2:R2"/>
    <mergeCell ref="S2:T2"/>
    <mergeCell ref="U2:V2"/>
    <mergeCell ref="W2:Y2"/>
    <mergeCell ref="A1:AB1"/>
    <mergeCell ref="C2:D2"/>
    <mergeCell ref="E2:F2"/>
    <mergeCell ref="G2:H2"/>
    <mergeCell ref="I2:J2"/>
    <mergeCell ref="K2:L2"/>
    <mergeCell ref="M2:P2"/>
    <mergeCell ref="A4:AB4"/>
    <mergeCell ref="A15:Z15"/>
    <mergeCell ref="A19:Z19"/>
    <mergeCell ref="A23:Z23"/>
    <mergeCell ref="A38:Z38"/>
    <mergeCell ref="A42:Z42"/>
    <mergeCell ref="A46:Z46"/>
    <mergeCell ref="A61:Z61"/>
    <mergeCell ref="A65:Z65"/>
    <mergeCell ref="A69:Z69"/>
    <mergeCell ref="A84:Z84"/>
    <mergeCell ref="A88:Z88"/>
    <mergeCell ref="A92:Z92"/>
    <mergeCell ref="A107:Z107"/>
    <mergeCell ref="A111:Z111"/>
    <mergeCell ref="A115:Z115"/>
    <mergeCell ref="A130:Z130"/>
    <mergeCell ref="A134:Z134"/>
    <mergeCell ref="A138:Z138"/>
    <mergeCell ref="A153:Z153"/>
    <mergeCell ref="A157:Z157"/>
    <mergeCell ref="A161:Z161"/>
    <mergeCell ref="A176:Z176"/>
    <mergeCell ref="A180:Z180"/>
    <mergeCell ref="A184:Z184"/>
    <mergeCell ref="A199:Z199"/>
    <mergeCell ref="A203:Z203"/>
    <mergeCell ref="A207:Z20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5.71"/>
    <col customWidth="1" min="2" max="2" width="8.86"/>
    <col customWidth="1" min="3" max="4" width="5.86"/>
    <col customWidth="1" min="5" max="5" width="9.43"/>
    <col customWidth="1" min="6" max="14" width="5.86"/>
    <col customWidth="1" min="15" max="16" width="8.71"/>
    <col customWidth="1" min="17" max="17" width="6.43"/>
    <col customWidth="1" min="18" max="23" width="5.86"/>
    <col customWidth="1" min="24" max="24" width="12.71"/>
    <col customWidth="1" min="25" max="25" width="5.86"/>
    <col customWidth="1" min="26" max="26" width="9.57"/>
    <col customWidth="1" min="27" max="27" width="8.14"/>
    <col customWidth="1" min="28" max="28" width="9.14"/>
    <col customWidth="1" min="29" max="29" width="28.0"/>
  </cols>
  <sheetData>
    <row r="1">
      <c r="A1" s="1" t="s">
        <v>0</v>
      </c>
      <c r="AC1" s="2"/>
    </row>
    <row r="2">
      <c r="A2" s="3"/>
      <c r="B2" s="4"/>
      <c r="C2" s="5" t="s">
        <v>1</v>
      </c>
      <c r="D2" s="6"/>
      <c r="E2" s="5" t="s">
        <v>2</v>
      </c>
      <c r="F2" s="6"/>
      <c r="G2" s="5" t="s">
        <v>3</v>
      </c>
      <c r="H2" s="6"/>
      <c r="I2" s="5" t="s">
        <v>4</v>
      </c>
      <c r="J2" s="6"/>
      <c r="K2" s="5" t="s">
        <v>5</v>
      </c>
      <c r="L2" s="6"/>
      <c r="M2" s="5" t="s">
        <v>6</v>
      </c>
      <c r="N2" s="7"/>
      <c r="O2" s="7"/>
      <c r="P2" s="6"/>
      <c r="Q2" s="5" t="s">
        <v>7</v>
      </c>
      <c r="R2" s="6"/>
      <c r="S2" s="5" t="s">
        <v>8</v>
      </c>
      <c r="T2" s="6"/>
      <c r="U2" s="5" t="s">
        <v>9</v>
      </c>
      <c r="V2" s="6"/>
      <c r="W2" s="5" t="s">
        <v>1</v>
      </c>
      <c r="X2" s="7"/>
      <c r="Y2" s="6"/>
      <c r="Z2" s="8"/>
      <c r="AA2" s="3"/>
      <c r="AB2" s="3"/>
      <c r="AC2" s="9"/>
    </row>
    <row r="3">
      <c r="A3" s="3"/>
      <c r="B3" s="10" t="s">
        <v>10</v>
      </c>
      <c r="C3" s="10" t="s">
        <v>11</v>
      </c>
      <c r="D3" s="11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3"/>
      <c r="AB3" s="3"/>
      <c r="AC3" s="9"/>
    </row>
    <row r="4">
      <c r="A4" s="1" t="s">
        <v>71</v>
      </c>
      <c r="AC4" s="12" t="s">
        <v>36</v>
      </c>
    </row>
    <row r="5">
      <c r="A5" s="13">
        <v>45992.0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 t="s">
        <v>37</v>
      </c>
      <c r="AB5" s="16" t="s">
        <v>38</v>
      </c>
      <c r="AC5" s="2"/>
    </row>
    <row r="6">
      <c r="A6" s="17" t="s">
        <v>39</v>
      </c>
      <c r="B6" s="19">
        <v>1.0</v>
      </c>
      <c r="C6" s="19">
        <v>1.0</v>
      </c>
      <c r="D6" s="19">
        <v>1.0</v>
      </c>
      <c r="E6" s="19">
        <v>1.0</v>
      </c>
      <c r="F6" s="19">
        <v>1.0</v>
      </c>
      <c r="G6" s="19">
        <v>0.0</v>
      </c>
      <c r="H6" s="19">
        <v>0.0</v>
      </c>
      <c r="I6" s="19">
        <v>0.0</v>
      </c>
      <c r="J6" s="19">
        <v>0.0</v>
      </c>
      <c r="K6" s="19">
        <v>0.0</v>
      </c>
      <c r="L6" s="19">
        <v>0.0</v>
      </c>
      <c r="M6" s="19">
        <v>0.0</v>
      </c>
      <c r="N6" s="19">
        <v>0.0</v>
      </c>
      <c r="O6" s="19">
        <v>1.0</v>
      </c>
      <c r="P6" s="19">
        <v>1.0</v>
      </c>
      <c r="Q6" s="19">
        <v>0.0</v>
      </c>
      <c r="R6" s="19">
        <v>0.0</v>
      </c>
      <c r="S6" s="19">
        <v>0.0</v>
      </c>
      <c r="T6" s="19">
        <v>0.0</v>
      </c>
      <c r="U6" s="19">
        <v>0.0</v>
      </c>
      <c r="V6" s="19">
        <v>0.0</v>
      </c>
      <c r="W6" s="19">
        <v>0.0</v>
      </c>
      <c r="X6" s="19">
        <v>0.0</v>
      </c>
      <c r="Y6" s="18"/>
      <c r="Z6" s="18"/>
      <c r="AA6" s="20">
        <f t="shared" ref="AA6:AA10" si="1">SUM(B6:Z6)</f>
        <v>7</v>
      </c>
      <c r="AB6" s="21">
        <f t="shared" ref="AB6:AB9" si="2">AA6/(COUNT(B6:Z6)*1)</f>
        <v>0.3043478261</v>
      </c>
      <c r="AC6" s="2"/>
    </row>
    <row r="7">
      <c r="A7" s="17" t="s">
        <v>40</v>
      </c>
      <c r="B7" s="19">
        <v>1.0</v>
      </c>
      <c r="C7" s="19">
        <v>1.0</v>
      </c>
      <c r="D7" s="19">
        <v>1.0</v>
      </c>
      <c r="E7" s="19">
        <v>1.0</v>
      </c>
      <c r="F7" s="19">
        <v>1.0</v>
      </c>
      <c r="G7" s="19">
        <v>1.0</v>
      </c>
      <c r="H7" s="19">
        <v>1.0</v>
      </c>
      <c r="I7" s="19">
        <v>1.0</v>
      </c>
      <c r="J7" s="19">
        <v>1.0</v>
      </c>
      <c r="K7" s="19">
        <v>1.0</v>
      </c>
      <c r="L7" s="19">
        <v>1.0</v>
      </c>
      <c r="M7" s="19">
        <v>1.0</v>
      </c>
      <c r="N7" s="19">
        <v>1.0</v>
      </c>
      <c r="O7" s="19">
        <v>1.0</v>
      </c>
      <c r="P7" s="19">
        <v>1.0</v>
      </c>
      <c r="Q7" s="19">
        <v>0.0</v>
      </c>
      <c r="R7" s="19">
        <v>0.0</v>
      </c>
      <c r="S7" s="19">
        <v>0.0</v>
      </c>
      <c r="T7" s="19">
        <v>0.0</v>
      </c>
      <c r="U7" s="19">
        <v>0.0</v>
      </c>
      <c r="V7" s="19">
        <v>0.0</v>
      </c>
      <c r="W7" s="19">
        <v>1.0</v>
      </c>
      <c r="X7" s="19">
        <v>1.0</v>
      </c>
      <c r="Y7" s="18"/>
      <c r="Z7" s="18"/>
      <c r="AA7" s="20">
        <f t="shared" si="1"/>
        <v>17</v>
      </c>
      <c r="AB7" s="21">
        <f t="shared" si="2"/>
        <v>0.7391304348</v>
      </c>
      <c r="AC7" s="2"/>
    </row>
    <row r="8">
      <c r="A8" s="17" t="s">
        <v>41</v>
      </c>
      <c r="B8" s="19">
        <v>1.0</v>
      </c>
      <c r="C8" s="19">
        <v>1.0</v>
      </c>
      <c r="D8" s="19">
        <v>1.0</v>
      </c>
      <c r="E8" s="19">
        <v>1.0</v>
      </c>
      <c r="F8" s="19">
        <v>1.0</v>
      </c>
      <c r="G8" s="19">
        <v>0.0</v>
      </c>
      <c r="H8" s="19">
        <v>0.0</v>
      </c>
      <c r="I8" s="19">
        <v>0.0</v>
      </c>
      <c r="J8" s="19">
        <v>0.0</v>
      </c>
      <c r="K8" s="19">
        <v>0.0</v>
      </c>
      <c r="L8" s="19">
        <v>0.0</v>
      </c>
      <c r="M8" s="19">
        <v>0.0</v>
      </c>
      <c r="N8" s="19">
        <v>0.0</v>
      </c>
      <c r="O8" s="19">
        <v>1.0</v>
      </c>
      <c r="P8" s="19">
        <v>0.0</v>
      </c>
      <c r="Q8" s="19">
        <v>0.0</v>
      </c>
      <c r="R8" s="19">
        <v>0.0</v>
      </c>
      <c r="S8" s="19">
        <v>0.0</v>
      </c>
      <c r="T8" s="19">
        <v>0.0</v>
      </c>
      <c r="U8" s="19">
        <v>0.0</v>
      </c>
      <c r="V8" s="19">
        <v>0.0</v>
      </c>
      <c r="W8" s="19">
        <v>1.0</v>
      </c>
      <c r="X8" s="19">
        <v>1.0</v>
      </c>
      <c r="Y8" s="18"/>
      <c r="Z8" s="18"/>
      <c r="AA8" s="20">
        <f t="shared" si="1"/>
        <v>8</v>
      </c>
      <c r="AB8" s="21">
        <f t="shared" si="2"/>
        <v>0.347826087</v>
      </c>
      <c r="AC8" s="2"/>
    </row>
    <row r="9">
      <c r="A9" s="17" t="s">
        <v>42</v>
      </c>
      <c r="B9" s="19">
        <v>1.0</v>
      </c>
      <c r="C9" s="19">
        <v>1.0</v>
      </c>
      <c r="D9" s="19">
        <v>1.0</v>
      </c>
      <c r="E9" s="19">
        <v>1.0</v>
      </c>
      <c r="F9" s="19">
        <v>1.0</v>
      </c>
      <c r="G9" s="19">
        <v>1.0</v>
      </c>
      <c r="H9" s="19">
        <v>1.0</v>
      </c>
      <c r="I9" s="19">
        <v>1.0</v>
      </c>
      <c r="J9" s="19">
        <v>1.0</v>
      </c>
      <c r="K9" s="19">
        <v>1.0</v>
      </c>
      <c r="L9" s="19">
        <v>1.0</v>
      </c>
      <c r="M9" s="19">
        <v>1.0</v>
      </c>
      <c r="N9" s="19">
        <v>1.0</v>
      </c>
      <c r="O9" s="19">
        <v>1.0</v>
      </c>
      <c r="P9" s="19">
        <v>1.0</v>
      </c>
      <c r="Q9" s="19">
        <v>1.0</v>
      </c>
      <c r="R9" s="19">
        <v>1.0</v>
      </c>
      <c r="S9" s="19">
        <v>1.0</v>
      </c>
      <c r="T9" s="19">
        <v>1.0</v>
      </c>
      <c r="U9" s="19">
        <v>1.0</v>
      </c>
      <c r="V9" s="19">
        <v>0.0</v>
      </c>
      <c r="W9" s="19">
        <v>1.0</v>
      </c>
      <c r="X9" s="19">
        <v>1.0</v>
      </c>
      <c r="Y9" s="18"/>
      <c r="Z9" s="18"/>
      <c r="AA9" s="20">
        <f t="shared" si="1"/>
        <v>22</v>
      </c>
      <c r="AB9" s="21">
        <f t="shared" si="2"/>
        <v>0.9565217391</v>
      </c>
      <c r="AC9" s="2"/>
    </row>
    <row r="10">
      <c r="A10" s="17" t="s">
        <v>43</v>
      </c>
      <c r="B10" s="22">
        <f t="shared" ref="B10:Z10" si="3">SUM(B6:B9)</f>
        <v>4</v>
      </c>
      <c r="C10" s="22">
        <f t="shared" si="3"/>
        <v>4</v>
      </c>
      <c r="D10" s="22">
        <f t="shared" si="3"/>
        <v>4</v>
      </c>
      <c r="E10" s="22">
        <f t="shared" si="3"/>
        <v>4</v>
      </c>
      <c r="F10" s="22">
        <f t="shared" si="3"/>
        <v>4</v>
      </c>
      <c r="G10" s="22">
        <f t="shared" si="3"/>
        <v>2</v>
      </c>
      <c r="H10" s="22">
        <f t="shared" si="3"/>
        <v>2</v>
      </c>
      <c r="I10" s="22">
        <f t="shared" si="3"/>
        <v>2</v>
      </c>
      <c r="J10" s="22">
        <f t="shared" si="3"/>
        <v>2</v>
      </c>
      <c r="K10" s="22">
        <f t="shared" si="3"/>
        <v>2</v>
      </c>
      <c r="L10" s="22">
        <f t="shared" si="3"/>
        <v>2</v>
      </c>
      <c r="M10" s="22">
        <f t="shared" si="3"/>
        <v>2</v>
      </c>
      <c r="N10" s="22">
        <f t="shared" si="3"/>
        <v>2</v>
      </c>
      <c r="O10" s="22">
        <f t="shared" si="3"/>
        <v>4</v>
      </c>
      <c r="P10" s="22">
        <f t="shared" si="3"/>
        <v>3</v>
      </c>
      <c r="Q10" s="22">
        <f t="shared" si="3"/>
        <v>1</v>
      </c>
      <c r="R10" s="22">
        <f t="shared" si="3"/>
        <v>1</v>
      </c>
      <c r="S10" s="22">
        <f t="shared" si="3"/>
        <v>1</v>
      </c>
      <c r="T10" s="22">
        <f t="shared" si="3"/>
        <v>1</v>
      </c>
      <c r="U10" s="22">
        <f t="shared" si="3"/>
        <v>1</v>
      </c>
      <c r="V10" s="22">
        <f t="shared" si="3"/>
        <v>0</v>
      </c>
      <c r="W10" s="22">
        <f t="shared" si="3"/>
        <v>3</v>
      </c>
      <c r="X10" s="22">
        <f t="shared" si="3"/>
        <v>3</v>
      </c>
      <c r="Y10" s="22">
        <f t="shared" si="3"/>
        <v>0</v>
      </c>
      <c r="Z10" s="22">
        <f t="shared" si="3"/>
        <v>0</v>
      </c>
      <c r="AA10" s="20">
        <f t="shared" si="1"/>
        <v>54</v>
      </c>
      <c r="AB10" s="23"/>
      <c r="AC10" s="2"/>
    </row>
    <row r="11">
      <c r="A11" s="17" t="s">
        <v>38</v>
      </c>
      <c r="B11" s="24">
        <f t="shared" ref="B11:Z11" si="4">B10/(COUNT(B6:B9)*1)</f>
        <v>1</v>
      </c>
      <c r="C11" s="24">
        <f t="shared" si="4"/>
        <v>1</v>
      </c>
      <c r="D11" s="24">
        <f t="shared" si="4"/>
        <v>1</v>
      </c>
      <c r="E11" s="24">
        <f t="shared" si="4"/>
        <v>1</v>
      </c>
      <c r="F11" s="24">
        <f t="shared" si="4"/>
        <v>1</v>
      </c>
      <c r="G11" s="24">
        <f t="shared" si="4"/>
        <v>0.5</v>
      </c>
      <c r="H11" s="24">
        <f t="shared" si="4"/>
        <v>0.5</v>
      </c>
      <c r="I11" s="24">
        <f t="shared" si="4"/>
        <v>0.5</v>
      </c>
      <c r="J11" s="24">
        <f t="shared" si="4"/>
        <v>0.5</v>
      </c>
      <c r="K11" s="24">
        <f t="shared" si="4"/>
        <v>0.5</v>
      </c>
      <c r="L11" s="24">
        <f t="shared" si="4"/>
        <v>0.5</v>
      </c>
      <c r="M11" s="24">
        <f t="shared" si="4"/>
        <v>0.5</v>
      </c>
      <c r="N11" s="24">
        <f t="shared" si="4"/>
        <v>0.5</v>
      </c>
      <c r="O11" s="24">
        <f t="shared" si="4"/>
        <v>1</v>
      </c>
      <c r="P11" s="24">
        <f t="shared" si="4"/>
        <v>0.75</v>
      </c>
      <c r="Q11" s="24">
        <f t="shared" si="4"/>
        <v>0.25</v>
      </c>
      <c r="R11" s="24">
        <f t="shared" si="4"/>
        <v>0.25</v>
      </c>
      <c r="S11" s="24">
        <f t="shared" si="4"/>
        <v>0.25</v>
      </c>
      <c r="T11" s="24">
        <f t="shared" si="4"/>
        <v>0.25</v>
      </c>
      <c r="U11" s="24">
        <f t="shared" si="4"/>
        <v>0.25</v>
      </c>
      <c r="V11" s="24">
        <f t="shared" si="4"/>
        <v>0</v>
      </c>
      <c r="W11" s="24">
        <f t="shared" si="4"/>
        <v>0.75</v>
      </c>
      <c r="X11" s="24">
        <f t="shared" si="4"/>
        <v>0.75</v>
      </c>
      <c r="Y11" s="24" t="str">
        <f t="shared" si="4"/>
        <v>#DIV/0!</v>
      </c>
      <c r="Z11" s="24" t="str">
        <f t="shared" si="4"/>
        <v>#DIV/0!</v>
      </c>
      <c r="AA11" s="25"/>
      <c r="AB11" s="26">
        <f>SUM(AB6:AB9)/4</f>
        <v>0.5869565217</v>
      </c>
      <c r="AC11" s="2"/>
    </row>
    <row r="12">
      <c r="A12" s="27" t="s">
        <v>44</v>
      </c>
      <c r="B12" s="60"/>
      <c r="C12" s="61"/>
      <c r="D12" s="60"/>
      <c r="E12" s="60"/>
      <c r="F12" s="60"/>
      <c r="G12" s="68">
        <v>10.0</v>
      </c>
      <c r="H12" s="68">
        <v>20.0</v>
      </c>
      <c r="I12" s="68">
        <v>20.0</v>
      </c>
      <c r="J12" s="68">
        <v>20.0</v>
      </c>
      <c r="K12" s="68">
        <v>20.0</v>
      </c>
      <c r="L12" s="68">
        <v>20.0</v>
      </c>
      <c r="M12" s="68">
        <v>20.0</v>
      </c>
      <c r="N12" s="68">
        <v>20.0</v>
      </c>
      <c r="O12" s="68">
        <v>15.0</v>
      </c>
      <c r="P12" s="68">
        <v>15.0</v>
      </c>
      <c r="Q12" s="60"/>
      <c r="R12" s="60"/>
      <c r="S12" s="68">
        <v>20.0</v>
      </c>
      <c r="T12" s="68">
        <v>20.0</v>
      </c>
      <c r="U12" s="68">
        <v>20.0</v>
      </c>
      <c r="V12" s="68">
        <v>20.0</v>
      </c>
      <c r="W12" s="68"/>
      <c r="X12" s="60"/>
      <c r="Y12" s="60"/>
      <c r="Z12" s="60"/>
      <c r="AA12" s="30">
        <f t="shared" ref="AA12:AA14" si="5">SUM(B12:Z12)</f>
        <v>260</v>
      </c>
      <c r="AB12" s="31"/>
      <c r="AC12" s="2"/>
    </row>
    <row r="13">
      <c r="A13" s="32" t="s">
        <v>45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0"/>
      <c r="W13" s="60"/>
      <c r="X13" s="60"/>
      <c r="Y13" s="60"/>
      <c r="Z13" s="60"/>
      <c r="AA13" s="30">
        <f t="shared" si="5"/>
        <v>0</v>
      </c>
      <c r="AB13" s="31"/>
      <c r="AC13" s="9"/>
    </row>
    <row r="14">
      <c r="A14" s="34" t="s">
        <v>46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0"/>
      <c r="W14" s="60"/>
      <c r="X14" s="60"/>
      <c r="Y14" s="60"/>
      <c r="Z14" s="60"/>
      <c r="AA14" s="30">
        <f t="shared" si="5"/>
        <v>0</v>
      </c>
      <c r="AB14" s="31"/>
      <c r="AC14" s="9"/>
    </row>
    <row r="15">
      <c r="A15" s="35" t="s">
        <v>47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8"/>
      <c r="AB15" s="39"/>
      <c r="AC15" s="2"/>
    </row>
    <row r="16">
      <c r="A16" s="40" t="s">
        <v>48</v>
      </c>
      <c r="B16" s="63"/>
      <c r="C16" s="64"/>
      <c r="D16" s="63"/>
      <c r="E16" s="63"/>
      <c r="F16" s="63"/>
      <c r="G16" s="65">
        <v>1.0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5">
        <v>1.0</v>
      </c>
      <c r="T16" s="63"/>
      <c r="U16" s="63"/>
      <c r="V16" s="66"/>
      <c r="W16" s="66"/>
      <c r="X16" s="66"/>
      <c r="Y16" s="66"/>
      <c r="Z16" s="66"/>
      <c r="AA16" s="44">
        <f t="shared" ref="AA16:AA17" si="6">SUM(B16:Z16)</f>
        <v>2</v>
      </c>
      <c r="AB16" s="31"/>
      <c r="AC16" s="2"/>
    </row>
    <row r="17">
      <c r="A17" s="40" t="s">
        <v>49</v>
      </c>
      <c r="B17" s="63"/>
      <c r="C17" s="64"/>
      <c r="D17" s="63"/>
      <c r="E17" s="63"/>
      <c r="F17" s="63"/>
      <c r="G17" s="65">
        <v>20.0</v>
      </c>
      <c r="H17" s="65">
        <v>20.0</v>
      </c>
      <c r="I17" s="65">
        <v>20.0</v>
      </c>
      <c r="J17" s="65">
        <v>20.0</v>
      </c>
      <c r="K17" s="65">
        <v>20.0</v>
      </c>
      <c r="L17" s="65">
        <v>20.0</v>
      </c>
      <c r="M17" s="65">
        <v>20.0</v>
      </c>
      <c r="N17" s="65">
        <v>20.0</v>
      </c>
      <c r="O17" s="65">
        <v>15.0</v>
      </c>
      <c r="P17" s="65">
        <v>15.0</v>
      </c>
      <c r="Q17" s="63"/>
      <c r="R17" s="63"/>
      <c r="S17" s="65">
        <v>20.0</v>
      </c>
      <c r="T17" s="65">
        <v>20.0</v>
      </c>
      <c r="U17" s="65">
        <v>20.0</v>
      </c>
      <c r="V17" s="69">
        <v>20.0</v>
      </c>
      <c r="W17" s="69">
        <v>10.0</v>
      </c>
      <c r="X17" s="69">
        <v>5.0</v>
      </c>
      <c r="Y17" s="66"/>
      <c r="Z17" s="66"/>
      <c r="AA17" s="44">
        <f t="shared" si="6"/>
        <v>285</v>
      </c>
      <c r="AB17" s="31"/>
      <c r="AC17" s="2"/>
    </row>
    <row r="18">
      <c r="A18" s="40" t="s">
        <v>50</v>
      </c>
      <c r="B18" s="64"/>
      <c r="C18" s="64"/>
      <c r="D18" s="63"/>
      <c r="E18" s="63"/>
      <c r="F18" s="63"/>
      <c r="G18" s="65">
        <v>1.0</v>
      </c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5">
        <v>1.0</v>
      </c>
      <c r="T18" s="63"/>
      <c r="U18" s="63"/>
      <c r="V18" s="66"/>
      <c r="W18" s="66"/>
      <c r="X18" s="66"/>
      <c r="Y18" s="66"/>
      <c r="Z18" s="66"/>
      <c r="AA18" s="44">
        <f>AVERAGE(B18:Z18)</f>
        <v>1</v>
      </c>
      <c r="AB18" s="31"/>
      <c r="AC18" s="2"/>
    </row>
    <row r="19">
      <c r="A19" s="45" t="s">
        <v>51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7"/>
      <c r="AA19" s="46"/>
      <c r="AB19" s="39"/>
      <c r="AC19" s="2"/>
    </row>
    <row r="20">
      <c r="A20" s="47" t="s">
        <v>48</v>
      </c>
      <c r="B20" s="48"/>
      <c r="C20" s="49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50"/>
      <c r="W20" s="50"/>
      <c r="X20" s="50"/>
      <c r="Y20" s="50"/>
      <c r="Z20" s="50"/>
      <c r="AA20" s="51">
        <f t="shared" ref="AA20:AA21" si="7">SUM(B20:Z20)</f>
        <v>0</v>
      </c>
      <c r="AB20" s="31"/>
      <c r="AC20" s="2"/>
    </row>
    <row r="21">
      <c r="A21" s="47" t="s">
        <v>49</v>
      </c>
      <c r="B21" s="48"/>
      <c r="C21" s="49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50"/>
      <c r="W21" s="50"/>
      <c r="X21" s="50"/>
      <c r="Y21" s="50"/>
      <c r="Z21" s="50"/>
      <c r="AA21" s="51">
        <f t="shared" si="7"/>
        <v>0</v>
      </c>
      <c r="AB21" s="31"/>
      <c r="AC21" s="2"/>
    </row>
    <row r="22">
      <c r="A22" s="47" t="s">
        <v>52</v>
      </c>
      <c r="B22" s="49"/>
      <c r="C22" s="49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50"/>
      <c r="W22" s="50"/>
      <c r="X22" s="50"/>
      <c r="Y22" s="50"/>
      <c r="Z22" s="50"/>
      <c r="AA22" s="51" t="str">
        <f>AVERAGE(B22:Z22)</f>
        <v>#DIV/0!</v>
      </c>
      <c r="AB22" s="31"/>
      <c r="AC22" s="2"/>
    </row>
    <row r="23">
      <c r="A23" s="52" t="s">
        <v>53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7"/>
      <c r="AA23" s="38"/>
      <c r="AB23" s="39"/>
      <c r="AC23" s="2"/>
    </row>
    <row r="24">
      <c r="A24" s="40" t="s">
        <v>48</v>
      </c>
      <c r="B24" s="41"/>
      <c r="C24" s="42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3"/>
      <c r="W24" s="43"/>
      <c r="X24" s="43"/>
      <c r="Y24" s="43"/>
      <c r="Z24" s="43"/>
      <c r="AA24" s="44">
        <f t="shared" ref="AA24:AA25" si="8">SUM(B24:Z24)</f>
        <v>0</v>
      </c>
      <c r="AB24" s="31"/>
      <c r="AC24" s="2"/>
    </row>
    <row r="25">
      <c r="A25" s="40" t="s">
        <v>49</v>
      </c>
      <c r="B25" s="41"/>
      <c r="C25" s="42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3"/>
      <c r="W25" s="43"/>
      <c r="X25" s="43"/>
      <c r="Y25" s="43"/>
      <c r="Z25" s="43"/>
      <c r="AA25" s="44">
        <f t="shared" si="8"/>
        <v>0</v>
      </c>
      <c r="AB25" s="31"/>
      <c r="AC25" s="2"/>
    </row>
    <row r="26">
      <c r="A26" s="53" t="s">
        <v>50</v>
      </c>
      <c r="B26" s="54"/>
      <c r="C26" s="54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6"/>
      <c r="W26" s="56"/>
      <c r="X26" s="56"/>
      <c r="Y26" s="56"/>
      <c r="Z26" s="56"/>
      <c r="AA26" s="57" t="str">
        <f>AVERAGE(B26:Z26)</f>
        <v>#DIV/0!</v>
      </c>
      <c r="AB26" s="58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59"/>
      <c r="AB27" s="59"/>
      <c r="AC27" s="2"/>
    </row>
    <row r="28">
      <c r="A28" s="13">
        <v>45993.0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 t="s">
        <v>37</v>
      </c>
      <c r="AB28" s="16" t="s">
        <v>38</v>
      </c>
      <c r="AC28" s="2"/>
    </row>
    <row r="29">
      <c r="A29" s="17" t="s">
        <v>39</v>
      </c>
      <c r="B29" s="19">
        <v>1.0</v>
      </c>
      <c r="C29" s="19">
        <v>1.0</v>
      </c>
      <c r="D29" s="19">
        <v>1.0</v>
      </c>
      <c r="E29" s="19">
        <v>1.0</v>
      </c>
      <c r="F29" s="19">
        <v>0.0</v>
      </c>
      <c r="G29" s="19">
        <v>1.0</v>
      </c>
      <c r="H29" s="19">
        <v>1.0</v>
      </c>
      <c r="I29" s="19">
        <v>0.0</v>
      </c>
      <c r="J29" s="19">
        <v>0.0</v>
      </c>
      <c r="K29" s="19">
        <v>1.0</v>
      </c>
      <c r="L29" s="19">
        <v>1.0</v>
      </c>
      <c r="M29" s="19">
        <v>1.0</v>
      </c>
      <c r="N29" s="19">
        <v>1.0</v>
      </c>
      <c r="O29" s="19">
        <v>1.0</v>
      </c>
      <c r="P29" s="19">
        <v>1.0</v>
      </c>
      <c r="Q29" s="19">
        <v>1.0</v>
      </c>
      <c r="R29" s="19">
        <v>1.0</v>
      </c>
      <c r="S29" s="19">
        <v>0.0</v>
      </c>
      <c r="T29" s="19">
        <v>0.0</v>
      </c>
      <c r="U29" s="19">
        <v>0.0</v>
      </c>
      <c r="V29" s="19">
        <v>0.0</v>
      </c>
      <c r="W29" s="19">
        <v>0.0</v>
      </c>
      <c r="X29" s="19">
        <v>0.0</v>
      </c>
      <c r="Y29" s="18"/>
      <c r="Z29" s="18"/>
      <c r="AA29" s="20">
        <f t="shared" ref="AA29:AA33" si="9">SUM(B29:Z29)</f>
        <v>14</v>
      </c>
      <c r="AB29" s="21">
        <f t="shared" ref="AB29:AB32" si="10">AA29/(COUNT(B29:Z29)*1)</f>
        <v>0.6086956522</v>
      </c>
      <c r="AC29" s="2"/>
    </row>
    <row r="30">
      <c r="A30" s="17" t="s">
        <v>40</v>
      </c>
      <c r="B30" s="19">
        <v>1.0</v>
      </c>
      <c r="C30" s="19">
        <v>1.0</v>
      </c>
      <c r="D30" s="19">
        <v>1.0</v>
      </c>
      <c r="E30" s="19">
        <v>1.0</v>
      </c>
      <c r="F30" s="19">
        <v>1.0</v>
      </c>
      <c r="G30" s="19">
        <v>1.0</v>
      </c>
      <c r="H30" s="19">
        <v>1.0</v>
      </c>
      <c r="I30" s="19">
        <v>1.0</v>
      </c>
      <c r="J30" s="19">
        <v>1.0</v>
      </c>
      <c r="K30" s="19">
        <v>1.0</v>
      </c>
      <c r="L30" s="19">
        <v>1.0</v>
      </c>
      <c r="M30" s="19">
        <v>1.0</v>
      </c>
      <c r="N30" s="19">
        <v>1.0</v>
      </c>
      <c r="O30" s="19">
        <v>1.0</v>
      </c>
      <c r="P30" s="19">
        <v>1.0</v>
      </c>
      <c r="Q30" s="19">
        <v>0.0</v>
      </c>
      <c r="R30" s="19">
        <v>1.0</v>
      </c>
      <c r="S30" s="19">
        <v>1.0</v>
      </c>
      <c r="T30" s="19">
        <v>1.0</v>
      </c>
      <c r="U30" s="19">
        <v>1.0</v>
      </c>
      <c r="V30" s="19">
        <v>1.0</v>
      </c>
      <c r="W30" s="19">
        <v>1.0</v>
      </c>
      <c r="X30" s="19">
        <v>1.0</v>
      </c>
      <c r="Y30" s="18"/>
      <c r="Z30" s="18"/>
      <c r="AA30" s="20">
        <f t="shared" si="9"/>
        <v>22</v>
      </c>
      <c r="AB30" s="21">
        <f t="shared" si="10"/>
        <v>0.9565217391</v>
      </c>
      <c r="AC30" s="2"/>
    </row>
    <row r="31">
      <c r="A31" s="17" t="s">
        <v>41</v>
      </c>
      <c r="B31" s="19">
        <v>1.0</v>
      </c>
      <c r="C31" s="19">
        <v>1.0</v>
      </c>
      <c r="D31" s="19">
        <v>1.0</v>
      </c>
      <c r="E31" s="19">
        <v>1.0</v>
      </c>
      <c r="F31" s="19">
        <v>0.0</v>
      </c>
      <c r="G31" s="19">
        <v>1.0</v>
      </c>
      <c r="H31" s="19">
        <v>1.0</v>
      </c>
      <c r="I31" s="19">
        <v>1.0</v>
      </c>
      <c r="J31" s="19">
        <v>1.0</v>
      </c>
      <c r="K31" s="19">
        <v>1.0</v>
      </c>
      <c r="L31" s="19">
        <v>1.0</v>
      </c>
      <c r="M31" s="19">
        <v>1.0</v>
      </c>
      <c r="N31" s="19">
        <v>1.0</v>
      </c>
      <c r="O31" s="19">
        <v>1.0</v>
      </c>
      <c r="P31" s="19">
        <v>1.0</v>
      </c>
      <c r="Q31" s="19">
        <v>0.0</v>
      </c>
      <c r="R31" s="19">
        <v>1.0</v>
      </c>
      <c r="S31" s="19">
        <v>0.0</v>
      </c>
      <c r="T31" s="19">
        <v>1.0</v>
      </c>
      <c r="U31" s="19">
        <v>1.0</v>
      </c>
      <c r="V31" s="19">
        <v>1.0</v>
      </c>
      <c r="W31" s="19">
        <v>1.0</v>
      </c>
      <c r="X31" s="19">
        <v>1.0</v>
      </c>
      <c r="Y31" s="18"/>
      <c r="Z31" s="18"/>
      <c r="AA31" s="20">
        <f t="shared" si="9"/>
        <v>20</v>
      </c>
      <c r="AB31" s="21">
        <f t="shared" si="10"/>
        <v>0.8695652174</v>
      </c>
      <c r="AC31" s="2"/>
    </row>
    <row r="32">
      <c r="A32" s="17" t="s">
        <v>42</v>
      </c>
      <c r="B32" s="19">
        <v>1.0</v>
      </c>
      <c r="C32" s="19">
        <v>1.0</v>
      </c>
      <c r="D32" s="19">
        <v>1.0</v>
      </c>
      <c r="E32" s="19">
        <v>1.0</v>
      </c>
      <c r="F32" s="19">
        <v>1.0</v>
      </c>
      <c r="G32" s="19">
        <v>1.0</v>
      </c>
      <c r="H32" s="19">
        <v>1.0</v>
      </c>
      <c r="I32" s="19">
        <v>1.0</v>
      </c>
      <c r="J32" s="19">
        <v>1.0</v>
      </c>
      <c r="K32" s="19">
        <v>1.0</v>
      </c>
      <c r="L32" s="19">
        <v>1.0</v>
      </c>
      <c r="M32" s="19">
        <v>1.0</v>
      </c>
      <c r="N32" s="19">
        <v>1.0</v>
      </c>
      <c r="O32" s="19">
        <v>1.0</v>
      </c>
      <c r="P32" s="19">
        <v>1.0</v>
      </c>
      <c r="Q32" s="19">
        <v>0.0</v>
      </c>
      <c r="R32" s="19">
        <v>0.0</v>
      </c>
      <c r="S32" s="19">
        <v>0.0</v>
      </c>
      <c r="T32" s="19">
        <v>1.0</v>
      </c>
      <c r="U32" s="19">
        <v>1.0</v>
      </c>
      <c r="V32" s="19">
        <v>1.0</v>
      </c>
      <c r="W32" s="19">
        <v>1.0</v>
      </c>
      <c r="X32" s="19">
        <v>1.0</v>
      </c>
      <c r="Y32" s="18"/>
      <c r="Z32" s="18"/>
      <c r="AA32" s="20">
        <f t="shared" si="9"/>
        <v>20</v>
      </c>
      <c r="AB32" s="21">
        <f t="shared" si="10"/>
        <v>0.8695652174</v>
      </c>
      <c r="AC32" s="2"/>
    </row>
    <row r="33">
      <c r="A33" s="17" t="s">
        <v>43</v>
      </c>
      <c r="B33" s="22">
        <f t="shared" ref="B33:Z33" si="11">SUM(B29:B32)</f>
        <v>4</v>
      </c>
      <c r="C33" s="22">
        <f t="shared" si="11"/>
        <v>4</v>
      </c>
      <c r="D33" s="22">
        <f t="shared" si="11"/>
        <v>4</v>
      </c>
      <c r="E33" s="22">
        <f t="shared" si="11"/>
        <v>4</v>
      </c>
      <c r="F33" s="22">
        <f t="shared" si="11"/>
        <v>2</v>
      </c>
      <c r="G33" s="22">
        <f t="shared" si="11"/>
        <v>4</v>
      </c>
      <c r="H33" s="22">
        <f t="shared" si="11"/>
        <v>4</v>
      </c>
      <c r="I33" s="22">
        <f t="shared" si="11"/>
        <v>3</v>
      </c>
      <c r="J33" s="22">
        <f t="shared" si="11"/>
        <v>3</v>
      </c>
      <c r="K33" s="22">
        <f t="shared" si="11"/>
        <v>4</v>
      </c>
      <c r="L33" s="22">
        <f t="shared" si="11"/>
        <v>4</v>
      </c>
      <c r="M33" s="22">
        <f t="shared" si="11"/>
        <v>4</v>
      </c>
      <c r="N33" s="22">
        <f t="shared" si="11"/>
        <v>4</v>
      </c>
      <c r="O33" s="22">
        <f t="shared" si="11"/>
        <v>4</v>
      </c>
      <c r="P33" s="22">
        <f t="shared" si="11"/>
        <v>4</v>
      </c>
      <c r="Q33" s="22">
        <f t="shared" si="11"/>
        <v>1</v>
      </c>
      <c r="R33" s="22">
        <f t="shared" si="11"/>
        <v>3</v>
      </c>
      <c r="S33" s="22">
        <f t="shared" si="11"/>
        <v>1</v>
      </c>
      <c r="T33" s="22">
        <f t="shared" si="11"/>
        <v>3</v>
      </c>
      <c r="U33" s="22">
        <f t="shared" si="11"/>
        <v>3</v>
      </c>
      <c r="V33" s="22">
        <f t="shared" si="11"/>
        <v>3</v>
      </c>
      <c r="W33" s="22">
        <f t="shared" si="11"/>
        <v>3</v>
      </c>
      <c r="X33" s="22">
        <f t="shared" si="11"/>
        <v>3</v>
      </c>
      <c r="Y33" s="22">
        <f t="shared" si="11"/>
        <v>0</v>
      </c>
      <c r="Z33" s="22">
        <f t="shared" si="11"/>
        <v>0</v>
      </c>
      <c r="AA33" s="20">
        <f t="shared" si="9"/>
        <v>76</v>
      </c>
      <c r="AB33" s="23"/>
      <c r="AC33" s="2"/>
    </row>
    <row r="34">
      <c r="A34" s="17" t="s">
        <v>38</v>
      </c>
      <c r="B34" s="24">
        <f t="shared" ref="B34:Z34" si="12">B33/(COUNT(B29:B32)*1)</f>
        <v>1</v>
      </c>
      <c r="C34" s="24">
        <f t="shared" si="12"/>
        <v>1</v>
      </c>
      <c r="D34" s="24">
        <f t="shared" si="12"/>
        <v>1</v>
      </c>
      <c r="E34" s="24">
        <f t="shared" si="12"/>
        <v>1</v>
      </c>
      <c r="F34" s="24">
        <f t="shared" si="12"/>
        <v>0.5</v>
      </c>
      <c r="G34" s="24">
        <f t="shared" si="12"/>
        <v>1</v>
      </c>
      <c r="H34" s="24">
        <f t="shared" si="12"/>
        <v>1</v>
      </c>
      <c r="I34" s="24">
        <f t="shared" si="12"/>
        <v>0.75</v>
      </c>
      <c r="J34" s="24">
        <f t="shared" si="12"/>
        <v>0.75</v>
      </c>
      <c r="K34" s="24">
        <f t="shared" si="12"/>
        <v>1</v>
      </c>
      <c r="L34" s="24">
        <f t="shared" si="12"/>
        <v>1</v>
      </c>
      <c r="M34" s="24">
        <f t="shared" si="12"/>
        <v>1</v>
      </c>
      <c r="N34" s="24">
        <f t="shared" si="12"/>
        <v>1</v>
      </c>
      <c r="O34" s="24">
        <f t="shared" si="12"/>
        <v>1</v>
      </c>
      <c r="P34" s="24">
        <f t="shared" si="12"/>
        <v>1</v>
      </c>
      <c r="Q34" s="24">
        <f t="shared" si="12"/>
        <v>0.25</v>
      </c>
      <c r="R34" s="24">
        <f t="shared" si="12"/>
        <v>0.75</v>
      </c>
      <c r="S34" s="24">
        <f t="shared" si="12"/>
        <v>0.25</v>
      </c>
      <c r="T34" s="24">
        <f t="shared" si="12"/>
        <v>0.75</v>
      </c>
      <c r="U34" s="24">
        <f t="shared" si="12"/>
        <v>0.75</v>
      </c>
      <c r="V34" s="24">
        <f t="shared" si="12"/>
        <v>0.75</v>
      </c>
      <c r="W34" s="24">
        <f t="shared" si="12"/>
        <v>0.75</v>
      </c>
      <c r="X34" s="24">
        <f t="shared" si="12"/>
        <v>0.75</v>
      </c>
      <c r="Y34" s="24" t="str">
        <f t="shared" si="12"/>
        <v>#DIV/0!</v>
      </c>
      <c r="Z34" s="24" t="str">
        <f t="shared" si="12"/>
        <v>#DIV/0!</v>
      </c>
      <c r="AA34" s="25"/>
      <c r="AB34" s="26">
        <f>SUM(AB29:AB32)/4</f>
        <v>0.8260869565</v>
      </c>
      <c r="AC34" s="2"/>
    </row>
    <row r="35">
      <c r="A35" s="27" t="s">
        <v>44</v>
      </c>
      <c r="B35" s="60"/>
      <c r="C35" s="61"/>
      <c r="D35" s="60"/>
      <c r="E35" s="60"/>
      <c r="F35" s="60"/>
      <c r="G35" s="60"/>
      <c r="H35" s="60"/>
      <c r="I35" s="68">
        <v>20.0</v>
      </c>
      <c r="J35" s="60"/>
      <c r="K35" s="60"/>
      <c r="L35" s="60"/>
      <c r="M35" s="60"/>
      <c r="N35" s="60"/>
      <c r="O35" s="60"/>
      <c r="P35" s="60"/>
      <c r="Q35" s="60"/>
      <c r="R35" s="68">
        <v>20.0</v>
      </c>
      <c r="S35" s="68">
        <v>20.0</v>
      </c>
      <c r="T35" s="68">
        <v>20.0</v>
      </c>
      <c r="U35" s="68">
        <v>20.0</v>
      </c>
      <c r="V35" s="68">
        <v>20.0</v>
      </c>
      <c r="W35" s="68">
        <v>10.0</v>
      </c>
      <c r="X35" s="68">
        <v>10.0</v>
      </c>
      <c r="Y35" s="60"/>
      <c r="Z35" s="60"/>
      <c r="AA35" s="30">
        <f t="shared" ref="AA35:AA37" si="13">SUM(B35:Z35)</f>
        <v>140</v>
      </c>
      <c r="AB35" s="31"/>
      <c r="AC35" s="2"/>
    </row>
    <row r="36">
      <c r="A36" s="32" t="s">
        <v>45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0"/>
      <c r="W36" s="60"/>
      <c r="X36" s="60"/>
      <c r="Y36" s="60"/>
      <c r="Z36" s="60"/>
      <c r="AA36" s="30">
        <f t="shared" si="13"/>
        <v>0</v>
      </c>
      <c r="AB36" s="31"/>
      <c r="AC36" s="9"/>
    </row>
    <row r="37">
      <c r="A37" s="34" t="s">
        <v>46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0"/>
      <c r="W37" s="60"/>
      <c r="X37" s="60"/>
      <c r="Y37" s="60"/>
      <c r="Z37" s="60"/>
      <c r="AA37" s="30">
        <f t="shared" si="13"/>
        <v>0</v>
      </c>
      <c r="AB37" s="31"/>
      <c r="AC37" s="9"/>
    </row>
    <row r="38">
      <c r="A38" s="35" t="s">
        <v>47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7"/>
      <c r="AA38" s="38"/>
      <c r="AB38" s="39"/>
      <c r="AC38" s="2"/>
    </row>
    <row r="39">
      <c r="A39" s="40" t="s">
        <v>48</v>
      </c>
      <c r="B39" s="63"/>
      <c r="C39" s="64"/>
      <c r="D39" s="63"/>
      <c r="E39" s="63"/>
      <c r="F39" s="63"/>
      <c r="G39" s="63"/>
      <c r="H39" s="63"/>
      <c r="I39" s="65">
        <v>1.0</v>
      </c>
      <c r="J39" s="63"/>
      <c r="K39" s="63"/>
      <c r="L39" s="65">
        <v>1.0</v>
      </c>
      <c r="M39" s="63"/>
      <c r="N39" s="63"/>
      <c r="O39" s="63"/>
      <c r="P39" s="63"/>
      <c r="Q39" s="63"/>
      <c r="R39" s="65">
        <v>1.0</v>
      </c>
      <c r="S39" s="63"/>
      <c r="T39" s="63"/>
      <c r="U39" s="63"/>
      <c r="V39" s="66"/>
      <c r="W39" s="66"/>
      <c r="X39" s="66"/>
      <c r="Y39" s="66"/>
      <c r="Z39" s="66"/>
      <c r="AA39" s="44">
        <f t="shared" ref="AA39:AA40" si="14">SUM(B39:Z39)</f>
        <v>3</v>
      </c>
      <c r="AB39" s="31"/>
      <c r="AC39" s="2"/>
    </row>
    <row r="40">
      <c r="A40" s="40" t="s">
        <v>49</v>
      </c>
      <c r="B40" s="63"/>
      <c r="C40" s="64"/>
      <c r="D40" s="63"/>
      <c r="E40" s="63"/>
      <c r="F40" s="63"/>
      <c r="G40" s="63"/>
      <c r="H40" s="63"/>
      <c r="I40" s="65">
        <v>20.0</v>
      </c>
      <c r="J40" s="63"/>
      <c r="K40" s="63"/>
      <c r="L40" s="65">
        <v>20.0</v>
      </c>
      <c r="M40" s="65">
        <v>20.0</v>
      </c>
      <c r="N40" s="63"/>
      <c r="O40" s="63"/>
      <c r="P40" s="63"/>
      <c r="Q40" s="63"/>
      <c r="R40" s="65">
        <v>20.0</v>
      </c>
      <c r="S40" s="65">
        <v>20.0</v>
      </c>
      <c r="T40" s="65">
        <v>20.0</v>
      </c>
      <c r="U40" s="65">
        <v>20.0</v>
      </c>
      <c r="V40" s="69">
        <v>20.0</v>
      </c>
      <c r="W40" s="69">
        <v>10.0</v>
      </c>
      <c r="X40" s="69">
        <v>10.0</v>
      </c>
      <c r="Y40" s="66"/>
      <c r="Z40" s="66"/>
      <c r="AA40" s="44">
        <f t="shared" si="14"/>
        <v>180</v>
      </c>
      <c r="AB40" s="31"/>
      <c r="AC40" s="2"/>
    </row>
    <row r="41">
      <c r="A41" s="40" t="s">
        <v>50</v>
      </c>
      <c r="B41" s="64"/>
      <c r="C41" s="64"/>
      <c r="D41" s="63"/>
      <c r="E41" s="63"/>
      <c r="F41" s="63"/>
      <c r="G41" s="63"/>
      <c r="H41" s="63"/>
      <c r="I41" s="65">
        <v>1.0</v>
      </c>
      <c r="J41" s="63"/>
      <c r="K41" s="63"/>
      <c r="L41" s="65">
        <v>1.0</v>
      </c>
      <c r="M41" s="63"/>
      <c r="N41" s="63"/>
      <c r="O41" s="63"/>
      <c r="P41" s="63"/>
      <c r="Q41" s="63"/>
      <c r="R41" s="65">
        <v>1.0</v>
      </c>
      <c r="S41" s="63"/>
      <c r="T41" s="63"/>
      <c r="U41" s="63"/>
      <c r="V41" s="66"/>
      <c r="W41" s="66"/>
      <c r="X41" s="66"/>
      <c r="Y41" s="66"/>
      <c r="Z41" s="66"/>
      <c r="AA41" s="44">
        <f>AVERAGE(B41:Z41)</f>
        <v>1</v>
      </c>
      <c r="AB41" s="31"/>
      <c r="AC41" s="2"/>
    </row>
    <row r="42">
      <c r="A42" s="45" t="s">
        <v>51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7"/>
      <c r="AA42" s="46"/>
      <c r="AB42" s="39"/>
      <c r="AC42" s="2"/>
    </row>
    <row r="43">
      <c r="A43" s="47" t="s">
        <v>48</v>
      </c>
      <c r="B43" s="48"/>
      <c r="C43" s="49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50"/>
      <c r="W43" s="50"/>
      <c r="X43" s="50"/>
      <c r="Y43" s="50"/>
      <c r="Z43" s="50"/>
      <c r="AA43" s="51">
        <f t="shared" ref="AA43:AA44" si="15">SUM(B43:Z43)</f>
        <v>0</v>
      </c>
      <c r="AB43" s="31"/>
      <c r="AC43" s="2"/>
    </row>
    <row r="44">
      <c r="A44" s="47" t="s">
        <v>49</v>
      </c>
      <c r="B44" s="48"/>
      <c r="C44" s="49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50"/>
      <c r="W44" s="50"/>
      <c r="X44" s="50"/>
      <c r="Y44" s="50"/>
      <c r="Z44" s="50"/>
      <c r="AA44" s="51">
        <f t="shared" si="15"/>
        <v>0</v>
      </c>
      <c r="AB44" s="31"/>
      <c r="AC44" s="2"/>
    </row>
    <row r="45">
      <c r="A45" s="47" t="s">
        <v>50</v>
      </c>
      <c r="B45" s="49"/>
      <c r="C45" s="49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50"/>
      <c r="W45" s="50"/>
      <c r="X45" s="50"/>
      <c r="Y45" s="50"/>
      <c r="Z45" s="50"/>
      <c r="AA45" s="51" t="str">
        <f>AVERAGE(B45:Z45)</f>
        <v>#DIV/0!</v>
      </c>
      <c r="AB45" s="31"/>
      <c r="AC45" s="2"/>
    </row>
    <row r="46">
      <c r="A46" s="52" t="s">
        <v>53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7"/>
      <c r="AA46" s="38"/>
      <c r="AB46" s="39"/>
      <c r="AC46" s="2"/>
    </row>
    <row r="47">
      <c r="A47" s="40" t="s">
        <v>48</v>
      </c>
      <c r="B47" s="41"/>
      <c r="C47" s="42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3"/>
      <c r="W47" s="43"/>
      <c r="X47" s="43"/>
      <c r="Y47" s="43"/>
      <c r="Z47" s="43"/>
      <c r="AA47" s="44">
        <f t="shared" ref="AA47:AA48" si="16">SUM(B47:Z47)</f>
        <v>0</v>
      </c>
      <c r="AB47" s="31"/>
      <c r="AC47" s="2"/>
    </row>
    <row r="48">
      <c r="A48" s="40" t="s">
        <v>49</v>
      </c>
      <c r="B48" s="41"/>
      <c r="C48" s="42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3"/>
      <c r="W48" s="43"/>
      <c r="X48" s="43"/>
      <c r="Y48" s="43"/>
      <c r="Z48" s="43"/>
      <c r="AA48" s="44">
        <f t="shared" si="16"/>
        <v>0</v>
      </c>
      <c r="AB48" s="31"/>
      <c r="AC48" s="2"/>
    </row>
    <row r="49">
      <c r="A49" s="53" t="s">
        <v>50</v>
      </c>
      <c r="B49" s="54"/>
      <c r="C49" s="54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6"/>
      <c r="W49" s="56"/>
      <c r="X49" s="56"/>
      <c r="Y49" s="56"/>
      <c r="Z49" s="56"/>
      <c r="AA49" s="57" t="str">
        <f>AVERAGE(B49:Z49)</f>
        <v>#DIV/0!</v>
      </c>
      <c r="AB49" s="58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59"/>
      <c r="AB50" s="59"/>
      <c r="AC50" s="2"/>
    </row>
    <row r="51">
      <c r="A51" s="13">
        <v>45994.0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5" t="s">
        <v>37</v>
      </c>
      <c r="AB51" s="16" t="s">
        <v>38</v>
      </c>
      <c r="AC51" s="2"/>
    </row>
    <row r="52">
      <c r="A52" s="17" t="s">
        <v>39</v>
      </c>
      <c r="B52" s="19">
        <v>1.0</v>
      </c>
      <c r="C52" s="19">
        <v>1.0</v>
      </c>
      <c r="D52" s="19">
        <v>1.0</v>
      </c>
      <c r="E52" s="19">
        <v>1.0</v>
      </c>
      <c r="F52" s="19">
        <v>0.0</v>
      </c>
      <c r="G52" s="19">
        <v>1.0</v>
      </c>
      <c r="H52" s="19">
        <v>1.0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1.0</v>
      </c>
      <c r="O52" s="19">
        <v>1.0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8"/>
      <c r="AA52" s="20">
        <f t="shared" ref="AA52:AA56" si="17">SUM(B52:Z52)</f>
        <v>8</v>
      </c>
      <c r="AB52" s="21">
        <f t="shared" ref="AB52:AB55" si="18">AA52/(COUNT(B52:Z52)*1)</f>
        <v>0.3333333333</v>
      </c>
      <c r="AC52" s="2"/>
    </row>
    <row r="53">
      <c r="A53" s="17" t="s">
        <v>40</v>
      </c>
      <c r="B53" s="19">
        <v>0.0</v>
      </c>
      <c r="C53" s="19">
        <v>0.0</v>
      </c>
      <c r="D53" s="19">
        <v>1.0</v>
      </c>
      <c r="E53" s="19">
        <v>1.0</v>
      </c>
      <c r="F53" s="19">
        <v>1.0</v>
      </c>
      <c r="G53" s="19">
        <v>1.0</v>
      </c>
      <c r="H53" s="19">
        <v>0.0</v>
      </c>
      <c r="I53" s="19">
        <v>0.0</v>
      </c>
      <c r="J53" s="19">
        <v>0.0</v>
      </c>
      <c r="K53" s="19">
        <v>1.0</v>
      </c>
      <c r="L53" s="19">
        <v>1.0</v>
      </c>
      <c r="M53" s="19">
        <v>1.0</v>
      </c>
      <c r="N53" s="19">
        <v>1.0</v>
      </c>
      <c r="O53" s="19">
        <v>1.0</v>
      </c>
      <c r="P53" s="19">
        <v>1.0</v>
      </c>
      <c r="Q53" s="19">
        <v>1.0</v>
      </c>
      <c r="R53" s="19">
        <v>1.0</v>
      </c>
      <c r="S53" s="19">
        <v>1.0</v>
      </c>
      <c r="T53" s="19">
        <v>1.0</v>
      </c>
      <c r="U53" s="19">
        <v>1.0</v>
      </c>
      <c r="V53" s="19">
        <v>1.0</v>
      </c>
      <c r="W53" s="19">
        <v>1.0</v>
      </c>
      <c r="X53" s="19">
        <v>1.0</v>
      </c>
      <c r="Y53" s="19">
        <v>1.0</v>
      </c>
      <c r="Z53" s="18"/>
      <c r="AA53" s="20">
        <f t="shared" si="17"/>
        <v>19</v>
      </c>
      <c r="AB53" s="21">
        <f t="shared" si="18"/>
        <v>0.7916666667</v>
      </c>
      <c r="AC53" s="2"/>
    </row>
    <row r="54">
      <c r="A54" s="17" t="s">
        <v>41</v>
      </c>
      <c r="B54" s="19">
        <v>1.0</v>
      </c>
      <c r="C54" s="19">
        <v>1.0</v>
      </c>
      <c r="D54" s="19">
        <v>1.0</v>
      </c>
      <c r="E54" s="19">
        <v>1.0</v>
      </c>
      <c r="F54" s="19">
        <v>0.0</v>
      </c>
      <c r="G54" s="19">
        <v>1.0</v>
      </c>
      <c r="H54" s="19">
        <v>0.0</v>
      </c>
      <c r="I54" s="19">
        <v>0.0</v>
      </c>
      <c r="J54" s="19">
        <v>1.0</v>
      </c>
      <c r="K54" s="19">
        <v>0.0</v>
      </c>
      <c r="L54" s="19">
        <v>0.0</v>
      </c>
      <c r="M54" s="19">
        <v>0.0</v>
      </c>
      <c r="N54" s="19">
        <v>1.0</v>
      </c>
      <c r="O54" s="19">
        <v>1.0</v>
      </c>
      <c r="P54" s="19">
        <v>0.0</v>
      </c>
      <c r="Q54" s="19">
        <v>0.0</v>
      </c>
      <c r="R54" s="19">
        <v>0.0</v>
      </c>
      <c r="S54" s="18"/>
      <c r="T54" s="19">
        <v>0.0</v>
      </c>
      <c r="U54" s="19">
        <v>0.0</v>
      </c>
      <c r="V54" s="19">
        <v>1.0</v>
      </c>
      <c r="W54" s="19">
        <v>1.0</v>
      </c>
      <c r="X54" s="19">
        <v>0.0</v>
      </c>
      <c r="Y54" s="19">
        <v>0.0</v>
      </c>
      <c r="Z54" s="18"/>
      <c r="AA54" s="20">
        <f t="shared" si="17"/>
        <v>10</v>
      </c>
      <c r="AB54" s="21">
        <f t="shared" si="18"/>
        <v>0.4347826087</v>
      </c>
      <c r="AC54" s="2"/>
    </row>
    <row r="55">
      <c r="A55" s="17" t="s">
        <v>42</v>
      </c>
      <c r="B55" s="19">
        <v>1.0</v>
      </c>
      <c r="C55" s="19">
        <v>1.0</v>
      </c>
      <c r="D55" s="19">
        <v>1.0</v>
      </c>
      <c r="E55" s="19">
        <v>1.0</v>
      </c>
      <c r="F55" s="19">
        <v>1.0</v>
      </c>
      <c r="G55" s="19">
        <v>1.0</v>
      </c>
      <c r="H55" s="19">
        <v>1.0</v>
      </c>
      <c r="I55" s="19">
        <v>1.0</v>
      </c>
      <c r="J55" s="19">
        <v>1.0</v>
      </c>
      <c r="K55" s="19">
        <v>1.0</v>
      </c>
      <c r="L55" s="19">
        <v>1.0</v>
      </c>
      <c r="M55" s="19">
        <v>1.0</v>
      </c>
      <c r="N55" s="19">
        <v>1.0</v>
      </c>
      <c r="O55" s="19">
        <v>1.0</v>
      </c>
      <c r="P55" s="19">
        <v>1.0</v>
      </c>
      <c r="Q55" s="19">
        <v>1.0</v>
      </c>
      <c r="R55" s="19">
        <v>1.0</v>
      </c>
      <c r="S55" s="19">
        <v>1.0</v>
      </c>
      <c r="T55" s="19">
        <v>1.0</v>
      </c>
      <c r="U55" s="19">
        <v>1.0</v>
      </c>
      <c r="V55" s="19">
        <v>1.0</v>
      </c>
      <c r="W55" s="19">
        <v>1.0</v>
      </c>
      <c r="X55" s="19">
        <v>1.0</v>
      </c>
      <c r="Y55" s="19">
        <v>1.0</v>
      </c>
      <c r="Z55" s="18"/>
      <c r="AA55" s="20">
        <f t="shared" si="17"/>
        <v>24</v>
      </c>
      <c r="AB55" s="21">
        <f t="shared" si="18"/>
        <v>1</v>
      </c>
      <c r="AC55" s="2"/>
    </row>
    <row r="56">
      <c r="A56" s="17" t="s">
        <v>43</v>
      </c>
      <c r="B56" s="22">
        <f t="shared" ref="B56:Z56" si="19">SUM(B52:B55)</f>
        <v>3</v>
      </c>
      <c r="C56" s="22">
        <f t="shared" si="19"/>
        <v>3</v>
      </c>
      <c r="D56" s="22">
        <f t="shared" si="19"/>
        <v>4</v>
      </c>
      <c r="E56" s="22">
        <f t="shared" si="19"/>
        <v>4</v>
      </c>
      <c r="F56" s="22">
        <f t="shared" si="19"/>
        <v>2</v>
      </c>
      <c r="G56" s="22">
        <f t="shared" si="19"/>
        <v>4</v>
      </c>
      <c r="H56" s="22">
        <f t="shared" si="19"/>
        <v>2</v>
      </c>
      <c r="I56" s="22">
        <f t="shared" si="19"/>
        <v>1</v>
      </c>
      <c r="J56" s="22">
        <f t="shared" si="19"/>
        <v>2</v>
      </c>
      <c r="K56" s="22">
        <f t="shared" si="19"/>
        <v>2</v>
      </c>
      <c r="L56" s="22">
        <f t="shared" si="19"/>
        <v>2</v>
      </c>
      <c r="M56" s="22">
        <f t="shared" si="19"/>
        <v>2</v>
      </c>
      <c r="N56" s="22">
        <f t="shared" si="19"/>
        <v>4</v>
      </c>
      <c r="O56" s="22">
        <f t="shared" si="19"/>
        <v>4</v>
      </c>
      <c r="P56" s="22">
        <f t="shared" si="19"/>
        <v>2</v>
      </c>
      <c r="Q56" s="22">
        <f t="shared" si="19"/>
        <v>2</v>
      </c>
      <c r="R56" s="22">
        <f t="shared" si="19"/>
        <v>2</v>
      </c>
      <c r="S56" s="22">
        <f t="shared" si="19"/>
        <v>2</v>
      </c>
      <c r="T56" s="22">
        <f t="shared" si="19"/>
        <v>2</v>
      </c>
      <c r="U56" s="22">
        <f t="shared" si="19"/>
        <v>2</v>
      </c>
      <c r="V56" s="22">
        <f t="shared" si="19"/>
        <v>3</v>
      </c>
      <c r="W56" s="22">
        <f t="shared" si="19"/>
        <v>3</v>
      </c>
      <c r="X56" s="22">
        <f t="shared" si="19"/>
        <v>2</v>
      </c>
      <c r="Y56" s="22">
        <f t="shared" si="19"/>
        <v>2</v>
      </c>
      <c r="Z56" s="22">
        <f t="shared" si="19"/>
        <v>0</v>
      </c>
      <c r="AA56" s="20">
        <f t="shared" si="17"/>
        <v>61</v>
      </c>
      <c r="AB56" s="23"/>
      <c r="AC56" s="2"/>
    </row>
    <row r="57">
      <c r="A57" s="17" t="s">
        <v>38</v>
      </c>
      <c r="B57" s="24">
        <f t="shared" ref="B57:Z57" si="20">B56/(COUNT(B52:B55)*1)</f>
        <v>0.75</v>
      </c>
      <c r="C57" s="24">
        <f t="shared" si="20"/>
        <v>0.75</v>
      </c>
      <c r="D57" s="24">
        <f t="shared" si="20"/>
        <v>1</v>
      </c>
      <c r="E57" s="24">
        <f t="shared" si="20"/>
        <v>1</v>
      </c>
      <c r="F57" s="24">
        <f t="shared" si="20"/>
        <v>0.5</v>
      </c>
      <c r="G57" s="24">
        <f t="shared" si="20"/>
        <v>1</v>
      </c>
      <c r="H57" s="24">
        <f t="shared" si="20"/>
        <v>0.5</v>
      </c>
      <c r="I57" s="24">
        <f t="shared" si="20"/>
        <v>0.25</v>
      </c>
      <c r="J57" s="24">
        <f t="shared" si="20"/>
        <v>0.5</v>
      </c>
      <c r="K57" s="24">
        <f t="shared" si="20"/>
        <v>0.5</v>
      </c>
      <c r="L57" s="24">
        <f t="shared" si="20"/>
        <v>0.5</v>
      </c>
      <c r="M57" s="24">
        <f t="shared" si="20"/>
        <v>0.5</v>
      </c>
      <c r="N57" s="24">
        <f t="shared" si="20"/>
        <v>1</v>
      </c>
      <c r="O57" s="24">
        <f t="shared" si="20"/>
        <v>1</v>
      </c>
      <c r="P57" s="24">
        <f t="shared" si="20"/>
        <v>0.5</v>
      </c>
      <c r="Q57" s="24">
        <f t="shared" si="20"/>
        <v>0.5</v>
      </c>
      <c r="R57" s="24">
        <f t="shared" si="20"/>
        <v>0.5</v>
      </c>
      <c r="S57" s="24">
        <f t="shared" si="20"/>
        <v>0.6666666667</v>
      </c>
      <c r="T57" s="24">
        <f t="shared" si="20"/>
        <v>0.5</v>
      </c>
      <c r="U57" s="24">
        <f t="shared" si="20"/>
        <v>0.5</v>
      </c>
      <c r="V57" s="24">
        <f t="shared" si="20"/>
        <v>0.75</v>
      </c>
      <c r="W57" s="24">
        <f t="shared" si="20"/>
        <v>0.75</v>
      </c>
      <c r="X57" s="24">
        <f t="shared" si="20"/>
        <v>0.5</v>
      </c>
      <c r="Y57" s="24">
        <f t="shared" si="20"/>
        <v>0.5</v>
      </c>
      <c r="Z57" s="24" t="str">
        <f t="shared" si="20"/>
        <v>#DIV/0!</v>
      </c>
      <c r="AA57" s="25"/>
      <c r="AB57" s="26">
        <f>SUM(AB52:AB55)/4</f>
        <v>0.6399456522</v>
      </c>
      <c r="AC57" s="2"/>
    </row>
    <row r="58">
      <c r="A58" s="27" t="s">
        <v>44</v>
      </c>
      <c r="B58" s="60"/>
      <c r="C58" s="61"/>
      <c r="D58" s="60"/>
      <c r="E58" s="68">
        <v>10.0</v>
      </c>
      <c r="F58" s="60"/>
      <c r="G58" s="60"/>
      <c r="H58" s="60"/>
      <c r="I58" s="60"/>
      <c r="J58" s="68">
        <v>20.0</v>
      </c>
      <c r="K58" s="68">
        <v>20.0</v>
      </c>
      <c r="L58" s="68">
        <v>15.0</v>
      </c>
      <c r="M58" s="68">
        <v>15.0</v>
      </c>
      <c r="N58" s="60"/>
      <c r="O58" s="60"/>
      <c r="P58" s="68">
        <v>20.0</v>
      </c>
      <c r="Q58" s="68">
        <v>20.0</v>
      </c>
      <c r="R58" s="68">
        <v>20.0</v>
      </c>
      <c r="S58" s="68">
        <v>20.0</v>
      </c>
      <c r="T58" s="68">
        <v>20.0</v>
      </c>
      <c r="U58" s="68">
        <v>20.0</v>
      </c>
      <c r="V58" s="68">
        <v>20.0</v>
      </c>
      <c r="W58" s="68">
        <v>10.0</v>
      </c>
      <c r="X58" s="68">
        <v>10.0</v>
      </c>
      <c r="Y58" s="68">
        <v>5.0</v>
      </c>
      <c r="Z58" s="60"/>
      <c r="AA58" s="30">
        <f t="shared" ref="AA58:AA60" si="21">SUM(B58:Z58)</f>
        <v>245</v>
      </c>
      <c r="AB58" s="31"/>
      <c r="AC58" s="2"/>
    </row>
    <row r="59">
      <c r="A59" s="32" t="s">
        <v>45</v>
      </c>
      <c r="B59" s="62"/>
      <c r="C59" s="62"/>
      <c r="D59" s="62"/>
      <c r="E59" s="62"/>
      <c r="F59" s="62"/>
      <c r="G59" s="128">
        <v>3.0</v>
      </c>
      <c r="H59" s="128">
        <v>3.0</v>
      </c>
      <c r="I59" s="128">
        <v>3.0</v>
      </c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0"/>
      <c r="W59" s="60"/>
      <c r="X59" s="60"/>
      <c r="Y59" s="60"/>
      <c r="Z59" s="60"/>
      <c r="AA59" s="30">
        <f t="shared" si="21"/>
        <v>9</v>
      </c>
      <c r="AB59" s="31"/>
      <c r="AC59" s="9"/>
    </row>
    <row r="60">
      <c r="A60" s="34" t="s">
        <v>46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0"/>
      <c r="W60" s="60"/>
      <c r="X60" s="60"/>
      <c r="Y60" s="60"/>
      <c r="Z60" s="60"/>
      <c r="AA60" s="30">
        <f t="shared" si="21"/>
        <v>0</v>
      </c>
      <c r="AB60" s="31"/>
      <c r="AC60" s="9"/>
    </row>
    <row r="61">
      <c r="A61" s="35" t="s">
        <v>47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7"/>
      <c r="AA61" s="38"/>
      <c r="AB61" s="39"/>
      <c r="AC61" s="2"/>
    </row>
    <row r="62">
      <c r="A62" s="40" t="s">
        <v>48</v>
      </c>
      <c r="B62" s="63"/>
      <c r="C62" s="64"/>
      <c r="D62" s="63"/>
      <c r="E62" s="65">
        <v>1.0</v>
      </c>
      <c r="F62" s="63"/>
      <c r="G62" s="65">
        <v>1.0</v>
      </c>
      <c r="H62" s="63"/>
      <c r="I62" s="63"/>
      <c r="J62" s="63"/>
      <c r="K62" s="63"/>
      <c r="L62" s="63"/>
      <c r="M62" s="63"/>
      <c r="N62" s="63"/>
      <c r="O62" s="63"/>
      <c r="P62" s="65">
        <v>1.0</v>
      </c>
      <c r="Q62" s="63"/>
      <c r="R62" s="63"/>
      <c r="S62" s="63"/>
      <c r="T62" s="63"/>
      <c r="U62" s="63"/>
      <c r="V62" s="66"/>
      <c r="W62" s="66"/>
      <c r="X62" s="66"/>
      <c r="Y62" s="66"/>
      <c r="Z62" s="66"/>
      <c r="AA62" s="44">
        <f t="shared" ref="AA62:AA63" si="22">SUM(B62:Z62)</f>
        <v>3</v>
      </c>
      <c r="AB62" s="31"/>
      <c r="AC62" s="2"/>
    </row>
    <row r="63">
      <c r="A63" s="40" t="s">
        <v>49</v>
      </c>
      <c r="B63" s="63"/>
      <c r="C63" s="64"/>
      <c r="D63" s="63"/>
      <c r="E63" s="65">
        <v>10.0</v>
      </c>
      <c r="F63" s="63"/>
      <c r="G63" s="65">
        <v>20.0</v>
      </c>
      <c r="H63" s="65">
        <v>20.0</v>
      </c>
      <c r="I63" s="65">
        <v>20.0</v>
      </c>
      <c r="J63" s="65">
        <v>20.0</v>
      </c>
      <c r="K63" s="65">
        <v>20.0</v>
      </c>
      <c r="L63" s="65">
        <v>15.0</v>
      </c>
      <c r="M63" s="65">
        <v>15.0</v>
      </c>
      <c r="N63" s="63"/>
      <c r="O63" s="63"/>
      <c r="P63" s="65">
        <v>20.0</v>
      </c>
      <c r="Q63" s="65">
        <v>20.0</v>
      </c>
      <c r="R63" s="65">
        <v>20.0</v>
      </c>
      <c r="S63" s="65">
        <v>20.0</v>
      </c>
      <c r="T63" s="65">
        <v>20.0</v>
      </c>
      <c r="U63" s="65">
        <v>20.0</v>
      </c>
      <c r="V63" s="69">
        <v>20.0</v>
      </c>
      <c r="W63" s="69">
        <v>10.0</v>
      </c>
      <c r="X63" s="69">
        <v>10.0</v>
      </c>
      <c r="Y63" s="69">
        <v>5.0</v>
      </c>
      <c r="Z63" s="66"/>
      <c r="AA63" s="44">
        <f t="shared" si="22"/>
        <v>305</v>
      </c>
      <c r="AB63" s="31"/>
      <c r="AC63" s="2"/>
    </row>
    <row r="64">
      <c r="A64" s="40" t="s">
        <v>50</v>
      </c>
      <c r="B64" s="64"/>
      <c r="C64" s="64"/>
      <c r="D64" s="63"/>
      <c r="E64" s="65">
        <v>1.0</v>
      </c>
      <c r="F64" s="63"/>
      <c r="G64" s="65">
        <v>1.0</v>
      </c>
      <c r="H64" s="63"/>
      <c r="I64" s="63"/>
      <c r="J64" s="63"/>
      <c r="K64" s="63"/>
      <c r="L64" s="63"/>
      <c r="M64" s="63"/>
      <c r="N64" s="63"/>
      <c r="O64" s="63"/>
      <c r="P64" s="65">
        <v>1.0</v>
      </c>
      <c r="Q64" s="63"/>
      <c r="R64" s="63"/>
      <c r="S64" s="63"/>
      <c r="T64" s="63"/>
      <c r="U64" s="63"/>
      <c r="V64" s="66"/>
      <c r="W64" s="66"/>
      <c r="X64" s="66"/>
      <c r="Y64" s="66"/>
      <c r="Z64" s="66"/>
      <c r="AA64" s="44">
        <f>AVERAGE(B64:Z64)</f>
        <v>1</v>
      </c>
      <c r="AB64" s="31"/>
      <c r="AC64" s="2"/>
    </row>
    <row r="65">
      <c r="A65" s="45" t="s">
        <v>51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7"/>
      <c r="AA65" s="46"/>
      <c r="AB65" s="39"/>
      <c r="AC65" s="2"/>
    </row>
    <row r="66">
      <c r="A66" s="47" t="s">
        <v>48</v>
      </c>
      <c r="B66" s="48"/>
      <c r="C66" s="49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50"/>
      <c r="W66" s="50"/>
      <c r="X66" s="50"/>
      <c r="Y66" s="50"/>
      <c r="Z66" s="50"/>
      <c r="AA66" s="51">
        <f t="shared" ref="AA66:AA67" si="23">SUM(B66:Z66)</f>
        <v>0</v>
      </c>
      <c r="AB66" s="31"/>
      <c r="AC66" s="2"/>
    </row>
    <row r="67">
      <c r="A67" s="47" t="s">
        <v>49</v>
      </c>
      <c r="B67" s="48"/>
      <c r="C67" s="49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50"/>
      <c r="W67" s="50"/>
      <c r="X67" s="50"/>
      <c r="Y67" s="50"/>
      <c r="Z67" s="50"/>
      <c r="AA67" s="51">
        <f t="shared" si="23"/>
        <v>0</v>
      </c>
      <c r="AB67" s="31"/>
      <c r="AC67" s="2"/>
    </row>
    <row r="68">
      <c r="A68" s="47" t="s">
        <v>50</v>
      </c>
      <c r="B68" s="49"/>
      <c r="C68" s="49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50"/>
      <c r="W68" s="50"/>
      <c r="X68" s="50"/>
      <c r="Y68" s="50"/>
      <c r="Z68" s="50"/>
      <c r="AA68" s="51" t="str">
        <f>AVERAGE(B68:Z68)</f>
        <v>#DIV/0!</v>
      </c>
      <c r="AB68" s="31"/>
      <c r="AC68" s="2"/>
    </row>
    <row r="69">
      <c r="A69" s="52" t="s">
        <v>53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7"/>
      <c r="AA69" s="38"/>
      <c r="AB69" s="39"/>
      <c r="AC69" s="2"/>
    </row>
    <row r="70">
      <c r="A70" s="40" t="s">
        <v>48</v>
      </c>
      <c r="B70" s="41"/>
      <c r="C70" s="42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3"/>
      <c r="W70" s="43"/>
      <c r="X70" s="43"/>
      <c r="Y70" s="43"/>
      <c r="Z70" s="43"/>
      <c r="AA70" s="44">
        <f t="shared" ref="AA70:AA71" si="24">SUM(B70:Z70)</f>
        <v>0</v>
      </c>
      <c r="AB70" s="31"/>
      <c r="AC70" s="2"/>
    </row>
    <row r="71">
      <c r="A71" s="40" t="s">
        <v>49</v>
      </c>
      <c r="B71" s="41"/>
      <c r="C71" s="42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3"/>
      <c r="W71" s="43"/>
      <c r="X71" s="43"/>
      <c r="Y71" s="43"/>
      <c r="Z71" s="43"/>
      <c r="AA71" s="44">
        <f t="shared" si="24"/>
        <v>0</v>
      </c>
      <c r="AB71" s="31"/>
      <c r="AC71" s="2"/>
    </row>
    <row r="72">
      <c r="A72" s="53" t="s">
        <v>50</v>
      </c>
      <c r="B72" s="54"/>
      <c r="C72" s="54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6"/>
      <c r="W72" s="56"/>
      <c r="X72" s="56"/>
      <c r="Y72" s="56"/>
      <c r="Z72" s="56"/>
      <c r="AA72" s="57" t="str">
        <f>AVERAGE(B72:Z72)</f>
        <v>#DIV/0!</v>
      </c>
      <c r="AB72" s="58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59"/>
      <c r="AB73" s="59"/>
      <c r="AC73" s="2"/>
    </row>
    <row r="74">
      <c r="A74" s="13">
        <v>45995.0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5" t="s">
        <v>37</v>
      </c>
      <c r="AB74" s="16" t="s">
        <v>38</v>
      </c>
      <c r="AC74" s="2"/>
    </row>
    <row r="75">
      <c r="A75" s="17" t="s">
        <v>39</v>
      </c>
      <c r="B75" s="19">
        <v>1.0</v>
      </c>
      <c r="C75" s="19">
        <v>1.0</v>
      </c>
      <c r="D75" s="19">
        <v>1.0</v>
      </c>
      <c r="E75" s="19">
        <v>1.0</v>
      </c>
      <c r="F75" s="19">
        <v>1.0</v>
      </c>
      <c r="G75" s="19">
        <v>1.0</v>
      </c>
      <c r="H75" s="19">
        <v>1.0</v>
      </c>
      <c r="I75" s="19">
        <v>1.0</v>
      </c>
      <c r="J75" s="19">
        <v>1.0</v>
      </c>
      <c r="K75" s="19">
        <v>1.0</v>
      </c>
      <c r="L75" s="19">
        <v>1.0</v>
      </c>
      <c r="M75" s="19">
        <v>1.0</v>
      </c>
      <c r="N75" s="19">
        <v>1.0</v>
      </c>
      <c r="O75" s="19">
        <v>1.0</v>
      </c>
      <c r="P75" s="19">
        <v>1.0</v>
      </c>
      <c r="Q75" s="19">
        <v>1.0</v>
      </c>
      <c r="R75" s="19">
        <v>1.0</v>
      </c>
      <c r="S75" s="19">
        <v>1.0</v>
      </c>
      <c r="T75" s="19">
        <v>0.0</v>
      </c>
      <c r="U75" s="19">
        <v>0.0</v>
      </c>
      <c r="V75" s="19">
        <v>0.0</v>
      </c>
      <c r="W75" s="19">
        <v>0.0</v>
      </c>
      <c r="X75" s="19">
        <v>0.0</v>
      </c>
      <c r="Y75" s="19">
        <v>0.0</v>
      </c>
      <c r="Z75" s="18"/>
      <c r="AA75" s="20">
        <f t="shared" ref="AA75:AA79" si="25">SUM(B75:Z75)</f>
        <v>18</v>
      </c>
      <c r="AB75" s="21">
        <f t="shared" ref="AB75:AB78" si="26">AA75/(COUNT(B75:Z75)*1)</f>
        <v>0.75</v>
      </c>
      <c r="AC75" s="2"/>
    </row>
    <row r="76">
      <c r="A76" s="17" t="s">
        <v>40</v>
      </c>
      <c r="B76" s="19">
        <v>1.0</v>
      </c>
      <c r="C76" s="19">
        <v>1.0</v>
      </c>
      <c r="D76" s="19">
        <v>1.0</v>
      </c>
      <c r="E76" s="19">
        <v>1.0</v>
      </c>
      <c r="F76" s="19">
        <v>1.0</v>
      </c>
      <c r="G76" s="19">
        <v>1.0</v>
      </c>
      <c r="H76" s="19">
        <v>1.0</v>
      </c>
      <c r="I76" s="19">
        <v>1.0</v>
      </c>
      <c r="J76" s="19">
        <v>1.0</v>
      </c>
      <c r="K76" s="19">
        <v>1.0</v>
      </c>
      <c r="L76" s="19">
        <v>1.0</v>
      </c>
      <c r="M76" s="19">
        <v>1.0</v>
      </c>
      <c r="N76" s="19">
        <v>1.0</v>
      </c>
      <c r="O76" s="19">
        <v>1.0</v>
      </c>
      <c r="P76" s="19">
        <v>1.0</v>
      </c>
      <c r="Q76" s="19">
        <v>1.0</v>
      </c>
      <c r="R76" s="19">
        <v>0.0</v>
      </c>
      <c r="S76" s="19">
        <v>1.0</v>
      </c>
      <c r="T76" s="19">
        <v>1.0</v>
      </c>
      <c r="U76" s="19">
        <v>1.0</v>
      </c>
      <c r="V76" s="19">
        <v>1.0</v>
      </c>
      <c r="W76" s="19">
        <v>1.0</v>
      </c>
      <c r="X76" s="19">
        <v>1.0</v>
      </c>
      <c r="Y76" s="19">
        <v>1.0</v>
      </c>
      <c r="Z76" s="18"/>
      <c r="AA76" s="20">
        <f t="shared" si="25"/>
        <v>23</v>
      </c>
      <c r="AB76" s="21">
        <f t="shared" si="26"/>
        <v>0.9583333333</v>
      </c>
      <c r="AC76" s="2"/>
    </row>
    <row r="77">
      <c r="A77" s="17" t="s">
        <v>41</v>
      </c>
      <c r="B77" s="19">
        <v>1.0</v>
      </c>
      <c r="C77" s="19">
        <v>1.0</v>
      </c>
      <c r="D77" s="19">
        <v>1.0</v>
      </c>
      <c r="E77" s="19">
        <v>1.0</v>
      </c>
      <c r="F77" s="19">
        <v>1.0</v>
      </c>
      <c r="G77" s="19">
        <v>1.0</v>
      </c>
      <c r="H77" s="19">
        <v>1.0</v>
      </c>
      <c r="I77" s="19">
        <v>0.0</v>
      </c>
      <c r="J77" s="19">
        <v>1.0</v>
      </c>
      <c r="K77" s="19">
        <v>1.0</v>
      </c>
      <c r="L77" s="19">
        <v>1.0</v>
      </c>
      <c r="M77" s="19">
        <v>1.0</v>
      </c>
      <c r="N77" s="19">
        <v>1.0</v>
      </c>
      <c r="O77" s="19">
        <v>1.0</v>
      </c>
      <c r="P77" s="19">
        <v>1.0</v>
      </c>
      <c r="Q77" s="19">
        <v>1.0</v>
      </c>
      <c r="R77" s="19">
        <v>1.0</v>
      </c>
      <c r="S77" s="19">
        <v>1.0</v>
      </c>
      <c r="T77" s="19">
        <v>1.0</v>
      </c>
      <c r="U77" s="19">
        <v>0.0</v>
      </c>
      <c r="V77" s="19">
        <v>0.0</v>
      </c>
      <c r="W77" s="19">
        <v>0.0</v>
      </c>
      <c r="X77" s="19">
        <v>0.0</v>
      </c>
      <c r="Y77" s="19">
        <v>0.0</v>
      </c>
      <c r="Z77" s="18"/>
      <c r="AA77" s="20">
        <f t="shared" si="25"/>
        <v>18</v>
      </c>
      <c r="AB77" s="21">
        <f t="shared" si="26"/>
        <v>0.75</v>
      </c>
      <c r="AC77" s="2"/>
    </row>
    <row r="78">
      <c r="A78" s="17" t="s">
        <v>42</v>
      </c>
      <c r="B78" s="19">
        <v>1.0</v>
      </c>
      <c r="C78" s="19">
        <v>1.0</v>
      </c>
      <c r="D78" s="19">
        <v>1.0</v>
      </c>
      <c r="E78" s="19">
        <v>1.0</v>
      </c>
      <c r="F78" s="19">
        <v>1.0</v>
      </c>
      <c r="G78" s="19">
        <v>1.0</v>
      </c>
      <c r="H78" s="19">
        <v>1.0</v>
      </c>
      <c r="I78" s="19">
        <v>1.0</v>
      </c>
      <c r="J78" s="19">
        <v>1.0</v>
      </c>
      <c r="K78" s="19">
        <v>1.0</v>
      </c>
      <c r="L78" s="19">
        <v>1.0</v>
      </c>
      <c r="M78" s="19">
        <v>1.0</v>
      </c>
      <c r="N78" s="19">
        <v>1.0</v>
      </c>
      <c r="O78" s="19">
        <v>1.0</v>
      </c>
      <c r="P78" s="19">
        <v>1.0</v>
      </c>
      <c r="Q78" s="19">
        <v>1.0</v>
      </c>
      <c r="R78" s="19">
        <v>1.0</v>
      </c>
      <c r="S78" s="19">
        <v>1.0</v>
      </c>
      <c r="T78" s="19">
        <v>0.0</v>
      </c>
      <c r="U78" s="19">
        <v>1.0</v>
      </c>
      <c r="V78" s="19">
        <v>1.0</v>
      </c>
      <c r="W78" s="19">
        <v>1.0</v>
      </c>
      <c r="X78" s="19">
        <v>1.0</v>
      </c>
      <c r="Y78" s="19">
        <v>1.0</v>
      </c>
      <c r="Z78" s="18"/>
      <c r="AA78" s="20">
        <f t="shared" si="25"/>
        <v>23</v>
      </c>
      <c r="AB78" s="21">
        <f t="shared" si="26"/>
        <v>0.9583333333</v>
      </c>
      <c r="AC78" s="2"/>
    </row>
    <row r="79">
      <c r="A79" s="17" t="s">
        <v>43</v>
      </c>
      <c r="B79" s="22">
        <f t="shared" ref="B79:Z79" si="27">SUM(B75:B78)</f>
        <v>4</v>
      </c>
      <c r="C79" s="22">
        <f t="shared" si="27"/>
        <v>4</v>
      </c>
      <c r="D79" s="22">
        <f t="shared" si="27"/>
        <v>4</v>
      </c>
      <c r="E79" s="22">
        <f t="shared" si="27"/>
        <v>4</v>
      </c>
      <c r="F79" s="22">
        <f t="shared" si="27"/>
        <v>4</v>
      </c>
      <c r="G79" s="22">
        <f t="shared" si="27"/>
        <v>4</v>
      </c>
      <c r="H79" s="22">
        <f t="shared" si="27"/>
        <v>4</v>
      </c>
      <c r="I79" s="22">
        <f t="shared" si="27"/>
        <v>3</v>
      </c>
      <c r="J79" s="22">
        <f t="shared" si="27"/>
        <v>4</v>
      </c>
      <c r="K79" s="22">
        <f t="shared" si="27"/>
        <v>4</v>
      </c>
      <c r="L79" s="22">
        <f t="shared" si="27"/>
        <v>4</v>
      </c>
      <c r="M79" s="22">
        <f t="shared" si="27"/>
        <v>4</v>
      </c>
      <c r="N79" s="22">
        <f t="shared" si="27"/>
        <v>4</v>
      </c>
      <c r="O79" s="22">
        <f t="shared" si="27"/>
        <v>4</v>
      </c>
      <c r="P79" s="22">
        <f t="shared" si="27"/>
        <v>4</v>
      </c>
      <c r="Q79" s="22">
        <f t="shared" si="27"/>
        <v>4</v>
      </c>
      <c r="R79" s="22">
        <f t="shared" si="27"/>
        <v>3</v>
      </c>
      <c r="S79" s="22">
        <f t="shared" si="27"/>
        <v>4</v>
      </c>
      <c r="T79" s="22">
        <f t="shared" si="27"/>
        <v>2</v>
      </c>
      <c r="U79" s="22">
        <f t="shared" si="27"/>
        <v>2</v>
      </c>
      <c r="V79" s="22">
        <f t="shared" si="27"/>
        <v>2</v>
      </c>
      <c r="W79" s="22">
        <f t="shared" si="27"/>
        <v>2</v>
      </c>
      <c r="X79" s="22">
        <f t="shared" si="27"/>
        <v>2</v>
      </c>
      <c r="Y79" s="22">
        <f t="shared" si="27"/>
        <v>2</v>
      </c>
      <c r="Z79" s="22">
        <f t="shared" si="27"/>
        <v>0</v>
      </c>
      <c r="AA79" s="20">
        <f t="shared" si="25"/>
        <v>82</v>
      </c>
      <c r="AB79" s="23"/>
      <c r="AC79" s="2"/>
    </row>
    <row r="80">
      <c r="A80" s="17" t="s">
        <v>38</v>
      </c>
      <c r="B80" s="24">
        <f t="shared" ref="B80:Z80" si="28">B79/(COUNT(B75:B78)*1)</f>
        <v>1</v>
      </c>
      <c r="C80" s="24">
        <f t="shared" si="28"/>
        <v>1</v>
      </c>
      <c r="D80" s="24">
        <f t="shared" si="28"/>
        <v>1</v>
      </c>
      <c r="E80" s="24">
        <f t="shared" si="28"/>
        <v>1</v>
      </c>
      <c r="F80" s="24">
        <f t="shared" si="28"/>
        <v>1</v>
      </c>
      <c r="G80" s="24">
        <f t="shared" si="28"/>
        <v>1</v>
      </c>
      <c r="H80" s="24">
        <f t="shared" si="28"/>
        <v>1</v>
      </c>
      <c r="I80" s="24">
        <f t="shared" si="28"/>
        <v>0.75</v>
      </c>
      <c r="J80" s="24">
        <f t="shared" si="28"/>
        <v>1</v>
      </c>
      <c r="K80" s="24">
        <f t="shared" si="28"/>
        <v>1</v>
      </c>
      <c r="L80" s="24">
        <f t="shared" si="28"/>
        <v>1</v>
      </c>
      <c r="M80" s="24">
        <f t="shared" si="28"/>
        <v>1</v>
      </c>
      <c r="N80" s="24">
        <f t="shared" si="28"/>
        <v>1</v>
      </c>
      <c r="O80" s="24">
        <f t="shared" si="28"/>
        <v>1</v>
      </c>
      <c r="P80" s="24">
        <f t="shared" si="28"/>
        <v>1</v>
      </c>
      <c r="Q80" s="24">
        <f t="shared" si="28"/>
        <v>1</v>
      </c>
      <c r="R80" s="24">
        <f t="shared" si="28"/>
        <v>0.75</v>
      </c>
      <c r="S80" s="24">
        <f t="shared" si="28"/>
        <v>1</v>
      </c>
      <c r="T80" s="24">
        <f t="shared" si="28"/>
        <v>0.5</v>
      </c>
      <c r="U80" s="24">
        <f t="shared" si="28"/>
        <v>0.5</v>
      </c>
      <c r="V80" s="24">
        <f t="shared" si="28"/>
        <v>0.5</v>
      </c>
      <c r="W80" s="24">
        <f t="shared" si="28"/>
        <v>0.5</v>
      </c>
      <c r="X80" s="24">
        <f t="shared" si="28"/>
        <v>0.5</v>
      </c>
      <c r="Y80" s="24">
        <f t="shared" si="28"/>
        <v>0.5</v>
      </c>
      <c r="Z80" s="24" t="str">
        <f t="shared" si="28"/>
        <v>#DIV/0!</v>
      </c>
      <c r="AA80" s="25"/>
      <c r="AB80" s="26">
        <f>SUM(AB75:AB78)/4</f>
        <v>0.8541666667</v>
      </c>
      <c r="AC80" s="2"/>
    </row>
    <row r="81">
      <c r="A81" s="27" t="s">
        <v>44</v>
      </c>
      <c r="B81" s="60"/>
      <c r="C81" s="61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8">
        <v>20.0</v>
      </c>
      <c r="V81" s="68">
        <v>20.0</v>
      </c>
      <c r="W81" s="68">
        <v>10.0</v>
      </c>
      <c r="X81" s="68">
        <v>10.0</v>
      </c>
      <c r="Y81" s="68">
        <v>5.0</v>
      </c>
      <c r="Z81" s="60"/>
      <c r="AA81" s="30">
        <f t="shared" ref="AA81:AA83" si="29">SUM(B81:Z81)</f>
        <v>65</v>
      </c>
      <c r="AB81" s="31"/>
      <c r="AC81" s="2"/>
    </row>
    <row r="82">
      <c r="A82" s="32" t="s">
        <v>45</v>
      </c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128">
        <v>5.0</v>
      </c>
      <c r="U82" s="128">
        <v>5.0</v>
      </c>
      <c r="V82" s="60"/>
      <c r="W82" s="60"/>
      <c r="X82" s="60"/>
      <c r="Y82" s="60"/>
      <c r="Z82" s="60"/>
      <c r="AA82" s="30">
        <f t="shared" si="29"/>
        <v>10</v>
      </c>
      <c r="AB82" s="31"/>
      <c r="AC82" s="9"/>
    </row>
    <row r="83">
      <c r="A83" s="34" t="s">
        <v>46</v>
      </c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0"/>
      <c r="W83" s="60"/>
      <c r="X83" s="60"/>
      <c r="Y83" s="60"/>
      <c r="Z83" s="60"/>
      <c r="AA83" s="30">
        <f t="shared" si="29"/>
        <v>0</v>
      </c>
      <c r="AB83" s="31"/>
      <c r="AC83" s="9"/>
    </row>
    <row r="84">
      <c r="A84" s="35" t="s">
        <v>47</v>
      </c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7"/>
      <c r="AA84" s="38"/>
      <c r="AB84" s="39"/>
      <c r="AC84" s="2"/>
    </row>
    <row r="85">
      <c r="A85" s="40" t="s">
        <v>48</v>
      </c>
      <c r="B85" s="63"/>
      <c r="C85" s="64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5">
        <v>1.0</v>
      </c>
      <c r="V85" s="66"/>
      <c r="W85" s="66"/>
      <c r="X85" s="66"/>
      <c r="Y85" s="66"/>
      <c r="Z85" s="66"/>
      <c r="AA85" s="44">
        <f t="shared" ref="AA85:AA86" si="30">SUM(B85:Z85)</f>
        <v>1</v>
      </c>
      <c r="AB85" s="31"/>
      <c r="AC85" s="2"/>
    </row>
    <row r="86">
      <c r="A86" s="40" t="s">
        <v>49</v>
      </c>
      <c r="B86" s="63"/>
      <c r="C86" s="64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5">
        <v>20.0</v>
      </c>
      <c r="V86" s="69">
        <v>20.0</v>
      </c>
      <c r="W86" s="69">
        <v>10.0</v>
      </c>
      <c r="X86" s="69">
        <v>10.0</v>
      </c>
      <c r="Y86" s="69">
        <v>5.0</v>
      </c>
      <c r="Z86" s="66"/>
      <c r="AA86" s="44">
        <f t="shared" si="30"/>
        <v>65</v>
      </c>
      <c r="AB86" s="31"/>
      <c r="AC86" s="2"/>
    </row>
    <row r="87">
      <c r="A87" s="40" t="s">
        <v>50</v>
      </c>
      <c r="B87" s="64"/>
      <c r="C87" s="64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5">
        <v>1.0</v>
      </c>
      <c r="V87" s="66"/>
      <c r="W87" s="66"/>
      <c r="X87" s="66"/>
      <c r="Y87" s="66"/>
      <c r="Z87" s="66"/>
      <c r="AA87" s="44">
        <f>AVERAGE(B87:Z87)</f>
        <v>1</v>
      </c>
      <c r="AB87" s="31"/>
      <c r="AC87" s="2"/>
    </row>
    <row r="88">
      <c r="A88" s="45" t="s">
        <v>51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7"/>
      <c r="AA88" s="46"/>
      <c r="AB88" s="39"/>
      <c r="AC88" s="2"/>
    </row>
    <row r="89">
      <c r="A89" s="47" t="s">
        <v>48</v>
      </c>
      <c r="B89" s="48"/>
      <c r="C89" s="49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50"/>
      <c r="W89" s="50"/>
      <c r="X89" s="50"/>
      <c r="Y89" s="50"/>
      <c r="Z89" s="50"/>
      <c r="AA89" s="51">
        <f t="shared" ref="AA89:AA90" si="31">SUM(B89:Z89)</f>
        <v>0</v>
      </c>
      <c r="AB89" s="31"/>
      <c r="AC89" s="2"/>
    </row>
    <row r="90">
      <c r="A90" s="47" t="s">
        <v>49</v>
      </c>
      <c r="B90" s="48"/>
      <c r="C90" s="49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50"/>
      <c r="W90" s="50"/>
      <c r="X90" s="50"/>
      <c r="Y90" s="50"/>
      <c r="Z90" s="50"/>
      <c r="AA90" s="51">
        <f t="shared" si="31"/>
        <v>0</v>
      </c>
      <c r="AB90" s="31"/>
      <c r="AC90" s="2"/>
    </row>
    <row r="91">
      <c r="A91" s="47" t="s">
        <v>50</v>
      </c>
      <c r="B91" s="49"/>
      <c r="C91" s="49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50"/>
      <c r="W91" s="50"/>
      <c r="X91" s="50"/>
      <c r="Y91" s="50"/>
      <c r="Z91" s="50"/>
      <c r="AA91" s="51" t="str">
        <f>AVERAGE(B91:Z91)</f>
        <v>#DIV/0!</v>
      </c>
      <c r="AB91" s="31"/>
      <c r="AC91" s="2"/>
    </row>
    <row r="92">
      <c r="A92" s="52" t="s">
        <v>53</v>
      </c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7"/>
      <c r="AA92" s="38"/>
      <c r="AB92" s="39"/>
      <c r="AC92" s="2"/>
    </row>
    <row r="93">
      <c r="A93" s="40" t="s">
        <v>48</v>
      </c>
      <c r="B93" s="41"/>
      <c r="C93" s="42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3"/>
      <c r="W93" s="43"/>
      <c r="X93" s="43"/>
      <c r="Y93" s="43"/>
      <c r="Z93" s="43"/>
      <c r="AA93" s="44">
        <f t="shared" ref="AA93:AA94" si="32">SUM(B93:Z93)</f>
        <v>0</v>
      </c>
      <c r="AB93" s="31"/>
      <c r="AC93" s="2"/>
    </row>
    <row r="94">
      <c r="A94" s="40" t="s">
        <v>49</v>
      </c>
      <c r="B94" s="41"/>
      <c r="C94" s="42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3"/>
      <c r="W94" s="43"/>
      <c r="X94" s="43"/>
      <c r="Y94" s="43"/>
      <c r="Z94" s="43"/>
      <c r="AA94" s="44">
        <f t="shared" si="32"/>
        <v>0</v>
      </c>
      <c r="AB94" s="31"/>
      <c r="AC94" s="2"/>
    </row>
    <row r="95">
      <c r="A95" s="53" t="s">
        <v>50</v>
      </c>
      <c r="B95" s="54"/>
      <c r="C95" s="54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6"/>
      <c r="W95" s="56"/>
      <c r="X95" s="56"/>
      <c r="Y95" s="56"/>
      <c r="Z95" s="56"/>
      <c r="AA95" s="57" t="str">
        <f>AVERAGE(B95:Z95)</f>
        <v>#DIV/0!</v>
      </c>
      <c r="AB95" s="58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59"/>
      <c r="AB96" s="59"/>
      <c r="AC96" s="2"/>
    </row>
    <row r="97">
      <c r="A97" s="13">
        <v>45996.0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5" t="s">
        <v>37</v>
      </c>
      <c r="AB97" s="16" t="s">
        <v>38</v>
      </c>
      <c r="AC97" s="2"/>
    </row>
    <row r="98">
      <c r="A98" s="17" t="s">
        <v>39</v>
      </c>
      <c r="B98" s="19">
        <v>1.0</v>
      </c>
      <c r="C98" s="19">
        <v>1.0</v>
      </c>
      <c r="D98" s="19">
        <v>1.0</v>
      </c>
      <c r="E98" s="19">
        <v>1.0</v>
      </c>
      <c r="F98" s="19">
        <v>1.0</v>
      </c>
      <c r="G98" s="19">
        <v>1.0</v>
      </c>
      <c r="H98" s="19">
        <v>1.0</v>
      </c>
      <c r="I98" s="19">
        <v>1.0</v>
      </c>
      <c r="J98" s="19">
        <v>1.0</v>
      </c>
      <c r="K98" s="19">
        <v>0.0</v>
      </c>
      <c r="L98" s="19">
        <v>0.0</v>
      </c>
      <c r="M98" s="19">
        <v>1.0</v>
      </c>
      <c r="N98" s="19">
        <v>1.0</v>
      </c>
      <c r="O98" s="19">
        <v>1.0</v>
      </c>
      <c r="P98" s="19">
        <v>1.0</v>
      </c>
      <c r="Q98" s="19">
        <v>0.0</v>
      </c>
      <c r="R98" s="19">
        <v>0.0</v>
      </c>
      <c r="S98" s="19">
        <v>0.0</v>
      </c>
      <c r="T98" s="19">
        <v>0.0</v>
      </c>
      <c r="U98" s="19">
        <v>1.0</v>
      </c>
      <c r="V98" s="19">
        <v>1.0</v>
      </c>
      <c r="W98" s="19">
        <v>1.0</v>
      </c>
      <c r="X98" s="19">
        <v>1.0</v>
      </c>
      <c r="Y98" s="19">
        <v>1.0</v>
      </c>
      <c r="Z98" s="19">
        <v>1.0</v>
      </c>
      <c r="AA98" s="20">
        <f t="shared" ref="AA98:AA102" si="33">SUM(B98:Z98)</f>
        <v>19</v>
      </c>
      <c r="AB98" s="21">
        <f t="shared" ref="AB98:AB101" si="34">AA98/(COUNT(B98:Z98)*1)</f>
        <v>0.76</v>
      </c>
      <c r="AC98" s="2"/>
    </row>
    <row r="99">
      <c r="A99" s="17" t="s">
        <v>40</v>
      </c>
      <c r="B99" s="19">
        <v>1.0</v>
      </c>
      <c r="C99" s="19">
        <v>1.0</v>
      </c>
      <c r="D99" s="19">
        <v>1.0</v>
      </c>
      <c r="E99" s="19">
        <v>1.0</v>
      </c>
      <c r="F99" s="19">
        <v>1.0</v>
      </c>
      <c r="G99" s="19">
        <v>1.0</v>
      </c>
      <c r="H99" s="19">
        <v>1.0</v>
      </c>
      <c r="I99" s="19">
        <v>1.0</v>
      </c>
      <c r="J99" s="19">
        <v>1.0</v>
      </c>
      <c r="K99" s="19">
        <v>0.0</v>
      </c>
      <c r="L99" s="19">
        <v>0.0</v>
      </c>
      <c r="M99" s="19">
        <v>1.0</v>
      </c>
      <c r="N99" s="19">
        <v>1.0</v>
      </c>
      <c r="O99" s="19">
        <v>1.0</v>
      </c>
      <c r="P99" s="19">
        <v>1.0</v>
      </c>
      <c r="Q99" s="19">
        <v>1.0</v>
      </c>
      <c r="R99" s="19">
        <v>1.0</v>
      </c>
      <c r="S99" s="19">
        <v>1.0</v>
      </c>
      <c r="T99" s="19">
        <v>1.0</v>
      </c>
      <c r="U99" s="19">
        <v>1.0</v>
      </c>
      <c r="V99" s="19">
        <v>1.0</v>
      </c>
      <c r="W99" s="19">
        <v>1.0</v>
      </c>
      <c r="X99" s="19">
        <v>1.0</v>
      </c>
      <c r="Y99" s="19">
        <v>1.0</v>
      </c>
      <c r="Z99" s="19">
        <v>1.0</v>
      </c>
      <c r="AA99" s="20">
        <f t="shared" si="33"/>
        <v>23</v>
      </c>
      <c r="AB99" s="21">
        <f t="shared" si="34"/>
        <v>0.92</v>
      </c>
      <c r="AC99" s="2"/>
    </row>
    <row r="100">
      <c r="A100" s="17" t="s">
        <v>41</v>
      </c>
      <c r="B100" s="19">
        <v>1.0</v>
      </c>
      <c r="C100" s="19">
        <v>1.0</v>
      </c>
      <c r="D100" s="19">
        <v>1.0</v>
      </c>
      <c r="E100" s="19">
        <v>1.0</v>
      </c>
      <c r="F100" s="19">
        <v>1.0</v>
      </c>
      <c r="G100" s="19">
        <v>1.0</v>
      </c>
      <c r="H100" s="19">
        <v>1.0</v>
      </c>
      <c r="I100" s="19">
        <v>1.0</v>
      </c>
      <c r="J100" s="19">
        <v>1.0</v>
      </c>
      <c r="K100" s="19">
        <v>1.0</v>
      </c>
      <c r="L100" s="19">
        <v>1.0</v>
      </c>
      <c r="M100" s="19">
        <v>1.0</v>
      </c>
      <c r="N100" s="19">
        <v>1.0</v>
      </c>
      <c r="O100" s="19">
        <v>1.0</v>
      </c>
      <c r="P100" s="19">
        <v>1.0</v>
      </c>
      <c r="Q100" s="19">
        <v>1.0</v>
      </c>
      <c r="R100" s="19">
        <v>1.0</v>
      </c>
      <c r="S100" s="19">
        <v>1.0</v>
      </c>
      <c r="T100" s="19">
        <v>1.0</v>
      </c>
      <c r="U100" s="19">
        <v>1.0</v>
      </c>
      <c r="V100" s="19">
        <v>1.0</v>
      </c>
      <c r="W100" s="19">
        <v>1.0</v>
      </c>
      <c r="X100" s="19">
        <v>1.0</v>
      </c>
      <c r="Y100" s="19">
        <v>1.0</v>
      </c>
      <c r="Z100" s="19">
        <v>1.0</v>
      </c>
      <c r="AA100" s="20">
        <f t="shared" si="33"/>
        <v>25</v>
      </c>
      <c r="AB100" s="21">
        <f t="shared" si="34"/>
        <v>1</v>
      </c>
      <c r="AC100" s="2"/>
    </row>
    <row r="101">
      <c r="A101" s="17" t="s">
        <v>42</v>
      </c>
      <c r="B101" s="19">
        <v>1.0</v>
      </c>
      <c r="C101" s="19">
        <v>1.0</v>
      </c>
      <c r="D101" s="19">
        <v>1.0</v>
      </c>
      <c r="E101" s="19">
        <v>1.0</v>
      </c>
      <c r="F101" s="19">
        <v>1.0</v>
      </c>
      <c r="G101" s="19">
        <v>1.0</v>
      </c>
      <c r="H101" s="19">
        <v>1.0</v>
      </c>
      <c r="I101" s="19">
        <v>1.0</v>
      </c>
      <c r="J101" s="19">
        <v>1.0</v>
      </c>
      <c r="K101" s="19">
        <v>0.0</v>
      </c>
      <c r="L101" s="19">
        <v>0.0</v>
      </c>
      <c r="M101" s="19">
        <v>1.0</v>
      </c>
      <c r="N101" s="19">
        <v>1.0</v>
      </c>
      <c r="O101" s="19">
        <v>1.0</v>
      </c>
      <c r="P101" s="19">
        <v>1.0</v>
      </c>
      <c r="Q101" s="19">
        <v>1.0</v>
      </c>
      <c r="R101" s="19">
        <v>1.0</v>
      </c>
      <c r="S101" s="19">
        <v>1.0</v>
      </c>
      <c r="T101" s="19">
        <v>1.0</v>
      </c>
      <c r="U101" s="19">
        <v>1.0</v>
      </c>
      <c r="V101" s="19">
        <v>1.0</v>
      </c>
      <c r="W101" s="19">
        <v>1.0</v>
      </c>
      <c r="X101" s="19">
        <v>1.0</v>
      </c>
      <c r="Y101" s="19">
        <v>1.0</v>
      </c>
      <c r="Z101" s="19">
        <v>1.0</v>
      </c>
      <c r="AA101" s="20">
        <f t="shared" si="33"/>
        <v>23</v>
      </c>
      <c r="AB101" s="21">
        <f t="shared" si="34"/>
        <v>0.92</v>
      </c>
      <c r="AC101" s="2"/>
    </row>
    <row r="102">
      <c r="A102" s="17" t="s">
        <v>43</v>
      </c>
      <c r="B102" s="22">
        <f t="shared" ref="B102:Z102" si="35">SUM(B98:B101)</f>
        <v>4</v>
      </c>
      <c r="C102" s="22">
        <f t="shared" si="35"/>
        <v>4</v>
      </c>
      <c r="D102" s="22">
        <f t="shared" si="35"/>
        <v>4</v>
      </c>
      <c r="E102" s="22">
        <f t="shared" si="35"/>
        <v>4</v>
      </c>
      <c r="F102" s="22">
        <f t="shared" si="35"/>
        <v>4</v>
      </c>
      <c r="G102" s="22">
        <f t="shared" si="35"/>
        <v>4</v>
      </c>
      <c r="H102" s="22">
        <f t="shared" si="35"/>
        <v>4</v>
      </c>
      <c r="I102" s="22">
        <f t="shared" si="35"/>
        <v>4</v>
      </c>
      <c r="J102" s="22">
        <f t="shared" si="35"/>
        <v>4</v>
      </c>
      <c r="K102" s="22">
        <f t="shared" si="35"/>
        <v>1</v>
      </c>
      <c r="L102" s="22">
        <f t="shared" si="35"/>
        <v>1</v>
      </c>
      <c r="M102" s="22">
        <f t="shared" si="35"/>
        <v>4</v>
      </c>
      <c r="N102" s="22">
        <f t="shared" si="35"/>
        <v>4</v>
      </c>
      <c r="O102" s="22">
        <f t="shared" si="35"/>
        <v>4</v>
      </c>
      <c r="P102" s="22">
        <f t="shared" si="35"/>
        <v>4</v>
      </c>
      <c r="Q102" s="22">
        <f t="shared" si="35"/>
        <v>3</v>
      </c>
      <c r="R102" s="22">
        <f t="shared" si="35"/>
        <v>3</v>
      </c>
      <c r="S102" s="22">
        <f t="shared" si="35"/>
        <v>3</v>
      </c>
      <c r="T102" s="22">
        <f t="shared" si="35"/>
        <v>3</v>
      </c>
      <c r="U102" s="22">
        <f t="shared" si="35"/>
        <v>4</v>
      </c>
      <c r="V102" s="22">
        <f t="shared" si="35"/>
        <v>4</v>
      </c>
      <c r="W102" s="22">
        <f t="shared" si="35"/>
        <v>4</v>
      </c>
      <c r="X102" s="22">
        <f t="shared" si="35"/>
        <v>4</v>
      </c>
      <c r="Y102" s="22">
        <f t="shared" si="35"/>
        <v>4</v>
      </c>
      <c r="Z102" s="22">
        <f t="shared" si="35"/>
        <v>4</v>
      </c>
      <c r="AA102" s="20">
        <f t="shared" si="33"/>
        <v>90</v>
      </c>
      <c r="AB102" s="23"/>
      <c r="AC102" s="2"/>
    </row>
    <row r="103">
      <c r="A103" s="17" t="s">
        <v>38</v>
      </c>
      <c r="B103" s="24">
        <f t="shared" ref="B103:Z103" si="36">B102/(COUNT(B98:B101)*1)</f>
        <v>1</v>
      </c>
      <c r="C103" s="24">
        <f t="shared" si="36"/>
        <v>1</v>
      </c>
      <c r="D103" s="24">
        <f t="shared" si="36"/>
        <v>1</v>
      </c>
      <c r="E103" s="24">
        <f t="shared" si="36"/>
        <v>1</v>
      </c>
      <c r="F103" s="24">
        <f t="shared" si="36"/>
        <v>1</v>
      </c>
      <c r="G103" s="24">
        <f t="shared" si="36"/>
        <v>1</v>
      </c>
      <c r="H103" s="24">
        <f t="shared" si="36"/>
        <v>1</v>
      </c>
      <c r="I103" s="24">
        <f t="shared" si="36"/>
        <v>1</v>
      </c>
      <c r="J103" s="24">
        <f t="shared" si="36"/>
        <v>1</v>
      </c>
      <c r="K103" s="24">
        <f t="shared" si="36"/>
        <v>0.25</v>
      </c>
      <c r="L103" s="24">
        <f t="shared" si="36"/>
        <v>0.25</v>
      </c>
      <c r="M103" s="24">
        <f t="shared" si="36"/>
        <v>1</v>
      </c>
      <c r="N103" s="24">
        <f t="shared" si="36"/>
        <v>1</v>
      </c>
      <c r="O103" s="24">
        <f t="shared" si="36"/>
        <v>1</v>
      </c>
      <c r="P103" s="24">
        <f t="shared" si="36"/>
        <v>1</v>
      </c>
      <c r="Q103" s="24">
        <f t="shared" si="36"/>
        <v>0.75</v>
      </c>
      <c r="R103" s="24">
        <f t="shared" si="36"/>
        <v>0.75</v>
      </c>
      <c r="S103" s="24">
        <f t="shared" si="36"/>
        <v>0.75</v>
      </c>
      <c r="T103" s="24">
        <f t="shared" si="36"/>
        <v>0.75</v>
      </c>
      <c r="U103" s="24">
        <f t="shared" si="36"/>
        <v>1</v>
      </c>
      <c r="V103" s="24">
        <f t="shared" si="36"/>
        <v>1</v>
      </c>
      <c r="W103" s="24">
        <f t="shared" si="36"/>
        <v>1</v>
      </c>
      <c r="X103" s="24">
        <f t="shared" si="36"/>
        <v>1</v>
      </c>
      <c r="Y103" s="24">
        <f t="shared" si="36"/>
        <v>1</v>
      </c>
      <c r="Z103" s="24">
        <f t="shared" si="36"/>
        <v>1</v>
      </c>
      <c r="AA103" s="25"/>
      <c r="AB103" s="26">
        <f>SUM(AB98:AB101)/4</f>
        <v>0.9</v>
      </c>
      <c r="AC103" s="2"/>
    </row>
    <row r="104">
      <c r="A104" s="27" t="s">
        <v>44</v>
      </c>
      <c r="B104" s="60"/>
      <c r="C104" s="61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30">
        <f t="shared" ref="AA104:AA106" si="37">SUM(B104:Z104)</f>
        <v>0</v>
      </c>
      <c r="AB104" s="31"/>
      <c r="AC104" s="2"/>
    </row>
    <row r="105">
      <c r="A105" s="32" t="s">
        <v>45</v>
      </c>
      <c r="B105" s="62"/>
      <c r="C105" s="62"/>
      <c r="D105" s="62"/>
      <c r="E105" s="62"/>
      <c r="F105" s="62"/>
      <c r="G105" s="62"/>
      <c r="H105" s="62"/>
      <c r="I105" s="62"/>
      <c r="J105" s="128">
        <v>3.0</v>
      </c>
      <c r="K105" s="128">
        <v>3.0</v>
      </c>
      <c r="L105" s="128">
        <v>5.0</v>
      </c>
      <c r="M105" s="62"/>
      <c r="N105" s="62"/>
      <c r="O105" s="62"/>
      <c r="P105" s="62"/>
      <c r="Q105" s="62"/>
      <c r="R105" s="62"/>
      <c r="S105" s="62"/>
      <c r="T105" s="62"/>
      <c r="U105" s="62"/>
      <c r="V105" s="60"/>
      <c r="W105" s="60"/>
      <c r="X105" s="60"/>
      <c r="Y105" s="60"/>
      <c r="Z105" s="60"/>
      <c r="AA105" s="30">
        <f t="shared" si="37"/>
        <v>11</v>
      </c>
      <c r="AB105" s="31"/>
      <c r="AC105" s="9"/>
    </row>
    <row r="106">
      <c r="A106" s="34" t="s">
        <v>46</v>
      </c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0"/>
      <c r="W106" s="60"/>
      <c r="X106" s="60"/>
      <c r="Y106" s="60"/>
      <c r="Z106" s="60"/>
      <c r="AA106" s="30">
        <f t="shared" si="37"/>
        <v>0</v>
      </c>
      <c r="AB106" s="31"/>
      <c r="AC106" s="9"/>
    </row>
    <row r="107">
      <c r="A107" s="35" t="s">
        <v>47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7"/>
      <c r="AA107" s="38"/>
      <c r="AB107" s="39"/>
      <c r="AC107" s="2"/>
    </row>
    <row r="108">
      <c r="A108" s="40" t="s">
        <v>48</v>
      </c>
      <c r="B108" s="63"/>
      <c r="C108" s="64"/>
      <c r="D108" s="63"/>
      <c r="E108" s="63"/>
      <c r="F108" s="63"/>
      <c r="G108" s="63"/>
      <c r="H108" s="63"/>
      <c r="I108" s="63"/>
      <c r="J108" s="65">
        <v>1.0</v>
      </c>
      <c r="K108" s="63"/>
      <c r="L108" s="63"/>
      <c r="M108" s="63"/>
      <c r="N108" s="63"/>
      <c r="O108" s="63"/>
      <c r="P108" s="65">
        <v>1.0</v>
      </c>
      <c r="Q108" s="63"/>
      <c r="R108" s="63"/>
      <c r="S108" s="63"/>
      <c r="T108" s="63"/>
      <c r="U108" s="63"/>
      <c r="V108" s="66"/>
      <c r="W108" s="66"/>
      <c r="X108" s="66"/>
      <c r="Y108" s="66"/>
      <c r="Z108" s="66"/>
      <c r="AA108" s="44">
        <f t="shared" ref="AA108:AA109" si="38">SUM(B108:Z108)</f>
        <v>2</v>
      </c>
      <c r="AB108" s="31"/>
      <c r="AC108" s="2"/>
    </row>
    <row r="109">
      <c r="A109" s="40" t="s">
        <v>49</v>
      </c>
      <c r="B109" s="63"/>
      <c r="C109" s="64"/>
      <c r="D109" s="63"/>
      <c r="E109" s="63"/>
      <c r="F109" s="63"/>
      <c r="G109" s="63"/>
      <c r="H109" s="63"/>
      <c r="I109" s="63"/>
      <c r="J109" s="65">
        <v>20.0</v>
      </c>
      <c r="K109" s="65">
        <v>20.0</v>
      </c>
      <c r="L109" s="65">
        <v>15.0</v>
      </c>
      <c r="M109" s="65">
        <v>15.0</v>
      </c>
      <c r="N109" s="63"/>
      <c r="O109" s="63"/>
      <c r="P109" s="65">
        <v>20.0</v>
      </c>
      <c r="Q109" s="65">
        <v>20.0</v>
      </c>
      <c r="R109" s="65">
        <v>20.0</v>
      </c>
      <c r="S109" s="65">
        <v>20.0</v>
      </c>
      <c r="T109" s="63"/>
      <c r="U109" s="63"/>
      <c r="V109" s="66"/>
      <c r="W109" s="66"/>
      <c r="X109" s="66"/>
      <c r="Y109" s="66"/>
      <c r="Z109" s="66"/>
      <c r="AA109" s="44">
        <f t="shared" si="38"/>
        <v>150</v>
      </c>
      <c r="AB109" s="31"/>
      <c r="AC109" s="2"/>
    </row>
    <row r="110">
      <c r="A110" s="40" t="s">
        <v>50</v>
      </c>
      <c r="B110" s="64"/>
      <c r="C110" s="64"/>
      <c r="D110" s="63"/>
      <c r="E110" s="63"/>
      <c r="F110" s="63"/>
      <c r="G110" s="63"/>
      <c r="H110" s="63"/>
      <c r="I110" s="63"/>
      <c r="J110" s="65">
        <v>1.0</v>
      </c>
      <c r="K110" s="63"/>
      <c r="L110" s="63"/>
      <c r="M110" s="63"/>
      <c r="N110" s="63"/>
      <c r="O110" s="63"/>
      <c r="P110" s="65">
        <v>1.0</v>
      </c>
      <c r="Q110" s="63"/>
      <c r="R110" s="63"/>
      <c r="S110" s="63"/>
      <c r="T110" s="63"/>
      <c r="U110" s="63"/>
      <c r="V110" s="66"/>
      <c r="W110" s="66"/>
      <c r="X110" s="66"/>
      <c r="Y110" s="66"/>
      <c r="Z110" s="66"/>
      <c r="AA110" s="44">
        <f>AVERAGE(B110:Z110)</f>
        <v>1</v>
      </c>
      <c r="AB110" s="31"/>
      <c r="AC110" s="2"/>
    </row>
    <row r="111">
      <c r="A111" s="45" t="s">
        <v>51</v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7"/>
      <c r="AA111" s="46"/>
      <c r="AB111" s="39"/>
      <c r="AC111" s="2"/>
    </row>
    <row r="112">
      <c r="A112" s="47" t="s">
        <v>48</v>
      </c>
      <c r="B112" s="48"/>
      <c r="C112" s="49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50"/>
      <c r="W112" s="50"/>
      <c r="X112" s="50"/>
      <c r="Y112" s="50"/>
      <c r="Z112" s="50"/>
      <c r="AA112" s="51">
        <f t="shared" ref="AA112:AA113" si="39">SUM(B112:Z112)</f>
        <v>0</v>
      </c>
      <c r="AB112" s="31"/>
      <c r="AC112" s="2"/>
    </row>
    <row r="113">
      <c r="A113" s="47" t="s">
        <v>49</v>
      </c>
      <c r="B113" s="48"/>
      <c r="C113" s="49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50"/>
      <c r="W113" s="50"/>
      <c r="X113" s="50"/>
      <c r="Y113" s="50"/>
      <c r="Z113" s="50"/>
      <c r="AA113" s="51">
        <f t="shared" si="39"/>
        <v>0</v>
      </c>
      <c r="AB113" s="31"/>
      <c r="AC113" s="2"/>
    </row>
    <row r="114">
      <c r="A114" s="47" t="s">
        <v>50</v>
      </c>
      <c r="B114" s="49"/>
      <c r="C114" s="49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50"/>
      <c r="W114" s="50"/>
      <c r="X114" s="50"/>
      <c r="Y114" s="50"/>
      <c r="Z114" s="50"/>
      <c r="AA114" s="51" t="str">
        <f>AVERAGE(B114:Z114)</f>
        <v>#DIV/0!</v>
      </c>
      <c r="AB114" s="31"/>
      <c r="AC114" s="2"/>
    </row>
    <row r="115">
      <c r="A115" s="52" t="s">
        <v>53</v>
      </c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7"/>
      <c r="AA115" s="38"/>
      <c r="AB115" s="39"/>
      <c r="AC115" s="2"/>
    </row>
    <row r="116">
      <c r="A116" s="40" t="s">
        <v>48</v>
      </c>
      <c r="B116" s="41"/>
      <c r="C116" s="42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3"/>
      <c r="W116" s="43"/>
      <c r="X116" s="43"/>
      <c r="Y116" s="43"/>
      <c r="Z116" s="43"/>
      <c r="AA116" s="44">
        <f t="shared" ref="AA116:AA117" si="40">SUM(B116:Z116)</f>
        <v>0</v>
      </c>
      <c r="AB116" s="31"/>
      <c r="AC116" s="2"/>
    </row>
    <row r="117">
      <c r="A117" s="40" t="s">
        <v>49</v>
      </c>
      <c r="B117" s="41"/>
      <c r="C117" s="42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3"/>
      <c r="W117" s="43"/>
      <c r="X117" s="43"/>
      <c r="Y117" s="43"/>
      <c r="Z117" s="43"/>
      <c r="AA117" s="44">
        <f t="shared" si="40"/>
        <v>0</v>
      </c>
      <c r="AB117" s="31"/>
      <c r="AC117" s="2"/>
    </row>
    <row r="118">
      <c r="A118" s="53" t="s">
        <v>50</v>
      </c>
      <c r="B118" s="54"/>
      <c r="C118" s="54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6"/>
      <c r="W118" s="56"/>
      <c r="X118" s="56"/>
      <c r="Y118" s="56"/>
      <c r="Z118" s="56"/>
      <c r="AA118" s="57" t="str">
        <f>AVERAGE(B118:Z118)</f>
        <v>#DIV/0!</v>
      </c>
      <c r="AB118" s="58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59"/>
      <c r="AB119" s="59"/>
      <c r="AC119" s="2"/>
    </row>
    <row r="120">
      <c r="A120" s="13">
        <v>45999.0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 t="s">
        <v>37</v>
      </c>
      <c r="AB120" s="16" t="s">
        <v>38</v>
      </c>
      <c r="AC120" s="2"/>
    </row>
    <row r="121">
      <c r="A121" s="17" t="s">
        <v>39</v>
      </c>
      <c r="B121" s="19">
        <v>1.0</v>
      </c>
      <c r="C121" s="19">
        <v>1.0</v>
      </c>
      <c r="D121" s="19">
        <v>1.0</v>
      </c>
      <c r="E121" s="19">
        <v>1.0</v>
      </c>
      <c r="F121" s="19">
        <v>1.0</v>
      </c>
      <c r="G121" s="19">
        <v>1.0</v>
      </c>
      <c r="H121" s="19">
        <v>1.0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1.0</v>
      </c>
      <c r="P121" s="19">
        <v>1.0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8"/>
      <c r="Z121" s="18"/>
      <c r="AA121" s="20">
        <f t="shared" ref="AA121:AA125" si="41">SUM(B121:Z121)</f>
        <v>9</v>
      </c>
      <c r="AB121" s="21">
        <f t="shared" ref="AB121:AB124" si="42">AA121/(COUNT(B121:Z121)*1)</f>
        <v>0.3913043478</v>
      </c>
      <c r="AC121" s="2"/>
    </row>
    <row r="122">
      <c r="A122" s="17" t="s">
        <v>40</v>
      </c>
      <c r="B122" s="19">
        <v>1.0</v>
      </c>
      <c r="C122" s="19">
        <v>1.0</v>
      </c>
      <c r="D122" s="19">
        <v>1.0</v>
      </c>
      <c r="E122" s="19">
        <v>1.0</v>
      </c>
      <c r="F122" s="19">
        <v>1.0</v>
      </c>
      <c r="G122" s="19">
        <v>1.0</v>
      </c>
      <c r="H122" s="19">
        <v>1.0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1.0</v>
      </c>
      <c r="P122" s="19">
        <v>1.0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8"/>
      <c r="Z122" s="18"/>
      <c r="AA122" s="20">
        <f t="shared" si="41"/>
        <v>9</v>
      </c>
      <c r="AB122" s="21">
        <f t="shared" si="42"/>
        <v>0.3913043478</v>
      </c>
      <c r="AC122" s="2"/>
    </row>
    <row r="123">
      <c r="A123" s="17" t="s">
        <v>41</v>
      </c>
      <c r="B123" s="19">
        <v>1.0</v>
      </c>
      <c r="C123" s="19">
        <v>1.0</v>
      </c>
      <c r="D123" s="19">
        <v>1.0</v>
      </c>
      <c r="E123" s="19">
        <v>1.0</v>
      </c>
      <c r="F123" s="19">
        <v>1.0</v>
      </c>
      <c r="G123" s="19">
        <v>1.0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1.0</v>
      </c>
      <c r="P123" s="19">
        <v>1.0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8"/>
      <c r="Z123" s="18"/>
      <c r="AA123" s="20">
        <f t="shared" si="41"/>
        <v>8</v>
      </c>
      <c r="AB123" s="21">
        <f t="shared" si="42"/>
        <v>0.347826087</v>
      </c>
      <c r="AC123" s="2"/>
    </row>
    <row r="124">
      <c r="A124" s="17" t="s">
        <v>42</v>
      </c>
      <c r="B124" s="19">
        <v>1.0</v>
      </c>
      <c r="C124" s="19">
        <v>1.0</v>
      </c>
      <c r="D124" s="19">
        <v>1.0</v>
      </c>
      <c r="E124" s="19">
        <v>1.0</v>
      </c>
      <c r="F124" s="19">
        <v>1.0</v>
      </c>
      <c r="G124" s="19">
        <v>1.0</v>
      </c>
      <c r="H124" s="19">
        <v>1.0</v>
      </c>
      <c r="I124" s="19">
        <v>1.0</v>
      </c>
      <c r="J124" s="19">
        <v>1.0</v>
      </c>
      <c r="K124" s="19">
        <v>1.0</v>
      </c>
      <c r="L124" s="19">
        <v>1.0</v>
      </c>
      <c r="M124" s="19">
        <v>1.0</v>
      </c>
      <c r="N124" s="19">
        <v>1.0</v>
      </c>
      <c r="O124" s="19">
        <v>1.0</v>
      </c>
      <c r="P124" s="19">
        <v>1.0</v>
      </c>
      <c r="Q124" s="19">
        <v>1.0</v>
      </c>
      <c r="R124" s="19">
        <v>1.0</v>
      </c>
      <c r="S124" s="19">
        <v>1.0</v>
      </c>
      <c r="T124" s="19">
        <v>1.0</v>
      </c>
      <c r="U124" s="19">
        <v>1.0</v>
      </c>
      <c r="V124" s="19">
        <v>1.0</v>
      </c>
      <c r="W124" s="19">
        <v>1.0</v>
      </c>
      <c r="X124" s="19">
        <v>1.0</v>
      </c>
      <c r="Y124" s="18"/>
      <c r="Z124" s="18"/>
      <c r="AA124" s="20">
        <f t="shared" si="41"/>
        <v>23</v>
      </c>
      <c r="AB124" s="21">
        <f t="shared" si="42"/>
        <v>1</v>
      </c>
      <c r="AC124" s="2"/>
    </row>
    <row r="125">
      <c r="A125" s="17" t="s">
        <v>43</v>
      </c>
      <c r="B125" s="22">
        <f t="shared" ref="B125:Z125" si="43">SUM(B121:B124)</f>
        <v>4</v>
      </c>
      <c r="C125" s="22">
        <f t="shared" si="43"/>
        <v>4</v>
      </c>
      <c r="D125" s="22">
        <f t="shared" si="43"/>
        <v>4</v>
      </c>
      <c r="E125" s="22">
        <f t="shared" si="43"/>
        <v>4</v>
      </c>
      <c r="F125" s="22">
        <f t="shared" si="43"/>
        <v>4</v>
      </c>
      <c r="G125" s="22">
        <f t="shared" si="43"/>
        <v>4</v>
      </c>
      <c r="H125" s="22">
        <f t="shared" si="43"/>
        <v>3</v>
      </c>
      <c r="I125" s="22">
        <f t="shared" si="43"/>
        <v>1</v>
      </c>
      <c r="J125" s="22">
        <f t="shared" si="43"/>
        <v>1</v>
      </c>
      <c r="K125" s="22">
        <f t="shared" si="43"/>
        <v>1</v>
      </c>
      <c r="L125" s="22">
        <f t="shared" si="43"/>
        <v>1</v>
      </c>
      <c r="M125" s="22">
        <f t="shared" si="43"/>
        <v>1</v>
      </c>
      <c r="N125" s="22">
        <f t="shared" si="43"/>
        <v>1</v>
      </c>
      <c r="O125" s="22">
        <f t="shared" si="43"/>
        <v>4</v>
      </c>
      <c r="P125" s="22">
        <f t="shared" si="43"/>
        <v>4</v>
      </c>
      <c r="Q125" s="22">
        <f t="shared" si="43"/>
        <v>1</v>
      </c>
      <c r="R125" s="22">
        <f t="shared" si="43"/>
        <v>1</v>
      </c>
      <c r="S125" s="22">
        <f t="shared" si="43"/>
        <v>1</v>
      </c>
      <c r="T125" s="22">
        <f t="shared" si="43"/>
        <v>1</v>
      </c>
      <c r="U125" s="22">
        <f t="shared" si="43"/>
        <v>1</v>
      </c>
      <c r="V125" s="22">
        <f t="shared" si="43"/>
        <v>1</v>
      </c>
      <c r="W125" s="22">
        <f t="shared" si="43"/>
        <v>1</v>
      </c>
      <c r="X125" s="22">
        <f t="shared" si="43"/>
        <v>1</v>
      </c>
      <c r="Y125" s="22">
        <f t="shared" si="43"/>
        <v>0</v>
      </c>
      <c r="Z125" s="22">
        <f t="shared" si="43"/>
        <v>0</v>
      </c>
      <c r="AA125" s="20">
        <f t="shared" si="41"/>
        <v>49</v>
      </c>
      <c r="AB125" s="23"/>
      <c r="AC125" s="2"/>
    </row>
    <row r="126">
      <c r="A126" s="17" t="s">
        <v>38</v>
      </c>
      <c r="B126" s="24">
        <f t="shared" ref="B126:Z126" si="44">B125/(COUNT(B121:B124)*1)</f>
        <v>1</v>
      </c>
      <c r="C126" s="24">
        <f t="shared" si="44"/>
        <v>1</v>
      </c>
      <c r="D126" s="24">
        <f t="shared" si="44"/>
        <v>1</v>
      </c>
      <c r="E126" s="24">
        <f t="shared" si="44"/>
        <v>1</v>
      </c>
      <c r="F126" s="24">
        <f t="shared" si="44"/>
        <v>1</v>
      </c>
      <c r="G126" s="24">
        <f t="shared" si="44"/>
        <v>1</v>
      </c>
      <c r="H126" s="24">
        <f t="shared" si="44"/>
        <v>0.75</v>
      </c>
      <c r="I126" s="24">
        <f t="shared" si="44"/>
        <v>0.25</v>
      </c>
      <c r="J126" s="24">
        <f t="shared" si="44"/>
        <v>0.25</v>
      </c>
      <c r="K126" s="24">
        <f t="shared" si="44"/>
        <v>0.25</v>
      </c>
      <c r="L126" s="24">
        <f t="shared" si="44"/>
        <v>0.25</v>
      </c>
      <c r="M126" s="24">
        <f t="shared" si="44"/>
        <v>0.25</v>
      </c>
      <c r="N126" s="24">
        <f t="shared" si="44"/>
        <v>0.25</v>
      </c>
      <c r="O126" s="24">
        <f t="shared" si="44"/>
        <v>1</v>
      </c>
      <c r="P126" s="24">
        <f t="shared" si="44"/>
        <v>1</v>
      </c>
      <c r="Q126" s="24">
        <f t="shared" si="44"/>
        <v>0.25</v>
      </c>
      <c r="R126" s="24">
        <f t="shared" si="44"/>
        <v>0.25</v>
      </c>
      <c r="S126" s="24">
        <f t="shared" si="44"/>
        <v>0.25</v>
      </c>
      <c r="T126" s="24">
        <f t="shared" si="44"/>
        <v>0.25</v>
      </c>
      <c r="U126" s="24">
        <f t="shared" si="44"/>
        <v>0.25</v>
      </c>
      <c r="V126" s="24">
        <f t="shared" si="44"/>
        <v>0.25</v>
      </c>
      <c r="W126" s="24">
        <f t="shared" si="44"/>
        <v>0.25</v>
      </c>
      <c r="X126" s="24">
        <f t="shared" si="44"/>
        <v>0.25</v>
      </c>
      <c r="Y126" s="24" t="str">
        <f t="shared" si="44"/>
        <v>#DIV/0!</v>
      </c>
      <c r="Z126" s="24" t="str">
        <f t="shared" si="44"/>
        <v>#DIV/0!</v>
      </c>
      <c r="AA126" s="25"/>
      <c r="AB126" s="26">
        <f>SUM(AB121:AB124)/4</f>
        <v>0.5326086957</v>
      </c>
      <c r="AC126" s="2"/>
    </row>
    <row r="127">
      <c r="A127" s="27" t="s">
        <v>44</v>
      </c>
      <c r="B127" s="60"/>
      <c r="C127" s="61"/>
      <c r="D127" s="60"/>
      <c r="E127" s="60"/>
      <c r="F127" s="60"/>
      <c r="G127" s="60"/>
      <c r="H127" s="60"/>
      <c r="I127" s="60"/>
      <c r="J127" s="60"/>
      <c r="K127" s="68">
        <v>20.0</v>
      </c>
      <c r="L127" s="68">
        <v>15.0</v>
      </c>
      <c r="M127" s="68">
        <v>15.0</v>
      </c>
      <c r="N127" s="68">
        <v>15.0</v>
      </c>
      <c r="O127" s="60"/>
      <c r="P127" s="60"/>
      <c r="Q127" s="68">
        <v>20.0</v>
      </c>
      <c r="R127" s="68">
        <v>20.0</v>
      </c>
      <c r="S127" s="68">
        <v>20.0</v>
      </c>
      <c r="T127" s="68">
        <v>20.0</v>
      </c>
      <c r="U127" s="68">
        <v>20.0</v>
      </c>
      <c r="V127" s="68">
        <v>20.0</v>
      </c>
      <c r="W127" s="68">
        <v>10.0</v>
      </c>
      <c r="X127" s="68">
        <v>10.0</v>
      </c>
      <c r="Y127" s="60"/>
      <c r="Z127" s="60"/>
      <c r="AA127" s="30">
        <f t="shared" ref="AA127:AA129" si="45">SUM(B127:Z127)</f>
        <v>205</v>
      </c>
      <c r="AB127" s="31"/>
      <c r="AC127" s="2"/>
    </row>
    <row r="128">
      <c r="A128" s="32" t="s">
        <v>45</v>
      </c>
      <c r="B128" s="62"/>
      <c r="C128" s="62"/>
      <c r="D128" s="62"/>
      <c r="E128" s="62"/>
      <c r="F128" s="62"/>
      <c r="G128" s="62"/>
      <c r="H128" s="62"/>
      <c r="I128" s="128">
        <v>5.0</v>
      </c>
      <c r="J128" s="128">
        <v>5.0</v>
      </c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0"/>
      <c r="W128" s="60"/>
      <c r="X128" s="60"/>
      <c r="Y128" s="60"/>
      <c r="Z128" s="60"/>
      <c r="AA128" s="30">
        <f t="shared" si="45"/>
        <v>10</v>
      </c>
      <c r="AB128" s="31"/>
      <c r="AC128" s="9"/>
    </row>
    <row r="129">
      <c r="A129" s="34" t="s">
        <v>46</v>
      </c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0"/>
      <c r="W129" s="60"/>
      <c r="X129" s="60"/>
      <c r="Y129" s="60"/>
      <c r="Z129" s="60"/>
      <c r="AA129" s="30">
        <f t="shared" si="45"/>
        <v>0</v>
      </c>
      <c r="AB129" s="31"/>
      <c r="AC129" s="9"/>
    </row>
    <row r="130">
      <c r="A130" s="35" t="s">
        <v>47</v>
      </c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7"/>
      <c r="AA130" s="38"/>
      <c r="AB130" s="39"/>
      <c r="AC130" s="2"/>
    </row>
    <row r="131">
      <c r="A131" s="40" t="s">
        <v>48</v>
      </c>
      <c r="B131" s="63"/>
      <c r="C131" s="64"/>
      <c r="D131" s="63"/>
      <c r="E131" s="63"/>
      <c r="F131" s="63"/>
      <c r="G131" s="63"/>
      <c r="H131" s="65">
        <v>1.0</v>
      </c>
      <c r="I131" s="63"/>
      <c r="J131" s="63"/>
      <c r="K131" s="63"/>
      <c r="L131" s="63"/>
      <c r="M131" s="63"/>
      <c r="N131" s="63"/>
      <c r="O131" s="63"/>
      <c r="P131" s="63"/>
      <c r="Q131" s="65">
        <v>1.0</v>
      </c>
      <c r="R131" s="63"/>
      <c r="S131" s="63"/>
      <c r="T131" s="63"/>
      <c r="U131" s="63"/>
      <c r="V131" s="66"/>
      <c r="W131" s="66"/>
      <c r="X131" s="66"/>
      <c r="Y131" s="66"/>
      <c r="Z131" s="66"/>
      <c r="AA131" s="44">
        <f t="shared" ref="AA131:AA132" si="46">SUM(B131:Z131)</f>
        <v>2</v>
      </c>
      <c r="AB131" s="31"/>
      <c r="AC131" s="2"/>
    </row>
    <row r="132">
      <c r="A132" s="40" t="s">
        <v>49</v>
      </c>
      <c r="B132" s="63"/>
      <c r="C132" s="64"/>
      <c r="D132" s="63"/>
      <c r="E132" s="63"/>
      <c r="F132" s="63"/>
      <c r="G132" s="63"/>
      <c r="H132" s="65">
        <v>20.0</v>
      </c>
      <c r="I132" s="65">
        <v>20.0</v>
      </c>
      <c r="J132" s="65">
        <v>20.0</v>
      </c>
      <c r="K132" s="65">
        <v>20.0</v>
      </c>
      <c r="L132" s="65">
        <v>15.0</v>
      </c>
      <c r="M132" s="65">
        <v>15.0</v>
      </c>
      <c r="N132" s="63"/>
      <c r="O132" s="63"/>
      <c r="P132" s="63"/>
      <c r="Q132" s="65">
        <v>20.0</v>
      </c>
      <c r="R132" s="65">
        <v>20.0</v>
      </c>
      <c r="S132" s="65">
        <v>20.0</v>
      </c>
      <c r="T132" s="65">
        <v>20.0</v>
      </c>
      <c r="U132" s="65">
        <v>20.0</v>
      </c>
      <c r="V132" s="69">
        <v>20.0</v>
      </c>
      <c r="W132" s="69">
        <v>10.0</v>
      </c>
      <c r="X132" s="69">
        <v>10.0</v>
      </c>
      <c r="Y132" s="66"/>
      <c r="Z132" s="66"/>
      <c r="AA132" s="44">
        <f t="shared" si="46"/>
        <v>250</v>
      </c>
      <c r="AB132" s="31"/>
      <c r="AC132" s="2"/>
    </row>
    <row r="133">
      <c r="A133" s="40" t="s">
        <v>50</v>
      </c>
      <c r="B133" s="64"/>
      <c r="C133" s="64"/>
      <c r="D133" s="63"/>
      <c r="E133" s="63"/>
      <c r="F133" s="63"/>
      <c r="G133" s="63"/>
      <c r="H133" s="65">
        <v>1.0</v>
      </c>
      <c r="I133" s="63"/>
      <c r="J133" s="63"/>
      <c r="K133" s="63"/>
      <c r="L133" s="63"/>
      <c r="M133" s="63"/>
      <c r="N133" s="63"/>
      <c r="O133" s="63"/>
      <c r="P133" s="63"/>
      <c r="Q133" s="65">
        <v>1.0</v>
      </c>
      <c r="R133" s="63"/>
      <c r="S133" s="63"/>
      <c r="T133" s="63"/>
      <c r="U133" s="63"/>
      <c r="V133" s="66"/>
      <c r="W133" s="66"/>
      <c r="X133" s="66"/>
      <c r="Y133" s="66"/>
      <c r="Z133" s="66"/>
      <c r="AA133" s="44">
        <f>AVERAGE(B133:Z133)</f>
        <v>1</v>
      </c>
      <c r="AB133" s="31"/>
      <c r="AC133" s="2"/>
    </row>
    <row r="134">
      <c r="A134" s="45" t="s">
        <v>51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7"/>
      <c r="AA134" s="46"/>
      <c r="AB134" s="39"/>
      <c r="AC134" s="2"/>
    </row>
    <row r="135">
      <c r="A135" s="47" t="s">
        <v>48</v>
      </c>
      <c r="B135" s="48"/>
      <c r="C135" s="49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50"/>
      <c r="W135" s="50"/>
      <c r="X135" s="50"/>
      <c r="Y135" s="50"/>
      <c r="Z135" s="50"/>
      <c r="AA135" s="51">
        <f t="shared" ref="AA135:AA136" si="47">SUM(B135:Z135)</f>
        <v>0</v>
      </c>
      <c r="AB135" s="31"/>
      <c r="AC135" s="2"/>
    </row>
    <row r="136">
      <c r="A136" s="47" t="s">
        <v>49</v>
      </c>
      <c r="B136" s="48"/>
      <c r="C136" s="49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50"/>
      <c r="W136" s="50"/>
      <c r="X136" s="50"/>
      <c r="Y136" s="50"/>
      <c r="Z136" s="50"/>
      <c r="AA136" s="51">
        <f t="shared" si="47"/>
        <v>0</v>
      </c>
      <c r="AB136" s="31"/>
      <c r="AC136" s="2"/>
    </row>
    <row r="137">
      <c r="A137" s="47" t="s">
        <v>50</v>
      </c>
      <c r="B137" s="49"/>
      <c r="C137" s="49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50"/>
      <c r="W137" s="50"/>
      <c r="X137" s="50"/>
      <c r="Y137" s="50"/>
      <c r="Z137" s="50"/>
      <c r="AA137" s="51" t="str">
        <f>AVERAGE(B137:Z137)</f>
        <v>#DIV/0!</v>
      </c>
      <c r="AB137" s="31"/>
      <c r="AC137" s="2"/>
    </row>
    <row r="138">
      <c r="A138" s="52" t="s">
        <v>53</v>
      </c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7"/>
      <c r="AA138" s="38"/>
      <c r="AB138" s="39"/>
      <c r="AC138" s="2"/>
    </row>
    <row r="139">
      <c r="A139" s="40" t="s">
        <v>48</v>
      </c>
      <c r="B139" s="41"/>
      <c r="C139" s="42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3"/>
      <c r="W139" s="43"/>
      <c r="X139" s="43"/>
      <c r="Y139" s="43"/>
      <c r="Z139" s="43"/>
      <c r="AA139" s="44">
        <f t="shared" ref="AA139:AA140" si="48">SUM(B139:Z139)</f>
        <v>0</v>
      </c>
      <c r="AB139" s="31"/>
      <c r="AC139" s="2"/>
    </row>
    <row r="140">
      <c r="A140" s="40" t="s">
        <v>49</v>
      </c>
      <c r="B140" s="41"/>
      <c r="C140" s="42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3"/>
      <c r="W140" s="43"/>
      <c r="X140" s="43"/>
      <c r="Y140" s="43"/>
      <c r="Z140" s="43"/>
      <c r="AA140" s="44">
        <f t="shared" si="48"/>
        <v>0</v>
      </c>
      <c r="AB140" s="31"/>
      <c r="AC140" s="2"/>
    </row>
    <row r="141">
      <c r="A141" s="53" t="s">
        <v>50</v>
      </c>
      <c r="B141" s="54"/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6"/>
      <c r="W141" s="56"/>
      <c r="X141" s="56"/>
      <c r="Y141" s="56"/>
      <c r="Z141" s="56"/>
      <c r="AA141" s="57" t="str">
        <f>AVERAGE(B141:Z141)</f>
        <v>#DIV/0!</v>
      </c>
      <c r="AB141" s="58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59"/>
      <c r="AB142" s="59"/>
      <c r="AC142" s="2"/>
    </row>
    <row r="143">
      <c r="A143" s="13">
        <v>46000.0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 t="s">
        <v>37</v>
      </c>
      <c r="AB143" s="16" t="s">
        <v>38</v>
      </c>
      <c r="AC143" s="2"/>
    </row>
    <row r="144">
      <c r="A144" s="17" t="s">
        <v>39</v>
      </c>
      <c r="B144" s="19">
        <v>1.0</v>
      </c>
      <c r="C144" s="19">
        <v>1.0</v>
      </c>
      <c r="D144" s="19">
        <v>1.0</v>
      </c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1.0</v>
      </c>
      <c r="P144" s="19">
        <v>1.0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8"/>
      <c r="Z144" s="18"/>
      <c r="AA144" s="20">
        <f t="shared" ref="AA144:AA148" si="49">SUM(B144:Z144)</f>
        <v>5</v>
      </c>
      <c r="AB144" s="21">
        <f t="shared" ref="AB144:AB147" si="50">AA144/(COUNT(B144:Z144)*1)</f>
        <v>0.2173913043</v>
      </c>
      <c r="AC144" s="2"/>
    </row>
    <row r="145">
      <c r="A145" s="17" t="s">
        <v>40</v>
      </c>
      <c r="B145" s="19">
        <v>1.0</v>
      </c>
      <c r="C145" s="19">
        <v>1.0</v>
      </c>
      <c r="D145" s="19">
        <v>1.0</v>
      </c>
      <c r="E145" s="19">
        <v>1.0</v>
      </c>
      <c r="F145" s="19">
        <v>1.0</v>
      </c>
      <c r="G145" s="19">
        <v>1.0</v>
      </c>
      <c r="H145" s="19">
        <v>1.0</v>
      </c>
      <c r="I145" s="19">
        <v>1.0</v>
      </c>
      <c r="J145" s="19">
        <v>1.0</v>
      </c>
      <c r="K145" s="19">
        <v>1.0</v>
      </c>
      <c r="L145" s="19">
        <v>1.0</v>
      </c>
      <c r="M145" s="19">
        <v>1.0</v>
      </c>
      <c r="N145" s="19">
        <v>1.0</v>
      </c>
      <c r="O145" s="19">
        <v>1.0</v>
      </c>
      <c r="P145" s="19">
        <v>1.0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1.0</v>
      </c>
      <c r="W145" s="19">
        <v>1.0</v>
      </c>
      <c r="X145" s="19">
        <v>1.0</v>
      </c>
      <c r="Y145" s="18"/>
      <c r="Z145" s="18"/>
      <c r="AA145" s="20">
        <f t="shared" si="49"/>
        <v>18</v>
      </c>
      <c r="AB145" s="21">
        <f t="shared" si="50"/>
        <v>0.7826086957</v>
      </c>
      <c r="AC145" s="2"/>
    </row>
    <row r="146">
      <c r="A146" s="17" t="s">
        <v>41</v>
      </c>
      <c r="B146" s="19">
        <v>1.0</v>
      </c>
      <c r="C146" s="19">
        <v>1.0</v>
      </c>
      <c r="D146" s="19">
        <v>1.0</v>
      </c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1.0</v>
      </c>
      <c r="P146" s="19">
        <v>1.0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1.0</v>
      </c>
      <c r="W146" s="19">
        <v>1.0</v>
      </c>
      <c r="X146" s="19">
        <v>1.0</v>
      </c>
      <c r="Y146" s="18"/>
      <c r="Z146" s="18"/>
      <c r="AA146" s="20">
        <f t="shared" si="49"/>
        <v>8</v>
      </c>
      <c r="AB146" s="21">
        <f t="shared" si="50"/>
        <v>0.347826087</v>
      </c>
      <c r="AC146" s="2"/>
    </row>
    <row r="147">
      <c r="A147" s="17" t="s">
        <v>42</v>
      </c>
      <c r="B147" s="19">
        <v>1.0</v>
      </c>
      <c r="C147" s="19">
        <v>1.0</v>
      </c>
      <c r="D147" s="19">
        <v>1.0</v>
      </c>
      <c r="E147" s="19">
        <v>1.0</v>
      </c>
      <c r="F147" s="19">
        <v>1.0</v>
      </c>
      <c r="G147" s="19">
        <v>1.0</v>
      </c>
      <c r="H147" s="19">
        <v>1.0</v>
      </c>
      <c r="I147" s="19">
        <v>1.0</v>
      </c>
      <c r="J147" s="19">
        <v>1.0</v>
      </c>
      <c r="K147" s="19">
        <v>1.0</v>
      </c>
      <c r="L147" s="19">
        <v>1.0</v>
      </c>
      <c r="M147" s="19">
        <v>1.0</v>
      </c>
      <c r="N147" s="19">
        <v>1.0</v>
      </c>
      <c r="O147" s="19">
        <v>1.0</v>
      </c>
      <c r="P147" s="19">
        <v>1.0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1.0</v>
      </c>
      <c r="Y147" s="18"/>
      <c r="Z147" s="18"/>
      <c r="AA147" s="20">
        <f t="shared" si="49"/>
        <v>16</v>
      </c>
      <c r="AB147" s="21">
        <f t="shared" si="50"/>
        <v>0.6956521739</v>
      </c>
      <c r="AC147" s="2"/>
    </row>
    <row r="148">
      <c r="A148" s="17" t="s">
        <v>43</v>
      </c>
      <c r="B148" s="22">
        <f t="shared" ref="B148:Z148" si="51">SUM(B144:B147)</f>
        <v>4</v>
      </c>
      <c r="C148" s="22">
        <f t="shared" si="51"/>
        <v>4</v>
      </c>
      <c r="D148" s="22">
        <f t="shared" si="51"/>
        <v>4</v>
      </c>
      <c r="E148" s="22">
        <f t="shared" si="51"/>
        <v>2</v>
      </c>
      <c r="F148" s="22">
        <f t="shared" si="51"/>
        <v>2</v>
      </c>
      <c r="G148" s="22">
        <f t="shared" si="51"/>
        <v>2</v>
      </c>
      <c r="H148" s="22">
        <f t="shared" si="51"/>
        <v>2</v>
      </c>
      <c r="I148" s="22">
        <f t="shared" si="51"/>
        <v>2</v>
      </c>
      <c r="J148" s="22">
        <f t="shared" si="51"/>
        <v>2</v>
      </c>
      <c r="K148" s="22">
        <f t="shared" si="51"/>
        <v>2</v>
      </c>
      <c r="L148" s="22">
        <f t="shared" si="51"/>
        <v>2</v>
      </c>
      <c r="M148" s="22">
        <f t="shared" si="51"/>
        <v>2</v>
      </c>
      <c r="N148" s="22">
        <f t="shared" si="51"/>
        <v>2</v>
      </c>
      <c r="O148" s="22">
        <f t="shared" si="51"/>
        <v>4</v>
      </c>
      <c r="P148" s="22">
        <f t="shared" si="51"/>
        <v>4</v>
      </c>
      <c r="Q148" s="22">
        <f t="shared" si="51"/>
        <v>0</v>
      </c>
      <c r="R148" s="22">
        <f t="shared" si="51"/>
        <v>0</v>
      </c>
      <c r="S148" s="22">
        <f t="shared" si="51"/>
        <v>0</v>
      </c>
      <c r="T148" s="22">
        <f t="shared" si="51"/>
        <v>0</v>
      </c>
      <c r="U148" s="22">
        <f t="shared" si="51"/>
        <v>0</v>
      </c>
      <c r="V148" s="22">
        <f t="shared" si="51"/>
        <v>2</v>
      </c>
      <c r="W148" s="22">
        <f t="shared" si="51"/>
        <v>2</v>
      </c>
      <c r="X148" s="22">
        <f t="shared" si="51"/>
        <v>3</v>
      </c>
      <c r="Y148" s="22">
        <f t="shared" si="51"/>
        <v>0</v>
      </c>
      <c r="Z148" s="22">
        <f t="shared" si="51"/>
        <v>0</v>
      </c>
      <c r="AA148" s="20">
        <f t="shared" si="49"/>
        <v>47</v>
      </c>
      <c r="AB148" s="23"/>
      <c r="AC148" s="2"/>
    </row>
    <row r="149">
      <c r="A149" s="17" t="s">
        <v>38</v>
      </c>
      <c r="B149" s="24">
        <f t="shared" ref="B149:Z149" si="52">B148/(COUNT(B144:B147)*1)</f>
        <v>1</v>
      </c>
      <c r="C149" s="24">
        <f t="shared" si="52"/>
        <v>1</v>
      </c>
      <c r="D149" s="24">
        <f t="shared" si="52"/>
        <v>1</v>
      </c>
      <c r="E149" s="24">
        <f t="shared" si="52"/>
        <v>0.5</v>
      </c>
      <c r="F149" s="24">
        <f t="shared" si="52"/>
        <v>0.5</v>
      </c>
      <c r="G149" s="24">
        <f t="shared" si="52"/>
        <v>0.5</v>
      </c>
      <c r="H149" s="24">
        <f t="shared" si="52"/>
        <v>0.5</v>
      </c>
      <c r="I149" s="24">
        <f t="shared" si="52"/>
        <v>0.5</v>
      </c>
      <c r="J149" s="24">
        <f t="shared" si="52"/>
        <v>0.5</v>
      </c>
      <c r="K149" s="24">
        <f t="shared" si="52"/>
        <v>0.5</v>
      </c>
      <c r="L149" s="24">
        <f t="shared" si="52"/>
        <v>0.5</v>
      </c>
      <c r="M149" s="24">
        <f t="shared" si="52"/>
        <v>0.5</v>
      </c>
      <c r="N149" s="24">
        <f t="shared" si="52"/>
        <v>0.5</v>
      </c>
      <c r="O149" s="24">
        <f t="shared" si="52"/>
        <v>1</v>
      </c>
      <c r="P149" s="24">
        <f t="shared" si="52"/>
        <v>1</v>
      </c>
      <c r="Q149" s="24">
        <f t="shared" si="52"/>
        <v>0</v>
      </c>
      <c r="R149" s="24">
        <f t="shared" si="52"/>
        <v>0</v>
      </c>
      <c r="S149" s="24">
        <f t="shared" si="52"/>
        <v>0</v>
      </c>
      <c r="T149" s="24">
        <f t="shared" si="52"/>
        <v>0</v>
      </c>
      <c r="U149" s="24">
        <f t="shared" si="52"/>
        <v>0</v>
      </c>
      <c r="V149" s="24">
        <f t="shared" si="52"/>
        <v>0.5</v>
      </c>
      <c r="W149" s="24">
        <f t="shared" si="52"/>
        <v>0.5</v>
      </c>
      <c r="X149" s="24">
        <f t="shared" si="52"/>
        <v>0.75</v>
      </c>
      <c r="Y149" s="24" t="str">
        <f t="shared" si="52"/>
        <v>#DIV/0!</v>
      </c>
      <c r="Z149" s="24" t="str">
        <f t="shared" si="52"/>
        <v>#DIV/0!</v>
      </c>
      <c r="AA149" s="25"/>
      <c r="AB149" s="26">
        <f>SUM(AB144:AB147)/4</f>
        <v>0.5108695652</v>
      </c>
      <c r="AC149" s="2"/>
    </row>
    <row r="150">
      <c r="A150" s="27" t="s">
        <v>44</v>
      </c>
      <c r="B150" s="60"/>
      <c r="C150" s="61"/>
      <c r="D150" s="60"/>
      <c r="E150" s="68">
        <v>20.0</v>
      </c>
      <c r="F150" s="68">
        <v>20.0</v>
      </c>
      <c r="G150" s="68">
        <v>20.0</v>
      </c>
      <c r="H150" s="68">
        <v>20.0</v>
      </c>
      <c r="I150" s="68">
        <v>20.0</v>
      </c>
      <c r="J150" s="68">
        <v>20.0</v>
      </c>
      <c r="K150" s="68">
        <v>20.0</v>
      </c>
      <c r="L150" s="68">
        <v>20.0</v>
      </c>
      <c r="M150" s="68">
        <v>15.0</v>
      </c>
      <c r="N150" s="68">
        <v>15.0</v>
      </c>
      <c r="O150" s="68">
        <v>15.0</v>
      </c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30">
        <f t="shared" ref="AA150:AA152" si="53">SUM(B150:Z150)</f>
        <v>205</v>
      </c>
      <c r="AB150" s="31"/>
      <c r="AC150" s="2"/>
    </row>
    <row r="151">
      <c r="A151" s="32" t="s">
        <v>45</v>
      </c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128">
        <v>5.0</v>
      </c>
      <c r="R151" s="128">
        <v>3.0</v>
      </c>
      <c r="S151" s="128">
        <v>4.0</v>
      </c>
      <c r="T151" s="62"/>
      <c r="U151" s="62"/>
      <c r="V151" s="60"/>
      <c r="W151" s="60"/>
      <c r="X151" s="60"/>
      <c r="Y151" s="60"/>
      <c r="Z151" s="60"/>
      <c r="AA151" s="30">
        <f t="shared" si="53"/>
        <v>12</v>
      </c>
      <c r="AB151" s="31"/>
      <c r="AC151" s="9"/>
    </row>
    <row r="152">
      <c r="A152" s="34" t="s">
        <v>46</v>
      </c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0"/>
      <c r="W152" s="60"/>
      <c r="X152" s="60"/>
      <c r="Y152" s="60"/>
      <c r="Z152" s="60"/>
      <c r="AA152" s="30">
        <f t="shared" si="53"/>
        <v>0</v>
      </c>
      <c r="AB152" s="31"/>
      <c r="AC152" s="9"/>
    </row>
    <row r="153">
      <c r="A153" s="35" t="s">
        <v>47</v>
      </c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7"/>
      <c r="AA153" s="38"/>
      <c r="AB153" s="39"/>
      <c r="AC153" s="2"/>
    </row>
    <row r="154">
      <c r="A154" s="40" t="s">
        <v>48</v>
      </c>
      <c r="B154" s="63"/>
      <c r="C154" s="64"/>
      <c r="D154" s="63"/>
      <c r="E154" s="65">
        <v>1.0</v>
      </c>
      <c r="F154" s="63"/>
      <c r="G154" s="65">
        <v>1.0</v>
      </c>
      <c r="H154" s="63"/>
      <c r="I154" s="63"/>
      <c r="J154" s="63"/>
      <c r="K154" s="63"/>
      <c r="L154" s="63"/>
      <c r="M154" s="63"/>
      <c r="N154" s="63"/>
      <c r="O154" s="63"/>
      <c r="P154" s="63"/>
      <c r="Q154" s="65">
        <v>1.0</v>
      </c>
      <c r="R154" s="63"/>
      <c r="S154" s="63"/>
      <c r="T154" s="63"/>
      <c r="U154" s="63"/>
      <c r="V154" s="66"/>
      <c r="W154" s="66"/>
      <c r="X154" s="66"/>
      <c r="Y154" s="66"/>
      <c r="Z154" s="66"/>
      <c r="AA154" s="44">
        <f t="shared" ref="AA154:AA155" si="54">SUM(B154:Z154)</f>
        <v>3</v>
      </c>
      <c r="AB154" s="31"/>
      <c r="AC154" s="2"/>
    </row>
    <row r="155">
      <c r="A155" s="40" t="s">
        <v>49</v>
      </c>
      <c r="B155" s="63"/>
      <c r="C155" s="64"/>
      <c r="D155" s="63"/>
      <c r="E155" s="65">
        <v>20.0</v>
      </c>
      <c r="F155" s="65">
        <v>20.0</v>
      </c>
      <c r="G155" s="65">
        <v>20.0</v>
      </c>
      <c r="H155" s="65">
        <v>20.0</v>
      </c>
      <c r="I155" s="65">
        <v>20.0</v>
      </c>
      <c r="J155" s="65">
        <v>20.0</v>
      </c>
      <c r="K155" s="65">
        <v>20.0</v>
      </c>
      <c r="L155" s="65">
        <v>20.0</v>
      </c>
      <c r="M155" s="65">
        <v>15.0</v>
      </c>
      <c r="N155" s="65">
        <v>15.0</v>
      </c>
      <c r="O155" s="63"/>
      <c r="P155" s="63"/>
      <c r="Q155" s="65">
        <v>20.0</v>
      </c>
      <c r="R155" s="65">
        <v>20.0</v>
      </c>
      <c r="S155" s="65">
        <v>20.0</v>
      </c>
      <c r="T155" s="65">
        <v>20.0</v>
      </c>
      <c r="U155" s="65">
        <v>20.0</v>
      </c>
      <c r="V155" s="69">
        <v>20.0</v>
      </c>
      <c r="W155" s="69">
        <v>10.0</v>
      </c>
      <c r="X155" s="69">
        <v>10.0</v>
      </c>
      <c r="Y155" s="66"/>
      <c r="Z155" s="66"/>
      <c r="AA155" s="44">
        <f t="shared" si="54"/>
        <v>330</v>
      </c>
      <c r="AB155" s="31"/>
      <c r="AC155" s="2"/>
    </row>
    <row r="156">
      <c r="A156" s="40" t="s">
        <v>50</v>
      </c>
      <c r="B156" s="64"/>
      <c r="C156" s="64"/>
      <c r="D156" s="63"/>
      <c r="E156" s="65">
        <v>1.0</v>
      </c>
      <c r="F156" s="63"/>
      <c r="G156" s="65">
        <v>1.0</v>
      </c>
      <c r="H156" s="63"/>
      <c r="I156" s="63"/>
      <c r="J156" s="63"/>
      <c r="K156" s="63"/>
      <c r="L156" s="63"/>
      <c r="M156" s="63"/>
      <c r="N156" s="63"/>
      <c r="O156" s="63"/>
      <c r="P156" s="63"/>
      <c r="Q156" s="65">
        <v>1.0</v>
      </c>
      <c r="R156" s="63"/>
      <c r="S156" s="63"/>
      <c r="T156" s="63"/>
      <c r="U156" s="63"/>
      <c r="V156" s="66"/>
      <c r="W156" s="66"/>
      <c r="X156" s="66"/>
      <c r="Y156" s="66"/>
      <c r="Z156" s="66"/>
      <c r="AA156" s="44">
        <f>AVERAGE(B156:Z156)</f>
        <v>1</v>
      </c>
      <c r="AB156" s="31"/>
      <c r="AC156" s="2"/>
    </row>
    <row r="157">
      <c r="A157" s="45" t="s">
        <v>51</v>
      </c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7"/>
      <c r="AA157" s="46"/>
      <c r="AB157" s="39"/>
      <c r="AC157" s="2"/>
    </row>
    <row r="158">
      <c r="A158" s="47" t="s">
        <v>48</v>
      </c>
      <c r="B158" s="48"/>
      <c r="C158" s="49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50"/>
      <c r="W158" s="50"/>
      <c r="X158" s="50"/>
      <c r="Y158" s="50"/>
      <c r="Z158" s="50"/>
      <c r="AA158" s="51">
        <f t="shared" ref="AA158:AA159" si="55">SUM(B158:Z158)</f>
        <v>0</v>
      </c>
      <c r="AB158" s="31"/>
      <c r="AC158" s="2"/>
    </row>
    <row r="159">
      <c r="A159" s="47" t="s">
        <v>49</v>
      </c>
      <c r="B159" s="48"/>
      <c r="C159" s="49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50"/>
      <c r="W159" s="50"/>
      <c r="X159" s="50"/>
      <c r="Y159" s="50"/>
      <c r="Z159" s="50"/>
      <c r="AA159" s="51">
        <f t="shared" si="55"/>
        <v>0</v>
      </c>
      <c r="AB159" s="31"/>
      <c r="AC159" s="2"/>
    </row>
    <row r="160">
      <c r="A160" s="47" t="s">
        <v>50</v>
      </c>
      <c r="B160" s="49"/>
      <c r="C160" s="49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50"/>
      <c r="W160" s="50"/>
      <c r="X160" s="50"/>
      <c r="Y160" s="50"/>
      <c r="Z160" s="50"/>
      <c r="AA160" s="51" t="str">
        <f>AVERAGE(B160:Z160)</f>
        <v>#DIV/0!</v>
      </c>
      <c r="AB160" s="31"/>
      <c r="AC160" s="2"/>
    </row>
    <row r="161">
      <c r="A161" s="52" t="s">
        <v>53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7"/>
      <c r="AA161" s="38"/>
      <c r="AB161" s="39"/>
      <c r="AC161" s="2"/>
    </row>
    <row r="162">
      <c r="A162" s="40" t="s">
        <v>48</v>
      </c>
      <c r="B162" s="41"/>
      <c r="C162" s="42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3"/>
      <c r="W162" s="43"/>
      <c r="X162" s="43"/>
      <c r="Y162" s="43"/>
      <c r="Z162" s="43"/>
      <c r="AA162" s="44">
        <f t="shared" ref="AA162:AA163" si="56">SUM(B162:Z162)</f>
        <v>0</v>
      </c>
      <c r="AB162" s="31"/>
      <c r="AC162" s="2"/>
    </row>
    <row r="163">
      <c r="A163" s="40" t="s">
        <v>49</v>
      </c>
      <c r="B163" s="41"/>
      <c r="C163" s="42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3"/>
      <c r="W163" s="43"/>
      <c r="X163" s="43"/>
      <c r="Y163" s="43"/>
      <c r="Z163" s="43"/>
      <c r="AA163" s="44">
        <f t="shared" si="56"/>
        <v>0</v>
      </c>
      <c r="AB163" s="31"/>
      <c r="AC163" s="2"/>
    </row>
    <row r="164">
      <c r="A164" s="53" t="s">
        <v>50</v>
      </c>
      <c r="B164" s="54"/>
      <c r="C164" s="54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6"/>
      <c r="W164" s="56"/>
      <c r="X164" s="56"/>
      <c r="Y164" s="56"/>
      <c r="Z164" s="56"/>
      <c r="AA164" s="57" t="str">
        <f>AVERAGE(B164:Z164)</f>
        <v>#DIV/0!</v>
      </c>
      <c r="AB164" s="58"/>
      <c r="AC164" s="2"/>
    </row>
    <row r="165">
      <c r="A165" s="9"/>
      <c r="B165" s="9"/>
      <c r="C165" s="9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13">
        <v>46001.0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5" t="s">
        <v>37</v>
      </c>
      <c r="AB166" s="16" t="s">
        <v>38</v>
      </c>
      <c r="AC166" s="2"/>
    </row>
    <row r="167">
      <c r="A167" s="17" t="s">
        <v>39</v>
      </c>
      <c r="B167" s="131">
        <v>1.0</v>
      </c>
      <c r="C167" s="131">
        <v>1.0</v>
      </c>
      <c r="D167" s="131">
        <v>1.0</v>
      </c>
      <c r="E167" s="131">
        <v>0.0</v>
      </c>
      <c r="F167" s="131">
        <v>0.0</v>
      </c>
      <c r="G167" s="131">
        <v>0.0</v>
      </c>
      <c r="H167" s="131">
        <v>0.0</v>
      </c>
      <c r="I167" s="131">
        <v>0.0</v>
      </c>
      <c r="J167" s="131">
        <v>0.0</v>
      </c>
      <c r="K167" s="131">
        <v>1.0</v>
      </c>
      <c r="L167" s="131">
        <v>1.0</v>
      </c>
      <c r="M167" s="131">
        <v>0.0</v>
      </c>
      <c r="N167" s="131">
        <v>1.0</v>
      </c>
      <c r="O167" s="131">
        <v>1.0</v>
      </c>
      <c r="P167" s="131">
        <v>1.0</v>
      </c>
      <c r="Q167" s="131">
        <v>0.0</v>
      </c>
      <c r="R167" s="131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0.0</v>
      </c>
      <c r="X167" s="19">
        <v>0.0</v>
      </c>
      <c r="Y167" s="18"/>
      <c r="Z167" s="18"/>
      <c r="AA167" s="20">
        <f t="shared" ref="AA167:AA171" si="57">SUM(B167:Z167)</f>
        <v>8</v>
      </c>
      <c r="AB167" s="21">
        <f t="shared" ref="AB167:AB170" si="58">AA167/(COUNT(B167:Z167)*1)</f>
        <v>0.347826087</v>
      </c>
      <c r="AC167" s="2"/>
    </row>
    <row r="168">
      <c r="A168" s="17" t="s">
        <v>40</v>
      </c>
      <c r="B168" s="131">
        <v>1.0</v>
      </c>
      <c r="C168" s="131">
        <v>1.0</v>
      </c>
      <c r="D168" s="131">
        <v>1.0</v>
      </c>
      <c r="E168" s="131">
        <v>1.0</v>
      </c>
      <c r="F168" s="131">
        <v>1.0</v>
      </c>
      <c r="G168" s="131">
        <v>0.0</v>
      </c>
      <c r="H168" s="131">
        <v>0.0</v>
      </c>
      <c r="I168" s="131">
        <v>0.0</v>
      </c>
      <c r="J168" s="131">
        <v>0.0</v>
      </c>
      <c r="K168" s="131">
        <v>1.0</v>
      </c>
      <c r="L168" s="131">
        <v>1.0</v>
      </c>
      <c r="M168" s="131">
        <v>0.0</v>
      </c>
      <c r="N168" s="131">
        <v>1.0</v>
      </c>
      <c r="O168" s="131">
        <v>1.0</v>
      </c>
      <c r="P168" s="131">
        <v>1.0</v>
      </c>
      <c r="Q168" s="131">
        <v>0.0</v>
      </c>
      <c r="R168" s="131">
        <v>0.0</v>
      </c>
      <c r="S168" s="19">
        <v>0.0</v>
      </c>
      <c r="T168" s="19">
        <v>0.0</v>
      </c>
      <c r="U168" s="19">
        <v>1.0</v>
      </c>
      <c r="V168" s="19">
        <v>1.0</v>
      </c>
      <c r="W168" s="19">
        <v>1.0</v>
      </c>
      <c r="X168" s="19">
        <v>1.0</v>
      </c>
      <c r="Y168" s="18"/>
      <c r="Z168" s="18"/>
      <c r="AA168" s="20">
        <f t="shared" si="57"/>
        <v>14</v>
      </c>
      <c r="AB168" s="21">
        <f t="shared" si="58"/>
        <v>0.6086956522</v>
      </c>
      <c r="AC168" s="2"/>
    </row>
    <row r="169">
      <c r="A169" s="17" t="s">
        <v>41</v>
      </c>
      <c r="B169" s="131">
        <v>1.0</v>
      </c>
      <c r="C169" s="131">
        <v>1.0</v>
      </c>
      <c r="D169" s="131">
        <v>1.0</v>
      </c>
      <c r="E169" s="131">
        <v>0.0</v>
      </c>
      <c r="F169" s="131">
        <v>0.0</v>
      </c>
      <c r="G169" s="131">
        <v>0.0</v>
      </c>
      <c r="H169" s="131">
        <v>0.0</v>
      </c>
      <c r="I169" s="131">
        <v>0.0</v>
      </c>
      <c r="J169" s="131">
        <v>0.0</v>
      </c>
      <c r="K169" s="131">
        <v>1.0</v>
      </c>
      <c r="L169" s="131">
        <v>1.0</v>
      </c>
      <c r="M169" s="131">
        <v>0.0</v>
      </c>
      <c r="N169" s="131">
        <v>0.0</v>
      </c>
      <c r="O169" s="131">
        <v>1.0</v>
      </c>
      <c r="P169" s="131">
        <v>1.0</v>
      </c>
      <c r="Q169" s="131">
        <v>0.0</v>
      </c>
      <c r="R169" s="131">
        <v>0.0</v>
      </c>
      <c r="S169" s="19">
        <v>0.0</v>
      </c>
      <c r="T169" s="19">
        <v>0.0</v>
      </c>
      <c r="U169" s="19">
        <v>1.0</v>
      </c>
      <c r="V169" s="19">
        <v>1.0</v>
      </c>
      <c r="W169" s="19">
        <v>1.0</v>
      </c>
      <c r="X169" s="19">
        <v>1.0</v>
      </c>
      <c r="Y169" s="18"/>
      <c r="Z169" s="18"/>
      <c r="AA169" s="20">
        <f t="shared" si="57"/>
        <v>11</v>
      </c>
      <c r="AB169" s="21">
        <f t="shared" si="58"/>
        <v>0.4782608696</v>
      </c>
      <c r="AC169" s="2"/>
    </row>
    <row r="170">
      <c r="A170" s="17" t="s">
        <v>42</v>
      </c>
      <c r="B170" s="131">
        <v>1.0</v>
      </c>
      <c r="C170" s="131">
        <v>1.0</v>
      </c>
      <c r="D170" s="131">
        <v>1.0</v>
      </c>
      <c r="E170" s="131">
        <v>1.0</v>
      </c>
      <c r="F170" s="131">
        <v>1.0</v>
      </c>
      <c r="G170" s="131">
        <v>1.0</v>
      </c>
      <c r="H170" s="131">
        <v>1.0</v>
      </c>
      <c r="I170" s="131">
        <v>1.0</v>
      </c>
      <c r="J170" s="131">
        <v>1.0</v>
      </c>
      <c r="K170" s="131">
        <v>1.0</v>
      </c>
      <c r="L170" s="131">
        <v>1.0</v>
      </c>
      <c r="M170" s="131">
        <v>0.0</v>
      </c>
      <c r="N170" s="131">
        <v>0.0</v>
      </c>
      <c r="O170" s="131">
        <v>1.0</v>
      </c>
      <c r="P170" s="131">
        <v>1.0</v>
      </c>
      <c r="Q170" s="131">
        <v>0.0</v>
      </c>
      <c r="R170" s="131">
        <v>0.0</v>
      </c>
      <c r="S170" s="19">
        <v>0.0</v>
      </c>
      <c r="T170" s="19">
        <v>0.0</v>
      </c>
      <c r="U170" s="19">
        <v>1.0</v>
      </c>
      <c r="V170" s="19">
        <v>1.0</v>
      </c>
      <c r="W170" s="19">
        <v>1.0</v>
      </c>
      <c r="X170" s="19">
        <v>1.0</v>
      </c>
      <c r="Y170" s="18"/>
      <c r="Z170" s="18"/>
      <c r="AA170" s="20">
        <f t="shared" si="57"/>
        <v>17</v>
      </c>
      <c r="AB170" s="21">
        <f t="shared" si="58"/>
        <v>0.7391304348</v>
      </c>
      <c r="AC170" s="2"/>
    </row>
    <row r="171">
      <c r="A171" s="17" t="s">
        <v>43</v>
      </c>
      <c r="B171" s="22">
        <f t="shared" ref="B171:Z171" si="59">SUM(B167:B170)</f>
        <v>4</v>
      </c>
      <c r="C171" s="22">
        <f t="shared" si="59"/>
        <v>4</v>
      </c>
      <c r="D171" s="22">
        <f t="shared" si="59"/>
        <v>4</v>
      </c>
      <c r="E171" s="22">
        <f t="shared" si="59"/>
        <v>2</v>
      </c>
      <c r="F171" s="22">
        <f t="shared" si="59"/>
        <v>2</v>
      </c>
      <c r="G171" s="22">
        <f t="shared" si="59"/>
        <v>1</v>
      </c>
      <c r="H171" s="22">
        <f t="shared" si="59"/>
        <v>1</v>
      </c>
      <c r="I171" s="22">
        <f t="shared" si="59"/>
        <v>1</v>
      </c>
      <c r="J171" s="22">
        <f t="shared" si="59"/>
        <v>1</v>
      </c>
      <c r="K171" s="22">
        <f t="shared" si="59"/>
        <v>4</v>
      </c>
      <c r="L171" s="22">
        <f t="shared" si="59"/>
        <v>4</v>
      </c>
      <c r="M171" s="22">
        <f t="shared" si="59"/>
        <v>0</v>
      </c>
      <c r="N171" s="22">
        <f t="shared" si="59"/>
        <v>2</v>
      </c>
      <c r="O171" s="22">
        <f t="shared" si="59"/>
        <v>4</v>
      </c>
      <c r="P171" s="22">
        <f t="shared" si="59"/>
        <v>4</v>
      </c>
      <c r="Q171" s="22">
        <f t="shared" si="59"/>
        <v>0</v>
      </c>
      <c r="R171" s="22">
        <f t="shared" si="59"/>
        <v>0</v>
      </c>
      <c r="S171" s="22">
        <f t="shared" si="59"/>
        <v>0</v>
      </c>
      <c r="T171" s="22">
        <f t="shared" si="59"/>
        <v>0</v>
      </c>
      <c r="U171" s="22">
        <f t="shared" si="59"/>
        <v>3</v>
      </c>
      <c r="V171" s="22">
        <f t="shared" si="59"/>
        <v>3</v>
      </c>
      <c r="W171" s="22">
        <f t="shared" si="59"/>
        <v>3</v>
      </c>
      <c r="X171" s="22">
        <f t="shared" si="59"/>
        <v>3</v>
      </c>
      <c r="Y171" s="22">
        <f t="shared" si="59"/>
        <v>0</v>
      </c>
      <c r="Z171" s="22">
        <f t="shared" si="59"/>
        <v>0</v>
      </c>
      <c r="AA171" s="20">
        <f t="shared" si="57"/>
        <v>50</v>
      </c>
      <c r="AB171" s="23"/>
      <c r="AC171" s="2"/>
    </row>
    <row r="172">
      <c r="A172" s="17" t="s">
        <v>38</v>
      </c>
      <c r="B172" s="24">
        <f t="shared" ref="B172:Z172" si="60">B171/(COUNT(B167:B170)*1)</f>
        <v>1</v>
      </c>
      <c r="C172" s="24">
        <f t="shared" si="60"/>
        <v>1</v>
      </c>
      <c r="D172" s="24">
        <f t="shared" si="60"/>
        <v>1</v>
      </c>
      <c r="E172" s="24">
        <f t="shared" si="60"/>
        <v>0.5</v>
      </c>
      <c r="F172" s="24">
        <f t="shared" si="60"/>
        <v>0.5</v>
      </c>
      <c r="G172" s="24">
        <f t="shared" si="60"/>
        <v>0.25</v>
      </c>
      <c r="H172" s="24">
        <f t="shared" si="60"/>
        <v>0.25</v>
      </c>
      <c r="I172" s="24">
        <f t="shared" si="60"/>
        <v>0.25</v>
      </c>
      <c r="J172" s="24">
        <f t="shared" si="60"/>
        <v>0.25</v>
      </c>
      <c r="K172" s="24">
        <f t="shared" si="60"/>
        <v>1</v>
      </c>
      <c r="L172" s="24">
        <f t="shared" si="60"/>
        <v>1</v>
      </c>
      <c r="M172" s="24">
        <f t="shared" si="60"/>
        <v>0</v>
      </c>
      <c r="N172" s="24">
        <f t="shared" si="60"/>
        <v>0.5</v>
      </c>
      <c r="O172" s="24">
        <f t="shared" si="60"/>
        <v>1</v>
      </c>
      <c r="P172" s="24">
        <f t="shared" si="60"/>
        <v>1</v>
      </c>
      <c r="Q172" s="24">
        <f t="shared" si="60"/>
        <v>0</v>
      </c>
      <c r="R172" s="24">
        <f t="shared" si="60"/>
        <v>0</v>
      </c>
      <c r="S172" s="24">
        <f t="shared" si="60"/>
        <v>0</v>
      </c>
      <c r="T172" s="24">
        <f t="shared" si="60"/>
        <v>0</v>
      </c>
      <c r="U172" s="24">
        <f t="shared" si="60"/>
        <v>0.75</v>
      </c>
      <c r="V172" s="24">
        <f t="shared" si="60"/>
        <v>0.75</v>
      </c>
      <c r="W172" s="24">
        <f t="shared" si="60"/>
        <v>0.75</v>
      </c>
      <c r="X172" s="24">
        <f t="shared" si="60"/>
        <v>0.75</v>
      </c>
      <c r="Y172" s="24" t="str">
        <f t="shared" si="60"/>
        <v>#DIV/0!</v>
      </c>
      <c r="Z172" s="24" t="str">
        <f t="shared" si="60"/>
        <v>#DIV/0!</v>
      </c>
      <c r="AA172" s="25"/>
      <c r="AB172" s="26">
        <f>SUM(AB167:AB170)/4</f>
        <v>0.5434782609</v>
      </c>
      <c r="AC172" s="2"/>
    </row>
    <row r="173">
      <c r="A173" s="27" t="s">
        <v>44</v>
      </c>
      <c r="B173" s="28"/>
      <c r="C173" s="29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30">
        <f t="shared" ref="AA173:AA175" si="61">SUM(B173:Z173)</f>
        <v>0</v>
      </c>
      <c r="AB173" s="31"/>
      <c r="AC173" s="2"/>
    </row>
    <row r="174">
      <c r="A174" s="32" t="s">
        <v>45</v>
      </c>
      <c r="B174" s="33"/>
      <c r="C174" s="33"/>
      <c r="D174" s="33"/>
      <c r="E174" s="33"/>
      <c r="F174" s="33"/>
      <c r="G174" s="142">
        <v>4.0</v>
      </c>
      <c r="H174" s="142">
        <v>3.0</v>
      </c>
      <c r="I174" s="33"/>
      <c r="J174" s="142">
        <v>2.0</v>
      </c>
      <c r="K174" s="33"/>
      <c r="L174" s="33"/>
      <c r="M174" s="142">
        <v>5.0</v>
      </c>
      <c r="N174" s="33"/>
      <c r="O174" s="33"/>
      <c r="P174" s="33"/>
      <c r="Q174" s="142">
        <v>5.0</v>
      </c>
      <c r="R174" s="142">
        <v>3.0</v>
      </c>
      <c r="S174" s="33"/>
      <c r="T174" s="33"/>
      <c r="U174" s="33"/>
      <c r="V174" s="28"/>
      <c r="W174" s="28"/>
      <c r="X174" s="28"/>
      <c r="Y174" s="28"/>
      <c r="Z174" s="28"/>
      <c r="AA174" s="30">
        <f t="shared" si="61"/>
        <v>22</v>
      </c>
      <c r="AB174" s="31"/>
      <c r="AC174" s="9"/>
    </row>
    <row r="175">
      <c r="A175" s="34" t="s">
        <v>46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28"/>
      <c r="W175" s="28"/>
      <c r="X175" s="28"/>
      <c r="Y175" s="28"/>
      <c r="Z175" s="28"/>
      <c r="AA175" s="30">
        <f t="shared" si="61"/>
        <v>0</v>
      </c>
      <c r="AB175" s="31"/>
      <c r="AC175" s="9"/>
    </row>
    <row r="176">
      <c r="A176" s="35" t="s">
        <v>47</v>
      </c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7"/>
      <c r="AA176" s="38"/>
      <c r="AB176" s="39"/>
      <c r="AC176" s="2"/>
    </row>
    <row r="177">
      <c r="A177" s="40" t="s">
        <v>48</v>
      </c>
      <c r="B177" s="63"/>
      <c r="C177" s="64"/>
      <c r="D177" s="63"/>
      <c r="E177" s="65">
        <v>1.0</v>
      </c>
      <c r="F177" s="63"/>
      <c r="G177" s="63"/>
      <c r="H177" s="63"/>
      <c r="I177" s="63"/>
      <c r="J177" s="63"/>
      <c r="K177" s="63"/>
      <c r="L177" s="63"/>
      <c r="M177" s="65">
        <v>1.0</v>
      </c>
      <c r="N177" s="63"/>
      <c r="O177" s="63"/>
      <c r="P177" s="63"/>
      <c r="Q177" s="65">
        <v>1.0</v>
      </c>
      <c r="R177" s="63"/>
      <c r="S177" s="63"/>
      <c r="T177" s="63"/>
      <c r="U177" s="63"/>
      <c r="V177" s="66"/>
      <c r="W177" s="66"/>
      <c r="X177" s="66"/>
      <c r="Y177" s="66"/>
      <c r="Z177" s="66"/>
      <c r="AA177" s="44">
        <f t="shared" ref="AA177:AA178" si="62">SUM(B177:Z177)</f>
        <v>3</v>
      </c>
      <c r="AB177" s="31"/>
      <c r="AC177" s="2"/>
    </row>
    <row r="178">
      <c r="A178" s="40" t="s">
        <v>49</v>
      </c>
      <c r="B178" s="63"/>
      <c r="C178" s="64"/>
      <c r="D178" s="63"/>
      <c r="E178" s="65">
        <v>20.0</v>
      </c>
      <c r="F178" s="65">
        <v>20.0</v>
      </c>
      <c r="G178" s="65">
        <v>20.0</v>
      </c>
      <c r="H178" s="65">
        <v>20.0</v>
      </c>
      <c r="I178" s="65">
        <v>20.0</v>
      </c>
      <c r="J178" s="65">
        <v>20.0</v>
      </c>
      <c r="K178" s="63"/>
      <c r="L178" s="63"/>
      <c r="M178" s="65">
        <v>15.0</v>
      </c>
      <c r="N178" s="63"/>
      <c r="O178" s="63"/>
      <c r="P178" s="63"/>
      <c r="Q178" s="65">
        <v>20.0</v>
      </c>
      <c r="R178" s="65">
        <v>20.0</v>
      </c>
      <c r="S178" s="65">
        <v>20.0</v>
      </c>
      <c r="T178" s="65">
        <v>20.0</v>
      </c>
      <c r="U178" s="63"/>
      <c r="V178" s="66"/>
      <c r="W178" s="66"/>
      <c r="X178" s="66"/>
      <c r="Y178" s="66"/>
      <c r="Z178" s="66"/>
      <c r="AA178" s="44">
        <f t="shared" si="62"/>
        <v>215</v>
      </c>
      <c r="AB178" s="31"/>
      <c r="AC178" s="2"/>
    </row>
    <row r="179">
      <c r="A179" s="40" t="s">
        <v>50</v>
      </c>
      <c r="B179" s="64"/>
      <c r="C179" s="64"/>
      <c r="D179" s="63"/>
      <c r="E179" s="65">
        <v>1.0</v>
      </c>
      <c r="F179" s="63"/>
      <c r="G179" s="63"/>
      <c r="H179" s="63"/>
      <c r="I179" s="63"/>
      <c r="J179" s="63"/>
      <c r="K179" s="63"/>
      <c r="L179" s="63"/>
      <c r="M179" s="65">
        <v>1.0</v>
      </c>
      <c r="N179" s="63"/>
      <c r="O179" s="63"/>
      <c r="P179" s="63"/>
      <c r="Q179" s="65">
        <v>1.0</v>
      </c>
      <c r="R179" s="63"/>
      <c r="S179" s="63"/>
      <c r="T179" s="63"/>
      <c r="U179" s="63"/>
      <c r="V179" s="66"/>
      <c r="W179" s="66"/>
      <c r="X179" s="66"/>
      <c r="Y179" s="66"/>
      <c r="Z179" s="66"/>
      <c r="AA179" s="44">
        <f>AVERAGE(B179:Z179)</f>
        <v>1</v>
      </c>
      <c r="AB179" s="31"/>
      <c r="AC179" s="2"/>
    </row>
    <row r="180">
      <c r="A180" s="45" t="s">
        <v>51</v>
      </c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7"/>
      <c r="AA180" s="46"/>
      <c r="AB180" s="39"/>
      <c r="AC180" s="2"/>
    </row>
    <row r="181">
      <c r="A181" s="47" t="s">
        <v>48</v>
      </c>
      <c r="B181" s="48"/>
      <c r="C181" s="49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50"/>
      <c r="W181" s="50"/>
      <c r="X181" s="50"/>
      <c r="Y181" s="50"/>
      <c r="Z181" s="50"/>
      <c r="AA181" s="51">
        <f t="shared" ref="AA181:AA182" si="63">SUM(B181:Z181)</f>
        <v>0</v>
      </c>
      <c r="AB181" s="31"/>
      <c r="AC181" s="2"/>
    </row>
    <row r="182">
      <c r="A182" s="47" t="s">
        <v>49</v>
      </c>
      <c r="B182" s="48"/>
      <c r="C182" s="49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50"/>
      <c r="W182" s="50"/>
      <c r="X182" s="50"/>
      <c r="Y182" s="50"/>
      <c r="Z182" s="50"/>
      <c r="AA182" s="51">
        <f t="shared" si="63"/>
        <v>0</v>
      </c>
      <c r="AB182" s="31"/>
      <c r="AC182" s="2"/>
    </row>
    <row r="183">
      <c r="A183" s="47" t="s">
        <v>50</v>
      </c>
      <c r="B183" s="49"/>
      <c r="C183" s="49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50"/>
      <c r="W183" s="50"/>
      <c r="X183" s="50"/>
      <c r="Y183" s="50"/>
      <c r="Z183" s="50"/>
      <c r="AA183" s="51" t="str">
        <f>AVERAGE(B183:Z183)</f>
        <v>#DIV/0!</v>
      </c>
      <c r="AB183" s="31"/>
      <c r="AC183" s="2"/>
    </row>
    <row r="184">
      <c r="A184" s="52" t="s">
        <v>53</v>
      </c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7"/>
      <c r="AA184" s="38"/>
      <c r="AB184" s="39"/>
      <c r="AC184" s="2"/>
    </row>
    <row r="185">
      <c r="A185" s="40" t="s">
        <v>48</v>
      </c>
      <c r="B185" s="41"/>
      <c r="C185" s="42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3"/>
      <c r="W185" s="43"/>
      <c r="X185" s="43"/>
      <c r="Y185" s="43"/>
      <c r="Z185" s="43"/>
      <c r="AA185" s="44">
        <f t="shared" ref="AA185:AA186" si="64">SUM(B185:Z185)</f>
        <v>0</v>
      </c>
      <c r="AB185" s="31"/>
      <c r="AC185" s="2"/>
    </row>
    <row r="186">
      <c r="A186" s="40" t="s">
        <v>49</v>
      </c>
      <c r="B186" s="41"/>
      <c r="C186" s="42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3"/>
      <c r="W186" s="43"/>
      <c r="X186" s="43"/>
      <c r="Y186" s="43"/>
      <c r="Z186" s="43"/>
      <c r="AA186" s="44">
        <f t="shared" si="64"/>
        <v>0</v>
      </c>
      <c r="AB186" s="31"/>
      <c r="AC186" s="2"/>
    </row>
    <row r="187">
      <c r="A187" s="53" t="s">
        <v>50</v>
      </c>
      <c r="B187" s="54"/>
      <c r="C187" s="54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6"/>
      <c r="W187" s="56"/>
      <c r="X187" s="56"/>
      <c r="Y187" s="56"/>
      <c r="Z187" s="56"/>
      <c r="AA187" s="57" t="str">
        <f>AVERAGE(B187:Z187)</f>
        <v>#DIV/0!</v>
      </c>
      <c r="AB187" s="58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59"/>
      <c r="AB188" s="59"/>
      <c r="AC188" s="2"/>
    </row>
    <row r="189">
      <c r="A189" s="13">
        <v>46002.0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5" t="s">
        <v>37</v>
      </c>
      <c r="AB189" s="16" t="s">
        <v>38</v>
      </c>
      <c r="AC189" s="2"/>
    </row>
    <row r="190">
      <c r="A190" s="17" t="s">
        <v>39</v>
      </c>
      <c r="B190" s="19">
        <v>1.0</v>
      </c>
      <c r="C190" s="19">
        <v>0.0</v>
      </c>
      <c r="D190" s="19">
        <v>0.0</v>
      </c>
      <c r="E190" s="19">
        <v>1.0</v>
      </c>
      <c r="F190" s="19">
        <v>1.0</v>
      </c>
      <c r="G190" s="19">
        <v>0.0</v>
      </c>
      <c r="H190" s="19">
        <v>0.0</v>
      </c>
      <c r="I190" s="19">
        <v>0.0</v>
      </c>
      <c r="J190" s="19">
        <v>1.0</v>
      </c>
      <c r="K190" s="19">
        <v>1.0</v>
      </c>
      <c r="L190" s="19">
        <v>1.0</v>
      </c>
      <c r="M190" s="19">
        <v>0.0</v>
      </c>
      <c r="N190" s="19">
        <v>0.0</v>
      </c>
      <c r="O190" s="19">
        <v>1.0</v>
      </c>
      <c r="P190" s="19">
        <v>1.0</v>
      </c>
      <c r="Q190" s="19">
        <v>0.0</v>
      </c>
      <c r="R190" s="19">
        <v>1.0</v>
      </c>
      <c r="S190" s="19">
        <v>1.0</v>
      </c>
      <c r="T190" s="19">
        <v>1.0</v>
      </c>
      <c r="U190" s="19">
        <v>1.0</v>
      </c>
      <c r="V190" s="19">
        <v>0.0</v>
      </c>
      <c r="W190" s="19">
        <v>0.0</v>
      </c>
      <c r="X190" s="19">
        <v>0.0</v>
      </c>
      <c r="Y190" s="19"/>
      <c r="Z190" s="19"/>
      <c r="AA190" s="20">
        <f t="shared" ref="AA190:AA194" si="65">SUM(B190:Z190)</f>
        <v>12</v>
      </c>
      <c r="AB190" s="21">
        <f t="shared" ref="AB190:AB193" si="66">AA190/(COUNT(B190:Z190)*1)</f>
        <v>0.5217391304</v>
      </c>
      <c r="AC190" s="2"/>
    </row>
    <row r="191">
      <c r="A191" s="17" t="s">
        <v>40</v>
      </c>
      <c r="B191" s="19">
        <v>1.0</v>
      </c>
      <c r="C191" s="19">
        <v>1.0</v>
      </c>
      <c r="D191" s="19">
        <v>1.0</v>
      </c>
      <c r="E191" s="19">
        <v>1.0</v>
      </c>
      <c r="F191" s="19">
        <v>1.0</v>
      </c>
      <c r="G191" s="19">
        <v>0.0</v>
      </c>
      <c r="H191" s="19">
        <v>1.0</v>
      </c>
      <c r="I191" s="19">
        <v>1.0</v>
      </c>
      <c r="J191" s="19">
        <v>1.0</v>
      </c>
      <c r="K191" s="19">
        <v>1.0</v>
      </c>
      <c r="L191" s="19">
        <v>1.0</v>
      </c>
      <c r="M191" s="19">
        <v>0.0</v>
      </c>
      <c r="N191" s="19">
        <v>0.0</v>
      </c>
      <c r="O191" s="19">
        <v>0.0</v>
      </c>
      <c r="P191" s="19">
        <v>1.0</v>
      </c>
      <c r="Q191" s="19">
        <v>0.0</v>
      </c>
      <c r="R191" s="19">
        <v>1.0</v>
      </c>
      <c r="S191" s="19">
        <v>0.0</v>
      </c>
      <c r="T191" s="19">
        <v>1.0</v>
      </c>
      <c r="U191" s="19">
        <v>1.0</v>
      </c>
      <c r="V191" s="19">
        <v>1.0</v>
      </c>
      <c r="W191" s="19">
        <v>0.0</v>
      </c>
      <c r="X191" s="19">
        <v>0.0</v>
      </c>
      <c r="Y191" s="19"/>
      <c r="Z191" s="19"/>
      <c r="AA191" s="20">
        <f t="shared" si="65"/>
        <v>15</v>
      </c>
      <c r="AB191" s="21">
        <f t="shared" si="66"/>
        <v>0.652173913</v>
      </c>
      <c r="AC191" s="2"/>
    </row>
    <row r="192">
      <c r="A192" s="17" t="s">
        <v>41</v>
      </c>
      <c r="B192" s="19">
        <v>1.0</v>
      </c>
      <c r="C192" s="19">
        <v>0.0</v>
      </c>
      <c r="D192" s="19">
        <v>0.0</v>
      </c>
      <c r="E192" s="19">
        <v>1.0</v>
      </c>
      <c r="F192" s="19">
        <v>1.0</v>
      </c>
      <c r="G192" s="19">
        <v>0.0</v>
      </c>
      <c r="H192" s="19">
        <v>0.0</v>
      </c>
      <c r="I192" s="19">
        <v>1.0</v>
      </c>
      <c r="J192" s="19">
        <v>1.0</v>
      </c>
      <c r="K192" s="19">
        <v>1.0</v>
      </c>
      <c r="L192" s="19">
        <v>0.0</v>
      </c>
      <c r="M192" s="19">
        <v>0.0</v>
      </c>
      <c r="N192" s="19">
        <v>0.0</v>
      </c>
      <c r="O192" s="19">
        <v>1.0</v>
      </c>
      <c r="P192" s="19">
        <v>1.0</v>
      </c>
      <c r="Q192" s="19">
        <v>0.0</v>
      </c>
      <c r="R192" s="19">
        <v>0.0</v>
      </c>
      <c r="S192" s="19">
        <v>1.0</v>
      </c>
      <c r="T192" s="19">
        <v>1.0</v>
      </c>
      <c r="U192" s="19">
        <v>0.0</v>
      </c>
      <c r="V192" s="19">
        <v>1.0</v>
      </c>
      <c r="W192" s="19">
        <v>0.0</v>
      </c>
      <c r="X192" s="19">
        <v>0.0</v>
      </c>
      <c r="Y192" s="19"/>
      <c r="Z192" s="19"/>
      <c r="AA192" s="20">
        <f t="shared" si="65"/>
        <v>11</v>
      </c>
      <c r="AB192" s="21">
        <f t="shared" si="66"/>
        <v>0.4782608696</v>
      </c>
      <c r="AC192" s="2"/>
    </row>
    <row r="193">
      <c r="A193" s="17" t="s">
        <v>42</v>
      </c>
      <c r="B193" s="19">
        <v>1.0</v>
      </c>
      <c r="C193" s="19">
        <v>1.0</v>
      </c>
      <c r="D193" s="19">
        <v>1.0</v>
      </c>
      <c r="E193" s="19">
        <v>1.0</v>
      </c>
      <c r="F193" s="19">
        <v>1.0</v>
      </c>
      <c r="G193" s="19">
        <v>0.0</v>
      </c>
      <c r="H193" s="19">
        <v>1.0</v>
      </c>
      <c r="I193" s="19">
        <v>1.0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1.0</v>
      </c>
      <c r="Q193" s="19">
        <v>0.0</v>
      </c>
      <c r="R193" s="19">
        <v>0.0</v>
      </c>
      <c r="S193" s="19">
        <v>1.0</v>
      </c>
      <c r="T193" s="19">
        <v>1.0</v>
      </c>
      <c r="U193" s="19">
        <v>0.0</v>
      </c>
      <c r="V193" s="19">
        <v>1.0</v>
      </c>
      <c r="W193" s="19">
        <v>1.0</v>
      </c>
      <c r="X193" s="19">
        <v>0.0</v>
      </c>
      <c r="Y193" s="19"/>
      <c r="Z193" s="19"/>
      <c r="AA193" s="20">
        <f t="shared" si="65"/>
        <v>12</v>
      </c>
      <c r="AB193" s="21">
        <f t="shared" si="66"/>
        <v>0.5217391304</v>
      </c>
      <c r="AC193" s="2"/>
    </row>
    <row r="194">
      <c r="A194" s="17" t="s">
        <v>43</v>
      </c>
      <c r="B194" s="22">
        <f t="shared" ref="B194:Z194" si="67">SUM(B190:B193)</f>
        <v>4</v>
      </c>
      <c r="C194" s="22">
        <f t="shared" si="67"/>
        <v>2</v>
      </c>
      <c r="D194" s="22">
        <f t="shared" si="67"/>
        <v>2</v>
      </c>
      <c r="E194" s="22">
        <f t="shared" si="67"/>
        <v>4</v>
      </c>
      <c r="F194" s="22">
        <f t="shared" si="67"/>
        <v>4</v>
      </c>
      <c r="G194" s="22">
        <f t="shared" si="67"/>
        <v>0</v>
      </c>
      <c r="H194" s="22">
        <f t="shared" si="67"/>
        <v>2</v>
      </c>
      <c r="I194" s="22">
        <f t="shared" si="67"/>
        <v>3</v>
      </c>
      <c r="J194" s="22">
        <f t="shared" si="67"/>
        <v>3</v>
      </c>
      <c r="K194" s="22">
        <f t="shared" si="67"/>
        <v>3</v>
      </c>
      <c r="L194" s="22">
        <f t="shared" si="67"/>
        <v>2</v>
      </c>
      <c r="M194" s="22">
        <f t="shared" si="67"/>
        <v>0</v>
      </c>
      <c r="N194" s="22">
        <f t="shared" si="67"/>
        <v>0</v>
      </c>
      <c r="O194" s="22">
        <f t="shared" si="67"/>
        <v>2</v>
      </c>
      <c r="P194" s="22">
        <f t="shared" si="67"/>
        <v>4</v>
      </c>
      <c r="Q194" s="22">
        <f t="shared" si="67"/>
        <v>0</v>
      </c>
      <c r="R194" s="22">
        <f t="shared" si="67"/>
        <v>2</v>
      </c>
      <c r="S194" s="22">
        <f t="shared" si="67"/>
        <v>3</v>
      </c>
      <c r="T194" s="22">
        <f t="shared" si="67"/>
        <v>4</v>
      </c>
      <c r="U194" s="22">
        <f t="shared" si="67"/>
        <v>2</v>
      </c>
      <c r="V194" s="22">
        <f t="shared" si="67"/>
        <v>3</v>
      </c>
      <c r="W194" s="22">
        <f t="shared" si="67"/>
        <v>1</v>
      </c>
      <c r="X194" s="22">
        <f t="shared" si="67"/>
        <v>0</v>
      </c>
      <c r="Y194" s="22">
        <f t="shared" si="67"/>
        <v>0</v>
      </c>
      <c r="Z194" s="22">
        <f t="shared" si="67"/>
        <v>0</v>
      </c>
      <c r="AA194" s="20">
        <f t="shared" si="65"/>
        <v>50</v>
      </c>
      <c r="AB194" s="23"/>
      <c r="AC194" s="2"/>
    </row>
    <row r="195">
      <c r="A195" s="17" t="s">
        <v>38</v>
      </c>
      <c r="B195" s="24">
        <f t="shared" ref="B195:Z195" si="68">B194/(COUNT(B190:B193)*1)</f>
        <v>1</v>
      </c>
      <c r="C195" s="24">
        <f t="shared" si="68"/>
        <v>0.5</v>
      </c>
      <c r="D195" s="24">
        <f t="shared" si="68"/>
        <v>0.5</v>
      </c>
      <c r="E195" s="24">
        <f t="shared" si="68"/>
        <v>1</v>
      </c>
      <c r="F195" s="24">
        <f t="shared" si="68"/>
        <v>1</v>
      </c>
      <c r="G195" s="24">
        <f t="shared" si="68"/>
        <v>0</v>
      </c>
      <c r="H195" s="24">
        <f t="shared" si="68"/>
        <v>0.5</v>
      </c>
      <c r="I195" s="24">
        <f t="shared" si="68"/>
        <v>0.75</v>
      </c>
      <c r="J195" s="24">
        <f t="shared" si="68"/>
        <v>0.75</v>
      </c>
      <c r="K195" s="24">
        <f t="shared" si="68"/>
        <v>0.75</v>
      </c>
      <c r="L195" s="24">
        <f t="shared" si="68"/>
        <v>0.5</v>
      </c>
      <c r="M195" s="24">
        <f t="shared" si="68"/>
        <v>0</v>
      </c>
      <c r="N195" s="24">
        <f t="shared" si="68"/>
        <v>0</v>
      </c>
      <c r="O195" s="24">
        <f t="shared" si="68"/>
        <v>0.5</v>
      </c>
      <c r="P195" s="24">
        <f t="shared" si="68"/>
        <v>1</v>
      </c>
      <c r="Q195" s="24">
        <f t="shared" si="68"/>
        <v>0</v>
      </c>
      <c r="R195" s="24">
        <f t="shared" si="68"/>
        <v>0.5</v>
      </c>
      <c r="S195" s="24">
        <f t="shared" si="68"/>
        <v>0.75</v>
      </c>
      <c r="T195" s="24">
        <f t="shared" si="68"/>
        <v>1</v>
      </c>
      <c r="U195" s="24">
        <f t="shared" si="68"/>
        <v>0.5</v>
      </c>
      <c r="V195" s="24">
        <f t="shared" si="68"/>
        <v>0.75</v>
      </c>
      <c r="W195" s="24">
        <f t="shared" si="68"/>
        <v>0.25</v>
      </c>
      <c r="X195" s="24">
        <f t="shared" si="68"/>
        <v>0</v>
      </c>
      <c r="Y195" s="24" t="str">
        <f t="shared" si="68"/>
        <v>#DIV/0!</v>
      </c>
      <c r="Z195" s="24" t="str">
        <f t="shared" si="68"/>
        <v>#DIV/0!</v>
      </c>
      <c r="AA195" s="25"/>
      <c r="AB195" s="26">
        <f>SUM(AB190:AB193)/4</f>
        <v>0.5434782609</v>
      </c>
      <c r="AC195" s="2"/>
    </row>
    <row r="196">
      <c r="A196" s="27" t="s">
        <v>44</v>
      </c>
      <c r="B196" s="60"/>
      <c r="C196" s="61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30">
        <f t="shared" ref="AA196:AA198" si="69">SUM(B196:Z196)</f>
        <v>0</v>
      </c>
      <c r="AB196" s="31"/>
      <c r="AC196" s="2"/>
    </row>
    <row r="197">
      <c r="A197" s="32" t="s">
        <v>45</v>
      </c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0"/>
      <c r="W197" s="60"/>
      <c r="X197" s="60"/>
      <c r="Y197" s="60"/>
      <c r="Z197" s="60"/>
      <c r="AA197" s="30">
        <f t="shared" si="69"/>
        <v>0</v>
      </c>
      <c r="AB197" s="31"/>
      <c r="AC197" s="9"/>
    </row>
    <row r="198">
      <c r="A198" s="34" t="s">
        <v>46</v>
      </c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0"/>
      <c r="W198" s="60"/>
      <c r="X198" s="60"/>
      <c r="Y198" s="60"/>
      <c r="Z198" s="60"/>
      <c r="AA198" s="30">
        <f t="shared" si="69"/>
        <v>0</v>
      </c>
      <c r="AB198" s="31"/>
      <c r="AC198" s="9"/>
    </row>
    <row r="199">
      <c r="A199" s="35" t="s">
        <v>47</v>
      </c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7"/>
      <c r="AA199" s="38"/>
      <c r="AB199" s="39"/>
      <c r="AC199" s="2"/>
    </row>
    <row r="200">
      <c r="A200" s="40" t="s">
        <v>48</v>
      </c>
      <c r="B200" s="63"/>
      <c r="C200" s="64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6"/>
      <c r="W200" s="66"/>
      <c r="X200" s="66"/>
      <c r="Y200" s="66"/>
      <c r="Z200" s="66"/>
      <c r="AA200" s="44">
        <f t="shared" ref="AA200:AA201" si="70">SUM(B200:Z200)</f>
        <v>0</v>
      </c>
      <c r="AB200" s="31"/>
      <c r="AC200" s="2"/>
    </row>
    <row r="201">
      <c r="A201" s="40" t="s">
        <v>49</v>
      </c>
      <c r="B201" s="63"/>
      <c r="C201" s="64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6"/>
      <c r="W201" s="66"/>
      <c r="X201" s="66"/>
      <c r="Y201" s="66"/>
      <c r="Z201" s="66"/>
      <c r="AA201" s="44">
        <f t="shared" si="70"/>
        <v>0</v>
      </c>
      <c r="AB201" s="31"/>
      <c r="AC201" s="2"/>
    </row>
    <row r="202">
      <c r="A202" s="40" t="s">
        <v>50</v>
      </c>
      <c r="B202" s="64"/>
      <c r="C202" s="64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6"/>
      <c r="W202" s="66"/>
      <c r="X202" s="66"/>
      <c r="Y202" s="66"/>
      <c r="Z202" s="66"/>
      <c r="AA202" s="44" t="str">
        <f>AVERAGE(B202:Z202)</f>
        <v>#DIV/0!</v>
      </c>
      <c r="AB202" s="31"/>
      <c r="AC202" s="2"/>
    </row>
    <row r="203">
      <c r="A203" s="45" t="s">
        <v>51</v>
      </c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7"/>
      <c r="AA203" s="46"/>
      <c r="AB203" s="39"/>
      <c r="AC203" s="2"/>
    </row>
    <row r="204">
      <c r="A204" s="47" t="s">
        <v>48</v>
      </c>
      <c r="B204" s="48"/>
      <c r="C204" s="49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50"/>
      <c r="W204" s="50"/>
      <c r="X204" s="50"/>
      <c r="Y204" s="50"/>
      <c r="Z204" s="50"/>
      <c r="AA204" s="51">
        <f t="shared" ref="AA204:AA205" si="71">SUM(B204:Z204)</f>
        <v>0</v>
      </c>
      <c r="AB204" s="31"/>
      <c r="AC204" s="2"/>
    </row>
    <row r="205">
      <c r="A205" s="47" t="s">
        <v>49</v>
      </c>
      <c r="B205" s="48"/>
      <c r="C205" s="49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50"/>
      <c r="W205" s="50"/>
      <c r="X205" s="50"/>
      <c r="Y205" s="50"/>
      <c r="Z205" s="50"/>
      <c r="AA205" s="51">
        <f t="shared" si="71"/>
        <v>0</v>
      </c>
      <c r="AB205" s="31"/>
      <c r="AC205" s="2"/>
    </row>
    <row r="206">
      <c r="A206" s="47" t="s">
        <v>50</v>
      </c>
      <c r="B206" s="49"/>
      <c r="C206" s="49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50"/>
      <c r="W206" s="50"/>
      <c r="X206" s="50"/>
      <c r="Y206" s="50"/>
      <c r="Z206" s="50"/>
      <c r="AA206" s="51" t="str">
        <f>AVERAGE(B206:Z206)</f>
        <v>#DIV/0!</v>
      </c>
      <c r="AB206" s="31"/>
      <c r="AC206" s="2"/>
    </row>
    <row r="207">
      <c r="A207" s="52" t="s">
        <v>53</v>
      </c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7"/>
      <c r="AA207" s="38"/>
      <c r="AB207" s="39"/>
      <c r="AC207" s="2"/>
    </row>
    <row r="208">
      <c r="A208" s="40" t="s">
        <v>48</v>
      </c>
      <c r="B208" s="41"/>
      <c r="C208" s="42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3"/>
      <c r="W208" s="43"/>
      <c r="X208" s="43"/>
      <c r="Y208" s="43"/>
      <c r="Z208" s="43"/>
      <c r="AA208" s="44">
        <f t="shared" ref="AA208:AA209" si="72">SUM(B208:Z208)</f>
        <v>0</v>
      </c>
      <c r="AB208" s="31"/>
      <c r="AC208" s="2"/>
    </row>
    <row r="209">
      <c r="A209" s="40" t="s">
        <v>49</v>
      </c>
      <c r="B209" s="41"/>
      <c r="C209" s="42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3"/>
      <c r="W209" s="43"/>
      <c r="X209" s="43"/>
      <c r="Y209" s="43"/>
      <c r="Z209" s="43"/>
      <c r="AA209" s="44">
        <f t="shared" si="72"/>
        <v>0</v>
      </c>
      <c r="AB209" s="31"/>
      <c r="AC209" s="2"/>
    </row>
    <row r="210">
      <c r="A210" s="53" t="s">
        <v>50</v>
      </c>
      <c r="B210" s="54"/>
      <c r="C210" s="54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6"/>
      <c r="W210" s="56"/>
      <c r="X210" s="56"/>
      <c r="Y210" s="56"/>
      <c r="Z210" s="56"/>
      <c r="AA210" s="57" t="str">
        <f>AVERAGE(B210:Z210)</f>
        <v>#DIV/0!</v>
      </c>
      <c r="AB210" s="58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59"/>
      <c r="AB211" s="59"/>
      <c r="AC211" s="2"/>
    </row>
    <row r="212">
      <c r="A212" s="13">
        <v>46003.0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5" t="s">
        <v>37</v>
      </c>
      <c r="AB212" s="16" t="s">
        <v>38</v>
      </c>
      <c r="AC212" s="2"/>
    </row>
    <row r="213">
      <c r="A213" s="17" t="s">
        <v>39</v>
      </c>
      <c r="B213" s="19">
        <v>1.0</v>
      </c>
      <c r="C213" s="19">
        <v>1.0</v>
      </c>
      <c r="D213" s="19">
        <v>1.0</v>
      </c>
      <c r="E213" s="19">
        <v>0.0</v>
      </c>
      <c r="F213" s="19">
        <v>0.0</v>
      </c>
      <c r="G213" s="19">
        <v>0.0</v>
      </c>
      <c r="H213" s="19">
        <v>1.0</v>
      </c>
      <c r="I213" s="19">
        <v>1.0</v>
      </c>
      <c r="J213" s="19">
        <v>1.0</v>
      </c>
      <c r="K213" s="19">
        <v>0.0</v>
      </c>
      <c r="L213" s="19">
        <v>0.0</v>
      </c>
      <c r="M213" s="19">
        <v>0.0</v>
      </c>
      <c r="N213" s="19">
        <v>0.0</v>
      </c>
      <c r="O213" s="19">
        <v>1.0</v>
      </c>
      <c r="P213" s="19">
        <v>1.0</v>
      </c>
      <c r="Q213" s="19">
        <v>0.0</v>
      </c>
      <c r="R213" s="19">
        <v>0.0</v>
      </c>
      <c r="S213" s="19">
        <v>0.0</v>
      </c>
      <c r="T213" s="19">
        <v>1.0</v>
      </c>
      <c r="U213" s="19">
        <v>1.0</v>
      </c>
      <c r="V213" s="19">
        <v>1.0</v>
      </c>
      <c r="W213" s="19">
        <v>0.0</v>
      </c>
      <c r="X213" s="19">
        <v>0.0</v>
      </c>
      <c r="Y213" s="18"/>
      <c r="Z213" s="18"/>
      <c r="AA213" s="20">
        <f t="shared" ref="AA213:AA217" si="73">SUM(B213:Z213)</f>
        <v>11</v>
      </c>
      <c r="AB213" s="21">
        <f t="shared" ref="AB213:AB216" si="74">AA213/(COUNT(B213:Z213)*1)</f>
        <v>0.4782608696</v>
      </c>
      <c r="AC213" s="2"/>
    </row>
    <row r="214">
      <c r="A214" s="17" t="s">
        <v>40</v>
      </c>
      <c r="B214" s="19">
        <v>1.0</v>
      </c>
      <c r="C214" s="19">
        <v>1.0</v>
      </c>
      <c r="D214" s="19">
        <v>1.0</v>
      </c>
      <c r="E214" s="19">
        <v>1.0</v>
      </c>
      <c r="F214" s="19">
        <v>1.0</v>
      </c>
      <c r="G214" s="19">
        <v>1.0</v>
      </c>
      <c r="H214" s="19">
        <v>1.0</v>
      </c>
      <c r="I214" s="19">
        <v>1.0</v>
      </c>
      <c r="J214" s="19">
        <v>1.0</v>
      </c>
      <c r="K214" s="19">
        <v>0.0</v>
      </c>
      <c r="L214" s="19">
        <v>1.0</v>
      </c>
      <c r="M214" s="19">
        <v>0.0</v>
      </c>
      <c r="N214" s="19">
        <v>0.0</v>
      </c>
      <c r="O214" s="19">
        <v>0.0</v>
      </c>
      <c r="P214" s="19">
        <v>1.0</v>
      </c>
      <c r="Q214" s="19">
        <v>0.0</v>
      </c>
      <c r="R214" s="19">
        <v>0.0</v>
      </c>
      <c r="S214" s="19">
        <v>0.0</v>
      </c>
      <c r="T214" s="19">
        <v>1.0</v>
      </c>
      <c r="U214" s="19">
        <v>1.0</v>
      </c>
      <c r="V214" s="19">
        <v>1.0</v>
      </c>
      <c r="W214" s="19">
        <v>1.0</v>
      </c>
      <c r="X214" s="19">
        <v>1.0</v>
      </c>
      <c r="Y214" s="18"/>
      <c r="Z214" s="18"/>
      <c r="AA214" s="20">
        <f t="shared" si="73"/>
        <v>16</v>
      </c>
      <c r="AB214" s="21">
        <f t="shared" si="74"/>
        <v>0.6956521739</v>
      </c>
      <c r="AC214" s="2"/>
    </row>
    <row r="215">
      <c r="A215" s="17" t="s">
        <v>41</v>
      </c>
      <c r="B215" s="19">
        <v>1.0</v>
      </c>
      <c r="C215" s="19">
        <v>0.0</v>
      </c>
      <c r="D215" s="19">
        <v>0.0</v>
      </c>
      <c r="E215" s="19">
        <v>0.0</v>
      </c>
      <c r="F215" s="19">
        <v>0.0</v>
      </c>
      <c r="G215" s="19">
        <v>0.0</v>
      </c>
      <c r="H215" s="19">
        <v>1.0</v>
      </c>
      <c r="I215" s="19">
        <v>1.0</v>
      </c>
      <c r="J215" s="19">
        <v>1.0</v>
      </c>
      <c r="K215" s="19">
        <v>0.0</v>
      </c>
      <c r="L215" s="19">
        <v>0.0</v>
      </c>
      <c r="M215" s="19">
        <v>0.0</v>
      </c>
      <c r="N215" s="19">
        <v>0.0</v>
      </c>
      <c r="O215" s="19">
        <v>1.0</v>
      </c>
      <c r="P215" s="19">
        <v>0.0</v>
      </c>
      <c r="Q215" s="19">
        <v>0.0</v>
      </c>
      <c r="R215" s="19">
        <v>0.0</v>
      </c>
      <c r="S215" s="19">
        <v>1.0</v>
      </c>
      <c r="T215" s="19">
        <v>1.0</v>
      </c>
      <c r="U215" s="19">
        <v>1.0</v>
      </c>
      <c r="V215" s="19">
        <v>1.0</v>
      </c>
      <c r="W215" s="19">
        <v>0.0</v>
      </c>
      <c r="X215" s="19">
        <v>0.0</v>
      </c>
      <c r="Y215" s="18"/>
      <c r="Z215" s="18"/>
      <c r="AA215" s="20">
        <f t="shared" si="73"/>
        <v>9</v>
      </c>
      <c r="AB215" s="21">
        <f t="shared" si="74"/>
        <v>0.3913043478</v>
      </c>
      <c r="AC215" s="2"/>
    </row>
    <row r="216">
      <c r="A216" s="17" t="s">
        <v>42</v>
      </c>
      <c r="B216" s="19">
        <v>1.0</v>
      </c>
      <c r="C216" s="19">
        <v>1.0</v>
      </c>
      <c r="D216" s="19">
        <v>1.0</v>
      </c>
      <c r="E216" s="19">
        <v>1.0</v>
      </c>
      <c r="F216" s="19">
        <v>1.0</v>
      </c>
      <c r="G216" s="19">
        <v>1.0</v>
      </c>
      <c r="H216" s="19">
        <v>1.0</v>
      </c>
      <c r="I216" s="19">
        <v>1.0</v>
      </c>
      <c r="J216" s="19">
        <v>1.0</v>
      </c>
      <c r="K216" s="19">
        <v>0.0</v>
      </c>
      <c r="L216" s="19">
        <v>1.0</v>
      </c>
      <c r="M216" s="19">
        <v>1.0</v>
      </c>
      <c r="N216" s="19">
        <v>1.0</v>
      </c>
      <c r="O216" s="19">
        <v>0.0</v>
      </c>
      <c r="P216" s="19">
        <v>1.0</v>
      </c>
      <c r="Q216" s="19">
        <v>0.0</v>
      </c>
      <c r="R216" s="19">
        <v>0.0</v>
      </c>
      <c r="S216" s="19">
        <v>0.0</v>
      </c>
      <c r="T216" s="19">
        <v>1.0</v>
      </c>
      <c r="U216" s="19">
        <v>1.0</v>
      </c>
      <c r="V216" s="19">
        <v>1.0</v>
      </c>
      <c r="W216" s="19">
        <v>0.0</v>
      </c>
      <c r="X216" s="19">
        <v>0.0</v>
      </c>
      <c r="Y216" s="18"/>
      <c r="Z216" s="18"/>
      <c r="AA216" s="20">
        <f t="shared" si="73"/>
        <v>16</v>
      </c>
      <c r="AB216" s="21">
        <f t="shared" si="74"/>
        <v>0.6956521739</v>
      </c>
      <c r="AC216" s="2"/>
    </row>
    <row r="217">
      <c r="A217" s="17" t="s">
        <v>43</v>
      </c>
      <c r="B217" s="22">
        <f t="shared" ref="B217:Z217" si="75">SUM(B213:B216)</f>
        <v>4</v>
      </c>
      <c r="C217" s="22">
        <f t="shared" si="75"/>
        <v>3</v>
      </c>
      <c r="D217" s="22">
        <f t="shared" si="75"/>
        <v>3</v>
      </c>
      <c r="E217" s="22">
        <f t="shared" si="75"/>
        <v>2</v>
      </c>
      <c r="F217" s="22">
        <f t="shared" si="75"/>
        <v>2</v>
      </c>
      <c r="G217" s="22">
        <f t="shared" si="75"/>
        <v>2</v>
      </c>
      <c r="H217" s="22">
        <f t="shared" si="75"/>
        <v>4</v>
      </c>
      <c r="I217" s="22">
        <f t="shared" si="75"/>
        <v>4</v>
      </c>
      <c r="J217" s="22">
        <f t="shared" si="75"/>
        <v>4</v>
      </c>
      <c r="K217" s="22">
        <f t="shared" si="75"/>
        <v>0</v>
      </c>
      <c r="L217" s="22">
        <f t="shared" si="75"/>
        <v>2</v>
      </c>
      <c r="M217" s="22">
        <f t="shared" si="75"/>
        <v>1</v>
      </c>
      <c r="N217" s="22">
        <f t="shared" si="75"/>
        <v>1</v>
      </c>
      <c r="O217" s="22">
        <f t="shared" si="75"/>
        <v>2</v>
      </c>
      <c r="P217" s="22">
        <f t="shared" si="75"/>
        <v>3</v>
      </c>
      <c r="Q217" s="22">
        <f t="shared" si="75"/>
        <v>0</v>
      </c>
      <c r="R217" s="22">
        <f t="shared" si="75"/>
        <v>0</v>
      </c>
      <c r="S217" s="22">
        <f t="shared" si="75"/>
        <v>1</v>
      </c>
      <c r="T217" s="22">
        <f t="shared" si="75"/>
        <v>4</v>
      </c>
      <c r="U217" s="22">
        <f t="shared" si="75"/>
        <v>4</v>
      </c>
      <c r="V217" s="22">
        <f t="shared" si="75"/>
        <v>4</v>
      </c>
      <c r="W217" s="22">
        <f t="shared" si="75"/>
        <v>1</v>
      </c>
      <c r="X217" s="22">
        <f t="shared" si="75"/>
        <v>1</v>
      </c>
      <c r="Y217" s="22">
        <f t="shared" si="75"/>
        <v>0</v>
      </c>
      <c r="Z217" s="22">
        <f t="shared" si="75"/>
        <v>0</v>
      </c>
      <c r="AA217" s="20">
        <f t="shared" si="73"/>
        <v>52</v>
      </c>
      <c r="AB217" s="23"/>
      <c r="AC217" s="2"/>
    </row>
    <row r="218">
      <c r="A218" s="17" t="s">
        <v>38</v>
      </c>
      <c r="B218" s="24">
        <f t="shared" ref="B218:Z218" si="76">B217/(COUNT(B213:B216)*1)</f>
        <v>1</v>
      </c>
      <c r="C218" s="24">
        <f t="shared" si="76"/>
        <v>0.75</v>
      </c>
      <c r="D218" s="24">
        <f t="shared" si="76"/>
        <v>0.75</v>
      </c>
      <c r="E218" s="24">
        <f t="shared" si="76"/>
        <v>0.5</v>
      </c>
      <c r="F218" s="24">
        <f t="shared" si="76"/>
        <v>0.5</v>
      </c>
      <c r="G218" s="24">
        <f t="shared" si="76"/>
        <v>0.5</v>
      </c>
      <c r="H218" s="24">
        <f t="shared" si="76"/>
        <v>1</v>
      </c>
      <c r="I218" s="24">
        <f t="shared" si="76"/>
        <v>1</v>
      </c>
      <c r="J218" s="24">
        <f t="shared" si="76"/>
        <v>1</v>
      </c>
      <c r="K218" s="24">
        <f t="shared" si="76"/>
        <v>0</v>
      </c>
      <c r="L218" s="24">
        <f t="shared" si="76"/>
        <v>0.5</v>
      </c>
      <c r="M218" s="24">
        <f t="shared" si="76"/>
        <v>0.25</v>
      </c>
      <c r="N218" s="24">
        <f t="shared" si="76"/>
        <v>0.25</v>
      </c>
      <c r="O218" s="24">
        <f t="shared" si="76"/>
        <v>0.5</v>
      </c>
      <c r="P218" s="24">
        <f t="shared" si="76"/>
        <v>0.75</v>
      </c>
      <c r="Q218" s="24">
        <f t="shared" si="76"/>
        <v>0</v>
      </c>
      <c r="R218" s="24">
        <f t="shared" si="76"/>
        <v>0</v>
      </c>
      <c r="S218" s="24">
        <f t="shared" si="76"/>
        <v>0.25</v>
      </c>
      <c r="T218" s="24">
        <f t="shared" si="76"/>
        <v>1</v>
      </c>
      <c r="U218" s="24">
        <f t="shared" si="76"/>
        <v>1</v>
      </c>
      <c r="V218" s="24">
        <f t="shared" si="76"/>
        <v>1</v>
      </c>
      <c r="W218" s="24">
        <f t="shared" si="76"/>
        <v>0.25</v>
      </c>
      <c r="X218" s="24">
        <f t="shared" si="76"/>
        <v>0.25</v>
      </c>
      <c r="Y218" s="24" t="str">
        <f t="shared" si="76"/>
        <v>#DIV/0!</v>
      </c>
      <c r="Z218" s="24" t="str">
        <f t="shared" si="76"/>
        <v>#DIV/0!</v>
      </c>
      <c r="AA218" s="25"/>
      <c r="AB218" s="26">
        <f>SUM(AB213:AB216)/4</f>
        <v>0.5652173913</v>
      </c>
      <c r="AC218" s="2"/>
    </row>
    <row r="219">
      <c r="A219" s="27" t="s">
        <v>44</v>
      </c>
      <c r="B219" s="28"/>
      <c r="C219" s="29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30">
        <f t="shared" ref="AA219:AA221" si="77">SUM(B219:Z219)</f>
        <v>0</v>
      </c>
      <c r="AB219" s="31"/>
      <c r="AC219" s="2"/>
    </row>
    <row r="220">
      <c r="A220" s="32" t="s">
        <v>45</v>
      </c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28"/>
      <c r="W220" s="28"/>
      <c r="X220" s="28"/>
      <c r="Y220" s="28"/>
      <c r="Z220" s="28"/>
      <c r="AA220" s="30">
        <f t="shared" si="77"/>
        <v>0</v>
      </c>
      <c r="AB220" s="31"/>
      <c r="AC220" s="9"/>
    </row>
    <row r="221">
      <c r="A221" s="34" t="s">
        <v>46</v>
      </c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28"/>
      <c r="W221" s="28"/>
      <c r="X221" s="28"/>
      <c r="Y221" s="28"/>
      <c r="Z221" s="28"/>
      <c r="AA221" s="30">
        <f t="shared" si="77"/>
        <v>0</v>
      </c>
      <c r="AB221" s="31"/>
      <c r="AC221" s="9"/>
    </row>
    <row r="222">
      <c r="A222" s="35" t="s">
        <v>47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7"/>
      <c r="AA222" s="38"/>
      <c r="AB222" s="39"/>
      <c r="AC222" s="2"/>
    </row>
    <row r="223">
      <c r="A223" s="40" t="s">
        <v>48</v>
      </c>
      <c r="B223" s="41"/>
      <c r="C223" s="42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3"/>
      <c r="W223" s="43"/>
      <c r="X223" s="43"/>
      <c r="Y223" s="43"/>
      <c r="Z223" s="43"/>
      <c r="AA223" s="44">
        <f t="shared" ref="AA223:AA224" si="78">SUM(B223:Z223)</f>
        <v>0</v>
      </c>
      <c r="AB223" s="31"/>
      <c r="AC223" s="2"/>
    </row>
    <row r="224">
      <c r="A224" s="40" t="s">
        <v>49</v>
      </c>
      <c r="B224" s="41"/>
      <c r="C224" s="42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3"/>
      <c r="W224" s="43"/>
      <c r="X224" s="43"/>
      <c r="Y224" s="43"/>
      <c r="Z224" s="43"/>
      <c r="AA224" s="44">
        <f t="shared" si="78"/>
        <v>0</v>
      </c>
      <c r="AB224" s="31"/>
      <c r="AC224" s="2"/>
    </row>
    <row r="225">
      <c r="A225" s="40" t="s">
        <v>50</v>
      </c>
      <c r="B225" s="42"/>
      <c r="C225" s="42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3"/>
      <c r="W225" s="43"/>
      <c r="X225" s="43"/>
      <c r="Y225" s="43"/>
      <c r="Z225" s="43"/>
      <c r="AA225" s="44" t="str">
        <f>AVERAGE(B225:Z225)</f>
        <v>#DIV/0!</v>
      </c>
      <c r="AB225" s="31"/>
      <c r="AC225" s="2"/>
    </row>
    <row r="226">
      <c r="A226" s="45" t="s">
        <v>51</v>
      </c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7"/>
      <c r="AA226" s="46"/>
      <c r="AB226" s="39"/>
      <c r="AC226" s="2"/>
    </row>
    <row r="227">
      <c r="A227" s="47" t="s">
        <v>48</v>
      </c>
      <c r="B227" s="48"/>
      <c r="C227" s="49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50"/>
      <c r="W227" s="50"/>
      <c r="X227" s="50"/>
      <c r="Y227" s="50"/>
      <c r="Z227" s="50"/>
      <c r="AA227" s="51">
        <f t="shared" ref="AA227:AA228" si="79">SUM(B227:Z227)</f>
        <v>0</v>
      </c>
      <c r="AB227" s="31"/>
      <c r="AC227" s="2"/>
    </row>
    <row r="228">
      <c r="A228" s="47" t="s">
        <v>49</v>
      </c>
      <c r="B228" s="48"/>
      <c r="C228" s="49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50"/>
      <c r="W228" s="50"/>
      <c r="X228" s="50"/>
      <c r="Y228" s="50"/>
      <c r="Z228" s="50"/>
      <c r="AA228" s="51">
        <f t="shared" si="79"/>
        <v>0</v>
      </c>
      <c r="AB228" s="31"/>
      <c r="AC228" s="2"/>
    </row>
    <row r="229">
      <c r="A229" s="47" t="s">
        <v>50</v>
      </c>
      <c r="B229" s="49"/>
      <c r="C229" s="49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50"/>
      <c r="W229" s="50"/>
      <c r="X229" s="50"/>
      <c r="Y229" s="50"/>
      <c r="Z229" s="50"/>
      <c r="AA229" s="51" t="str">
        <f>AVERAGE(B29:Z229)</f>
        <v>#DIV/0!</v>
      </c>
      <c r="AB229" s="31"/>
      <c r="AC229" s="2"/>
    </row>
    <row r="230">
      <c r="A230" s="52" t="s">
        <v>53</v>
      </c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7"/>
      <c r="AA230" s="38"/>
      <c r="AB230" s="39"/>
      <c r="AC230" s="2"/>
    </row>
    <row r="231">
      <c r="A231" s="40" t="s">
        <v>48</v>
      </c>
      <c r="B231" s="41"/>
      <c r="C231" s="42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3"/>
      <c r="W231" s="43"/>
      <c r="X231" s="43"/>
      <c r="Y231" s="43"/>
      <c r="Z231" s="43"/>
      <c r="AA231" s="44">
        <f t="shared" ref="AA231:AA232" si="80">SUM(B231:Z231)</f>
        <v>0</v>
      </c>
      <c r="AB231" s="31"/>
      <c r="AC231" s="2"/>
    </row>
    <row r="232">
      <c r="A232" s="40" t="s">
        <v>49</v>
      </c>
      <c r="B232" s="41"/>
      <c r="C232" s="42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3"/>
      <c r="W232" s="43"/>
      <c r="X232" s="43"/>
      <c r="Y232" s="43"/>
      <c r="Z232" s="43"/>
      <c r="AA232" s="44">
        <f t="shared" si="80"/>
        <v>0</v>
      </c>
      <c r="AB232" s="31"/>
      <c r="AC232" s="2"/>
    </row>
    <row r="233">
      <c r="A233" s="53" t="s">
        <v>50</v>
      </c>
      <c r="B233" s="54"/>
      <c r="C233" s="54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6"/>
      <c r="W233" s="56"/>
      <c r="X233" s="56"/>
      <c r="Y233" s="56"/>
      <c r="Z233" s="56"/>
      <c r="AA233" s="57" t="str">
        <f>AVERAGE(B233:Z233)</f>
        <v>#DIV/0!</v>
      </c>
      <c r="AB233" s="58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59"/>
      <c r="AB234" s="59"/>
      <c r="AC234" s="2"/>
    </row>
    <row r="235">
      <c r="A235" s="13">
        <v>46006.0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 t="s">
        <v>37</v>
      </c>
      <c r="AB235" s="16" t="s">
        <v>38</v>
      </c>
      <c r="AC235" s="2"/>
    </row>
    <row r="236">
      <c r="A236" s="17" t="s">
        <v>39</v>
      </c>
      <c r="B236" s="19">
        <v>1.0</v>
      </c>
      <c r="C236" s="19">
        <v>1.0</v>
      </c>
      <c r="D236" s="19">
        <v>1.0</v>
      </c>
      <c r="E236" s="19">
        <v>1.0</v>
      </c>
      <c r="F236" s="19">
        <v>1.0</v>
      </c>
      <c r="G236" s="19">
        <v>0.0</v>
      </c>
      <c r="H236" s="19">
        <v>0.0</v>
      </c>
      <c r="I236" s="19">
        <v>0.0</v>
      </c>
      <c r="J236" s="19">
        <v>0.0</v>
      </c>
      <c r="K236" s="19">
        <v>0.0</v>
      </c>
      <c r="L236" s="19">
        <v>0.0</v>
      </c>
      <c r="M236" s="19">
        <v>0.0</v>
      </c>
      <c r="N236" s="19">
        <v>1.0</v>
      </c>
      <c r="O236" s="19">
        <v>1.0</v>
      </c>
      <c r="P236" s="19">
        <v>1.0</v>
      </c>
      <c r="Q236" s="19">
        <v>0.0</v>
      </c>
      <c r="R236" s="19">
        <v>0.0</v>
      </c>
      <c r="S236" s="19">
        <v>0.0</v>
      </c>
      <c r="T236" s="19">
        <v>0.0</v>
      </c>
      <c r="U236" s="19">
        <v>0.0</v>
      </c>
      <c r="V236" s="19">
        <v>0.0</v>
      </c>
      <c r="W236" s="19">
        <v>1.0</v>
      </c>
      <c r="X236" s="19">
        <v>1.0</v>
      </c>
      <c r="Y236" s="18"/>
      <c r="Z236" s="18"/>
      <c r="AA236" s="20">
        <f t="shared" ref="AA236:AA240" si="81">SUM(B236:Z236)</f>
        <v>10</v>
      </c>
      <c r="AB236" s="21">
        <f t="shared" ref="AB236:AB239" si="82">AA236/(COUNT(B236:Z236)*1)</f>
        <v>0.4347826087</v>
      </c>
      <c r="AC236" s="2"/>
    </row>
    <row r="237">
      <c r="A237" s="17" t="s">
        <v>40</v>
      </c>
      <c r="B237" s="19">
        <v>1.0</v>
      </c>
      <c r="C237" s="19">
        <v>1.0</v>
      </c>
      <c r="D237" s="19">
        <v>1.0</v>
      </c>
      <c r="E237" s="19">
        <v>1.0</v>
      </c>
      <c r="F237" s="19">
        <v>0.0</v>
      </c>
      <c r="G237" s="19">
        <v>1.0</v>
      </c>
      <c r="H237" s="19">
        <v>1.0</v>
      </c>
      <c r="I237" s="19">
        <v>1.0</v>
      </c>
      <c r="J237" s="19">
        <v>1.0</v>
      </c>
      <c r="K237" s="19">
        <v>0.0</v>
      </c>
      <c r="L237" s="19">
        <v>1.0</v>
      </c>
      <c r="M237" s="19">
        <v>1.0</v>
      </c>
      <c r="N237" s="19">
        <v>1.0</v>
      </c>
      <c r="O237" s="19">
        <v>1.0</v>
      </c>
      <c r="P237" s="19">
        <v>1.0</v>
      </c>
      <c r="Q237" s="19">
        <v>1.0</v>
      </c>
      <c r="R237" s="19">
        <v>1.0</v>
      </c>
      <c r="S237" s="19">
        <v>1.0</v>
      </c>
      <c r="T237" s="19">
        <v>0.0</v>
      </c>
      <c r="U237" s="19">
        <v>0.0</v>
      </c>
      <c r="V237" s="19">
        <v>0.0</v>
      </c>
      <c r="W237" s="19">
        <v>1.0</v>
      </c>
      <c r="X237" s="19">
        <v>1.0</v>
      </c>
      <c r="Y237" s="18"/>
      <c r="Z237" s="18"/>
      <c r="AA237" s="20">
        <f t="shared" si="81"/>
        <v>18</v>
      </c>
      <c r="AB237" s="21">
        <f t="shared" si="82"/>
        <v>0.7826086957</v>
      </c>
      <c r="AC237" s="2"/>
    </row>
    <row r="238">
      <c r="A238" s="17" t="s">
        <v>41</v>
      </c>
      <c r="B238" s="19">
        <v>1.0</v>
      </c>
      <c r="C238" s="19">
        <v>1.0</v>
      </c>
      <c r="D238" s="19">
        <v>0.0</v>
      </c>
      <c r="E238" s="19">
        <v>1.0</v>
      </c>
      <c r="F238" s="19">
        <v>1.0</v>
      </c>
      <c r="G238" s="19">
        <v>1.0</v>
      </c>
      <c r="H238" s="19">
        <v>1.0</v>
      </c>
      <c r="I238" s="19">
        <v>1.0</v>
      </c>
      <c r="J238" s="19">
        <v>0.0</v>
      </c>
      <c r="K238" s="19">
        <v>0.0</v>
      </c>
      <c r="L238" s="19">
        <v>0.0</v>
      </c>
      <c r="M238" s="19">
        <v>0.0</v>
      </c>
      <c r="N238" s="19">
        <v>1.0</v>
      </c>
      <c r="O238" s="19">
        <v>1.0</v>
      </c>
      <c r="P238" s="19">
        <v>1.0</v>
      </c>
      <c r="Q238" s="19">
        <v>1.0</v>
      </c>
      <c r="R238" s="19">
        <v>0.0</v>
      </c>
      <c r="S238" s="19">
        <v>0.0</v>
      </c>
      <c r="T238" s="19">
        <v>0.0</v>
      </c>
      <c r="U238" s="19">
        <v>0.0</v>
      </c>
      <c r="V238" s="19">
        <v>0.0</v>
      </c>
      <c r="W238" s="19">
        <v>1.0</v>
      </c>
      <c r="X238" s="19">
        <v>0.0</v>
      </c>
      <c r="Y238" s="18"/>
      <c r="Z238" s="18"/>
      <c r="AA238" s="20">
        <f t="shared" si="81"/>
        <v>12</v>
      </c>
      <c r="AB238" s="21">
        <f t="shared" si="82"/>
        <v>0.5217391304</v>
      </c>
      <c r="AC238" s="2"/>
    </row>
    <row r="239">
      <c r="A239" s="17" t="s">
        <v>42</v>
      </c>
      <c r="B239" s="19">
        <v>1.0</v>
      </c>
      <c r="C239" s="19">
        <v>1.0</v>
      </c>
      <c r="D239" s="19">
        <v>1.0</v>
      </c>
      <c r="E239" s="19">
        <v>1.0</v>
      </c>
      <c r="F239" s="19">
        <v>1.0</v>
      </c>
      <c r="G239" s="19">
        <v>1.0</v>
      </c>
      <c r="H239" s="19">
        <v>1.0</v>
      </c>
      <c r="I239" s="19">
        <v>1.0</v>
      </c>
      <c r="J239" s="19">
        <v>0.0</v>
      </c>
      <c r="K239" s="19">
        <v>0.0</v>
      </c>
      <c r="L239" s="19">
        <v>0.0</v>
      </c>
      <c r="M239" s="19">
        <v>0.0</v>
      </c>
      <c r="N239" s="19">
        <v>1.0</v>
      </c>
      <c r="O239" s="19">
        <v>1.0</v>
      </c>
      <c r="P239" s="19">
        <v>1.0</v>
      </c>
      <c r="Q239" s="19">
        <v>1.0</v>
      </c>
      <c r="R239" s="19">
        <v>1.0</v>
      </c>
      <c r="S239" s="19">
        <v>1.0</v>
      </c>
      <c r="T239" s="19">
        <v>1.0</v>
      </c>
      <c r="U239" s="19">
        <v>1.0</v>
      </c>
      <c r="V239" s="19">
        <v>0.0</v>
      </c>
      <c r="W239" s="19">
        <v>1.0</v>
      </c>
      <c r="X239" s="19">
        <v>0.0</v>
      </c>
      <c r="Y239" s="18"/>
      <c r="Z239" s="18"/>
      <c r="AA239" s="20">
        <f t="shared" si="81"/>
        <v>17</v>
      </c>
      <c r="AB239" s="21">
        <f t="shared" si="82"/>
        <v>0.7391304348</v>
      </c>
      <c r="AC239" s="2"/>
    </row>
    <row r="240">
      <c r="A240" s="17" t="s">
        <v>43</v>
      </c>
      <c r="B240" s="22">
        <f t="shared" ref="B240:Z240" si="83">SUM(B236:B239)</f>
        <v>4</v>
      </c>
      <c r="C240" s="22">
        <f t="shared" si="83"/>
        <v>4</v>
      </c>
      <c r="D240" s="22">
        <f t="shared" si="83"/>
        <v>3</v>
      </c>
      <c r="E240" s="22">
        <f t="shared" si="83"/>
        <v>4</v>
      </c>
      <c r="F240" s="22">
        <f t="shared" si="83"/>
        <v>3</v>
      </c>
      <c r="G240" s="22">
        <f t="shared" si="83"/>
        <v>3</v>
      </c>
      <c r="H240" s="22">
        <f t="shared" si="83"/>
        <v>3</v>
      </c>
      <c r="I240" s="22">
        <f t="shared" si="83"/>
        <v>3</v>
      </c>
      <c r="J240" s="22">
        <f t="shared" si="83"/>
        <v>1</v>
      </c>
      <c r="K240" s="22">
        <f t="shared" si="83"/>
        <v>0</v>
      </c>
      <c r="L240" s="22">
        <f t="shared" si="83"/>
        <v>1</v>
      </c>
      <c r="M240" s="22">
        <f t="shared" si="83"/>
        <v>1</v>
      </c>
      <c r="N240" s="22">
        <f t="shared" si="83"/>
        <v>4</v>
      </c>
      <c r="O240" s="22">
        <f t="shared" si="83"/>
        <v>4</v>
      </c>
      <c r="P240" s="22">
        <f t="shared" si="83"/>
        <v>4</v>
      </c>
      <c r="Q240" s="22">
        <f t="shared" si="83"/>
        <v>3</v>
      </c>
      <c r="R240" s="22">
        <f t="shared" si="83"/>
        <v>2</v>
      </c>
      <c r="S240" s="22">
        <f t="shared" si="83"/>
        <v>2</v>
      </c>
      <c r="T240" s="22">
        <f t="shared" si="83"/>
        <v>1</v>
      </c>
      <c r="U240" s="22">
        <f t="shared" si="83"/>
        <v>1</v>
      </c>
      <c r="V240" s="22">
        <f t="shared" si="83"/>
        <v>0</v>
      </c>
      <c r="W240" s="22">
        <f t="shared" si="83"/>
        <v>4</v>
      </c>
      <c r="X240" s="22">
        <f t="shared" si="83"/>
        <v>2</v>
      </c>
      <c r="Y240" s="22">
        <f t="shared" si="83"/>
        <v>0</v>
      </c>
      <c r="Z240" s="22">
        <f t="shared" si="83"/>
        <v>0</v>
      </c>
      <c r="AA240" s="20">
        <f t="shared" si="81"/>
        <v>57</v>
      </c>
      <c r="AB240" s="23"/>
      <c r="AC240" s="2"/>
    </row>
    <row r="241">
      <c r="A241" s="17" t="s">
        <v>38</v>
      </c>
      <c r="B241" s="24">
        <f t="shared" ref="B241:Z241" si="84">B240/(COUNT(B236:B239)*1)</f>
        <v>1</v>
      </c>
      <c r="C241" s="24">
        <f t="shared" si="84"/>
        <v>1</v>
      </c>
      <c r="D241" s="24">
        <f t="shared" si="84"/>
        <v>0.75</v>
      </c>
      <c r="E241" s="24">
        <f t="shared" si="84"/>
        <v>1</v>
      </c>
      <c r="F241" s="24">
        <f t="shared" si="84"/>
        <v>0.75</v>
      </c>
      <c r="G241" s="24">
        <f t="shared" si="84"/>
        <v>0.75</v>
      </c>
      <c r="H241" s="24">
        <f t="shared" si="84"/>
        <v>0.75</v>
      </c>
      <c r="I241" s="24">
        <f t="shared" si="84"/>
        <v>0.75</v>
      </c>
      <c r="J241" s="24">
        <f t="shared" si="84"/>
        <v>0.25</v>
      </c>
      <c r="K241" s="24">
        <f t="shared" si="84"/>
        <v>0</v>
      </c>
      <c r="L241" s="24">
        <f t="shared" si="84"/>
        <v>0.25</v>
      </c>
      <c r="M241" s="24">
        <f t="shared" si="84"/>
        <v>0.25</v>
      </c>
      <c r="N241" s="24">
        <f t="shared" si="84"/>
        <v>1</v>
      </c>
      <c r="O241" s="24">
        <f t="shared" si="84"/>
        <v>1</v>
      </c>
      <c r="P241" s="24">
        <f t="shared" si="84"/>
        <v>1</v>
      </c>
      <c r="Q241" s="24">
        <f t="shared" si="84"/>
        <v>0.75</v>
      </c>
      <c r="R241" s="24">
        <f t="shared" si="84"/>
        <v>0.5</v>
      </c>
      <c r="S241" s="24">
        <f t="shared" si="84"/>
        <v>0.5</v>
      </c>
      <c r="T241" s="24">
        <f t="shared" si="84"/>
        <v>0.25</v>
      </c>
      <c r="U241" s="24">
        <f t="shared" si="84"/>
        <v>0.25</v>
      </c>
      <c r="V241" s="24">
        <f t="shared" si="84"/>
        <v>0</v>
      </c>
      <c r="W241" s="24">
        <f t="shared" si="84"/>
        <v>1</v>
      </c>
      <c r="X241" s="24">
        <f t="shared" si="84"/>
        <v>0.5</v>
      </c>
      <c r="Y241" s="24" t="str">
        <f t="shared" si="84"/>
        <v>#DIV/0!</v>
      </c>
      <c r="Z241" s="24" t="str">
        <f t="shared" si="84"/>
        <v>#DIV/0!</v>
      </c>
      <c r="AA241" s="25"/>
      <c r="AB241" s="26">
        <f>SUM(AB236:AB239)/4</f>
        <v>0.6195652174</v>
      </c>
      <c r="AC241" s="2"/>
    </row>
    <row r="242">
      <c r="A242" s="27" t="s">
        <v>44</v>
      </c>
      <c r="B242" s="60"/>
      <c r="C242" s="61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30">
        <f t="shared" ref="AA242:AA244" si="85">SUM(B242:Z242)</f>
        <v>0</v>
      </c>
      <c r="AB242" s="31"/>
      <c r="AC242" s="2"/>
    </row>
    <row r="243">
      <c r="A243" s="32" t="s">
        <v>45</v>
      </c>
      <c r="B243" s="62"/>
      <c r="C243" s="62"/>
      <c r="D243" s="62"/>
      <c r="E243" s="62"/>
      <c r="F243" s="62"/>
      <c r="G243" s="128">
        <v>3.0</v>
      </c>
      <c r="H243" s="62"/>
      <c r="I243" s="62"/>
      <c r="J243" s="62"/>
      <c r="K243" s="128">
        <v>5.0</v>
      </c>
      <c r="L243" s="128">
        <v>4.0</v>
      </c>
      <c r="M243" s="128">
        <v>5.0</v>
      </c>
      <c r="N243" s="62"/>
      <c r="O243" s="62"/>
      <c r="P243" s="62"/>
      <c r="Q243" s="128">
        <v>2.0</v>
      </c>
      <c r="R243" s="62"/>
      <c r="S243" s="62"/>
      <c r="T243" s="128">
        <v>3.0</v>
      </c>
      <c r="U243" s="128">
        <v>2.0</v>
      </c>
      <c r="V243" s="60"/>
      <c r="W243" s="60"/>
      <c r="X243" s="60"/>
      <c r="Y243" s="60"/>
      <c r="Z243" s="60"/>
      <c r="AA243" s="30">
        <f t="shared" si="85"/>
        <v>24</v>
      </c>
      <c r="AB243" s="31"/>
      <c r="AC243" s="9"/>
    </row>
    <row r="244">
      <c r="A244" s="34" t="s">
        <v>46</v>
      </c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0"/>
      <c r="W244" s="60"/>
      <c r="X244" s="60"/>
      <c r="Y244" s="60"/>
      <c r="Z244" s="60"/>
      <c r="AA244" s="30">
        <f t="shared" si="85"/>
        <v>0</v>
      </c>
      <c r="AB244" s="31"/>
      <c r="AC244" s="9"/>
    </row>
    <row r="245">
      <c r="A245" s="35" t="s">
        <v>47</v>
      </c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7"/>
      <c r="AA245" s="38"/>
      <c r="AB245" s="39"/>
      <c r="AC245" s="2"/>
    </row>
    <row r="246">
      <c r="A246" s="40" t="s">
        <v>48</v>
      </c>
      <c r="B246" s="63"/>
      <c r="C246" s="64"/>
      <c r="D246" s="63"/>
      <c r="E246" s="63"/>
      <c r="F246" s="63"/>
      <c r="G246" s="65">
        <v>1.0</v>
      </c>
      <c r="H246" s="63"/>
      <c r="I246" s="63"/>
      <c r="J246" s="63"/>
      <c r="K246" s="63"/>
      <c r="L246" s="63"/>
      <c r="M246" s="63"/>
      <c r="N246" s="63"/>
      <c r="O246" s="63"/>
      <c r="P246" s="63"/>
      <c r="Q246" s="65">
        <v>1.0</v>
      </c>
      <c r="R246" s="63"/>
      <c r="S246" s="63"/>
      <c r="T246" s="63"/>
      <c r="U246" s="63"/>
      <c r="V246" s="66"/>
      <c r="W246" s="66"/>
      <c r="X246" s="66"/>
      <c r="Y246" s="66"/>
      <c r="Z246" s="66"/>
      <c r="AA246" s="44">
        <f t="shared" ref="AA246:AA247" si="86">SUM(B246:Z246)</f>
        <v>2</v>
      </c>
      <c r="AB246" s="31"/>
      <c r="AC246" s="2"/>
    </row>
    <row r="247">
      <c r="A247" s="40" t="s">
        <v>49</v>
      </c>
      <c r="B247" s="63"/>
      <c r="C247" s="64"/>
      <c r="D247" s="63"/>
      <c r="E247" s="63"/>
      <c r="F247" s="63"/>
      <c r="G247" s="65">
        <v>20.0</v>
      </c>
      <c r="H247" s="65">
        <v>20.0</v>
      </c>
      <c r="I247" s="65">
        <v>20.0</v>
      </c>
      <c r="J247" s="65">
        <v>20.0</v>
      </c>
      <c r="K247" s="65">
        <v>20.0</v>
      </c>
      <c r="L247" s="65">
        <v>20.0</v>
      </c>
      <c r="M247" s="65">
        <v>15.0</v>
      </c>
      <c r="N247" s="63"/>
      <c r="O247" s="63"/>
      <c r="P247" s="63"/>
      <c r="Q247" s="65">
        <v>20.0</v>
      </c>
      <c r="R247" s="65">
        <v>20.0</v>
      </c>
      <c r="S247" s="65">
        <v>20.0</v>
      </c>
      <c r="T247" s="65">
        <v>20.0</v>
      </c>
      <c r="U247" s="65">
        <v>20.0</v>
      </c>
      <c r="V247" s="69">
        <v>20.0</v>
      </c>
      <c r="W247" s="69">
        <v>10.0</v>
      </c>
      <c r="X247" s="69">
        <v>10.0</v>
      </c>
      <c r="Y247" s="66"/>
      <c r="Z247" s="66"/>
      <c r="AA247" s="44">
        <f t="shared" si="86"/>
        <v>275</v>
      </c>
      <c r="AB247" s="31"/>
      <c r="AC247" s="2"/>
    </row>
    <row r="248">
      <c r="A248" s="40" t="s">
        <v>50</v>
      </c>
      <c r="B248" s="64"/>
      <c r="C248" s="64"/>
      <c r="D248" s="63"/>
      <c r="E248" s="63"/>
      <c r="F248" s="63"/>
      <c r="G248" s="65">
        <v>1.0</v>
      </c>
      <c r="H248" s="63"/>
      <c r="I248" s="63"/>
      <c r="J248" s="63"/>
      <c r="K248" s="63"/>
      <c r="L248" s="63"/>
      <c r="M248" s="63"/>
      <c r="N248" s="63"/>
      <c r="O248" s="63"/>
      <c r="P248" s="63"/>
      <c r="Q248" s="65">
        <v>1.0</v>
      </c>
      <c r="R248" s="63"/>
      <c r="S248" s="63"/>
      <c r="T248" s="63"/>
      <c r="U248" s="63"/>
      <c r="V248" s="66"/>
      <c r="W248" s="66"/>
      <c r="X248" s="66"/>
      <c r="Y248" s="66"/>
      <c r="Z248" s="66"/>
      <c r="AA248" s="44">
        <f>AVERAGE(B248:Z248)</f>
        <v>1</v>
      </c>
      <c r="AB248" s="31"/>
      <c r="AC248" s="2"/>
    </row>
    <row r="249">
      <c r="A249" s="45" t="s">
        <v>51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7"/>
      <c r="AA249" s="46"/>
      <c r="AB249" s="39"/>
      <c r="AC249" s="2"/>
    </row>
    <row r="250">
      <c r="A250" s="47" t="s">
        <v>48</v>
      </c>
      <c r="B250" s="48"/>
      <c r="C250" s="49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50"/>
      <c r="W250" s="50"/>
      <c r="X250" s="50"/>
      <c r="Y250" s="50"/>
      <c r="Z250" s="50"/>
      <c r="AA250" s="51">
        <f t="shared" ref="AA250:AA251" si="87">SUM(B250:Z250)</f>
        <v>0</v>
      </c>
      <c r="AB250" s="31"/>
      <c r="AC250" s="2"/>
    </row>
    <row r="251">
      <c r="A251" s="47" t="s">
        <v>49</v>
      </c>
      <c r="B251" s="48"/>
      <c r="C251" s="49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50"/>
      <c r="W251" s="50"/>
      <c r="X251" s="50"/>
      <c r="Y251" s="50"/>
      <c r="Z251" s="50"/>
      <c r="AA251" s="51">
        <f t="shared" si="87"/>
        <v>0</v>
      </c>
      <c r="AB251" s="31"/>
      <c r="AC251" s="2"/>
    </row>
    <row r="252">
      <c r="A252" s="47" t="s">
        <v>50</v>
      </c>
      <c r="B252" s="49"/>
      <c r="C252" s="49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50"/>
      <c r="W252" s="50"/>
      <c r="X252" s="50"/>
      <c r="Y252" s="50"/>
      <c r="Z252" s="50"/>
      <c r="AA252" s="51" t="str">
        <f>AVERAGE(B252:Z252)</f>
        <v>#DIV/0!</v>
      </c>
      <c r="AB252" s="31"/>
      <c r="AC252" s="2"/>
    </row>
    <row r="253">
      <c r="A253" s="52" t="s">
        <v>53</v>
      </c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7"/>
      <c r="AA253" s="38"/>
      <c r="AB253" s="39"/>
      <c r="AC253" s="2"/>
    </row>
    <row r="254">
      <c r="A254" s="40" t="s">
        <v>48</v>
      </c>
      <c r="B254" s="41"/>
      <c r="C254" s="42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3"/>
      <c r="W254" s="43"/>
      <c r="X254" s="43"/>
      <c r="Y254" s="43"/>
      <c r="Z254" s="43"/>
      <c r="AA254" s="44">
        <f t="shared" ref="AA254:AA255" si="88">SUM(B254:Z254)</f>
        <v>0</v>
      </c>
      <c r="AB254" s="31"/>
      <c r="AC254" s="2"/>
    </row>
    <row r="255">
      <c r="A255" s="40" t="s">
        <v>49</v>
      </c>
      <c r="B255" s="41"/>
      <c r="C255" s="42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3"/>
      <c r="W255" s="43"/>
      <c r="X255" s="43"/>
      <c r="Y255" s="43"/>
      <c r="Z255" s="43"/>
      <c r="AA255" s="44">
        <f t="shared" si="88"/>
        <v>0</v>
      </c>
      <c r="AB255" s="31"/>
      <c r="AC255" s="2"/>
    </row>
    <row r="256">
      <c r="A256" s="53" t="s">
        <v>50</v>
      </c>
      <c r="B256" s="54"/>
      <c r="C256" s="54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6"/>
      <c r="W256" s="56"/>
      <c r="X256" s="56"/>
      <c r="Y256" s="56"/>
      <c r="Z256" s="56"/>
      <c r="AA256" s="57" t="str">
        <f>AVERAGE(B256:Z256)</f>
        <v>#DIV/0!</v>
      </c>
      <c r="AB256" s="58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59"/>
      <c r="AB257" s="59"/>
      <c r="AC257" s="2"/>
    </row>
    <row r="258">
      <c r="A258" s="13">
        <v>46007.0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5" t="s">
        <v>37</v>
      </c>
      <c r="AB258" s="16" t="s">
        <v>38</v>
      </c>
      <c r="AC258" s="2"/>
    </row>
    <row r="259">
      <c r="A259" s="17" t="s">
        <v>39</v>
      </c>
      <c r="B259" s="19">
        <v>1.0</v>
      </c>
      <c r="C259" s="19">
        <v>1.0</v>
      </c>
      <c r="D259" s="19">
        <v>1.0</v>
      </c>
      <c r="E259" s="19">
        <v>1.0</v>
      </c>
      <c r="F259" s="19">
        <v>1.0</v>
      </c>
      <c r="G259" s="19">
        <v>0.0</v>
      </c>
      <c r="H259" s="19">
        <v>0.0</v>
      </c>
      <c r="I259" s="19">
        <v>0.0</v>
      </c>
      <c r="J259" s="19">
        <v>0.0</v>
      </c>
      <c r="K259" s="19">
        <v>0.0</v>
      </c>
      <c r="L259" s="19">
        <v>0.0</v>
      </c>
      <c r="M259" s="19">
        <v>0.0</v>
      </c>
      <c r="N259" s="19">
        <v>0.0</v>
      </c>
      <c r="O259" s="19">
        <v>1.0</v>
      </c>
      <c r="P259" s="19">
        <v>1.0</v>
      </c>
      <c r="Q259" s="19">
        <v>0.0</v>
      </c>
      <c r="R259" s="19">
        <v>0.0</v>
      </c>
      <c r="S259" s="19">
        <v>0.0</v>
      </c>
      <c r="T259" s="19">
        <v>0.0</v>
      </c>
      <c r="U259" s="19">
        <v>0.0</v>
      </c>
      <c r="V259" s="19">
        <v>0.0</v>
      </c>
      <c r="W259" s="19">
        <v>0.0</v>
      </c>
      <c r="X259" s="19">
        <v>0.0</v>
      </c>
      <c r="Y259" s="19">
        <v>0.0</v>
      </c>
      <c r="Z259" s="18"/>
      <c r="AA259" s="20">
        <f t="shared" ref="AA259:AA263" si="89">SUM(B259:Z259)</f>
        <v>7</v>
      </c>
      <c r="AB259" s="21">
        <f t="shared" ref="AB259:AB262" si="90">AA259/(COUNT(B259:Z259)*1)</f>
        <v>0.2916666667</v>
      </c>
      <c r="AC259" s="2"/>
    </row>
    <row r="260">
      <c r="A260" s="17" t="s">
        <v>40</v>
      </c>
      <c r="B260" s="19">
        <v>1.0</v>
      </c>
      <c r="C260" s="19">
        <v>1.0</v>
      </c>
      <c r="D260" s="19">
        <v>1.0</v>
      </c>
      <c r="E260" s="19">
        <v>1.0</v>
      </c>
      <c r="F260" s="19">
        <v>1.0</v>
      </c>
      <c r="G260" s="19">
        <v>1.0</v>
      </c>
      <c r="H260" s="19">
        <v>1.0</v>
      </c>
      <c r="I260" s="19">
        <v>1.0</v>
      </c>
      <c r="J260" s="19">
        <v>1.0</v>
      </c>
      <c r="K260" s="19">
        <v>1.0</v>
      </c>
      <c r="L260" s="19">
        <v>1.0</v>
      </c>
      <c r="M260" s="19">
        <v>1.0</v>
      </c>
      <c r="N260" s="19">
        <v>1.0</v>
      </c>
      <c r="O260" s="19">
        <v>1.0</v>
      </c>
      <c r="P260" s="19">
        <v>1.0</v>
      </c>
      <c r="Q260" s="19">
        <v>0.0</v>
      </c>
      <c r="R260" s="19">
        <v>0.0</v>
      </c>
      <c r="S260" s="19">
        <v>0.0</v>
      </c>
      <c r="T260" s="19">
        <v>0.0</v>
      </c>
      <c r="U260" s="19">
        <v>0.0</v>
      </c>
      <c r="V260" s="19">
        <v>0.0</v>
      </c>
      <c r="W260" s="19">
        <v>0.0</v>
      </c>
      <c r="X260" s="19">
        <v>0.0</v>
      </c>
      <c r="Y260" s="19">
        <v>0.0</v>
      </c>
      <c r="Z260" s="18"/>
      <c r="AA260" s="20">
        <f t="shared" si="89"/>
        <v>15</v>
      </c>
      <c r="AB260" s="21">
        <f t="shared" si="90"/>
        <v>0.625</v>
      </c>
      <c r="AC260" s="2"/>
    </row>
    <row r="261">
      <c r="A261" s="17" t="s">
        <v>41</v>
      </c>
      <c r="B261" s="19">
        <v>1.0</v>
      </c>
      <c r="C261" s="19">
        <v>1.0</v>
      </c>
      <c r="D261" s="19">
        <v>1.0</v>
      </c>
      <c r="E261" s="19">
        <v>1.0</v>
      </c>
      <c r="F261" s="19">
        <v>1.0</v>
      </c>
      <c r="G261" s="19">
        <v>1.0</v>
      </c>
      <c r="H261" s="19">
        <v>1.0</v>
      </c>
      <c r="I261" s="19">
        <v>1.0</v>
      </c>
      <c r="J261" s="19">
        <v>1.0</v>
      </c>
      <c r="K261" s="19">
        <v>1.0</v>
      </c>
      <c r="L261" s="19">
        <v>1.0</v>
      </c>
      <c r="M261" s="19">
        <v>1.0</v>
      </c>
      <c r="N261" s="19">
        <v>1.0</v>
      </c>
      <c r="O261" s="19">
        <v>1.0</v>
      </c>
      <c r="P261" s="19">
        <v>1.0</v>
      </c>
      <c r="Q261" s="19">
        <v>0.0</v>
      </c>
      <c r="R261" s="19">
        <v>0.0</v>
      </c>
      <c r="S261" s="19">
        <v>0.0</v>
      </c>
      <c r="T261" s="19">
        <v>0.0</v>
      </c>
      <c r="U261" s="19">
        <v>0.0</v>
      </c>
      <c r="V261" s="19">
        <v>0.0</v>
      </c>
      <c r="W261" s="19">
        <v>0.0</v>
      </c>
      <c r="X261" s="19">
        <v>0.0</v>
      </c>
      <c r="Y261" s="19">
        <v>0.0</v>
      </c>
      <c r="Z261" s="18"/>
      <c r="AA261" s="20">
        <f t="shared" si="89"/>
        <v>15</v>
      </c>
      <c r="AB261" s="21">
        <f t="shared" si="90"/>
        <v>0.625</v>
      </c>
      <c r="AC261" s="2"/>
    </row>
    <row r="262">
      <c r="A262" s="17" t="s">
        <v>42</v>
      </c>
      <c r="B262" s="19">
        <v>1.0</v>
      </c>
      <c r="C262" s="19">
        <v>1.0</v>
      </c>
      <c r="D262" s="19">
        <v>1.0</v>
      </c>
      <c r="E262" s="19">
        <v>1.0</v>
      </c>
      <c r="F262" s="19">
        <v>1.0</v>
      </c>
      <c r="G262" s="19">
        <v>0.0</v>
      </c>
      <c r="H262" s="19">
        <v>0.0</v>
      </c>
      <c r="I262" s="19">
        <v>0.0</v>
      </c>
      <c r="J262" s="19">
        <v>0.0</v>
      </c>
      <c r="K262" s="19">
        <v>0.0</v>
      </c>
      <c r="L262" s="19">
        <v>0.0</v>
      </c>
      <c r="M262" s="19">
        <v>0.0</v>
      </c>
      <c r="N262" s="19">
        <v>0.0</v>
      </c>
      <c r="O262" s="19">
        <v>1.0</v>
      </c>
      <c r="P262" s="19">
        <v>1.0</v>
      </c>
      <c r="Q262" s="19">
        <v>0.0</v>
      </c>
      <c r="R262" s="19">
        <v>0.0</v>
      </c>
      <c r="S262" s="19">
        <v>0.0</v>
      </c>
      <c r="T262" s="19">
        <v>0.0</v>
      </c>
      <c r="U262" s="19">
        <v>0.0</v>
      </c>
      <c r="V262" s="19">
        <v>0.0</v>
      </c>
      <c r="W262" s="19">
        <v>0.0</v>
      </c>
      <c r="X262" s="19">
        <v>0.0</v>
      </c>
      <c r="Y262" s="19">
        <v>0.0</v>
      </c>
      <c r="Z262" s="18"/>
      <c r="AA262" s="20">
        <f t="shared" si="89"/>
        <v>7</v>
      </c>
      <c r="AB262" s="21">
        <f t="shared" si="90"/>
        <v>0.2916666667</v>
      </c>
      <c r="AC262" s="2"/>
    </row>
    <row r="263">
      <c r="A263" s="17" t="s">
        <v>43</v>
      </c>
      <c r="B263" s="22">
        <f t="shared" ref="B263:Z263" si="91">SUM(B259:B262)</f>
        <v>4</v>
      </c>
      <c r="C263" s="22">
        <f t="shared" si="91"/>
        <v>4</v>
      </c>
      <c r="D263" s="22">
        <f t="shared" si="91"/>
        <v>4</v>
      </c>
      <c r="E263" s="22">
        <f t="shared" si="91"/>
        <v>4</v>
      </c>
      <c r="F263" s="22">
        <f t="shared" si="91"/>
        <v>4</v>
      </c>
      <c r="G263" s="22">
        <f t="shared" si="91"/>
        <v>2</v>
      </c>
      <c r="H263" s="22">
        <f t="shared" si="91"/>
        <v>2</v>
      </c>
      <c r="I263" s="22">
        <f t="shared" si="91"/>
        <v>2</v>
      </c>
      <c r="J263" s="22">
        <f t="shared" si="91"/>
        <v>2</v>
      </c>
      <c r="K263" s="22">
        <f t="shared" si="91"/>
        <v>2</v>
      </c>
      <c r="L263" s="22">
        <f t="shared" si="91"/>
        <v>2</v>
      </c>
      <c r="M263" s="22">
        <f t="shared" si="91"/>
        <v>2</v>
      </c>
      <c r="N263" s="22">
        <f t="shared" si="91"/>
        <v>2</v>
      </c>
      <c r="O263" s="22">
        <f t="shared" si="91"/>
        <v>4</v>
      </c>
      <c r="P263" s="22">
        <f t="shared" si="91"/>
        <v>4</v>
      </c>
      <c r="Q263" s="22">
        <f t="shared" si="91"/>
        <v>0</v>
      </c>
      <c r="R263" s="22">
        <f t="shared" si="91"/>
        <v>0</v>
      </c>
      <c r="S263" s="22">
        <f t="shared" si="91"/>
        <v>0</v>
      </c>
      <c r="T263" s="22">
        <f t="shared" si="91"/>
        <v>0</v>
      </c>
      <c r="U263" s="22">
        <f t="shared" si="91"/>
        <v>0</v>
      </c>
      <c r="V263" s="22">
        <f t="shared" si="91"/>
        <v>0</v>
      </c>
      <c r="W263" s="22">
        <f t="shared" si="91"/>
        <v>0</v>
      </c>
      <c r="X263" s="22">
        <f t="shared" si="91"/>
        <v>0</v>
      </c>
      <c r="Y263" s="22">
        <f t="shared" si="91"/>
        <v>0</v>
      </c>
      <c r="Z263" s="22">
        <f t="shared" si="91"/>
        <v>0</v>
      </c>
      <c r="AA263" s="20">
        <f t="shared" si="89"/>
        <v>44</v>
      </c>
      <c r="AB263" s="23"/>
      <c r="AC263" s="2"/>
    </row>
    <row r="264">
      <c r="A264" s="17" t="s">
        <v>38</v>
      </c>
      <c r="B264" s="24">
        <f t="shared" ref="B264:Z264" si="92">B263/(COUNT(B259:B262)*1)</f>
        <v>1</v>
      </c>
      <c r="C264" s="24">
        <f t="shared" si="92"/>
        <v>1</v>
      </c>
      <c r="D264" s="24">
        <f t="shared" si="92"/>
        <v>1</v>
      </c>
      <c r="E264" s="24">
        <f t="shared" si="92"/>
        <v>1</v>
      </c>
      <c r="F264" s="24">
        <f t="shared" si="92"/>
        <v>1</v>
      </c>
      <c r="G264" s="24">
        <f t="shared" si="92"/>
        <v>0.5</v>
      </c>
      <c r="H264" s="24">
        <f t="shared" si="92"/>
        <v>0.5</v>
      </c>
      <c r="I264" s="24">
        <f t="shared" si="92"/>
        <v>0.5</v>
      </c>
      <c r="J264" s="24">
        <f t="shared" si="92"/>
        <v>0.5</v>
      </c>
      <c r="K264" s="24">
        <f t="shared" si="92"/>
        <v>0.5</v>
      </c>
      <c r="L264" s="24">
        <f t="shared" si="92"/>
        <v>0.5</v>
      </c>
      <c r="M264" s="24">
        <f t="shared" si="92"/>
        <v>0.5</v>
      </c>
      <c r="N264" s="24">
        <f t="shared" si="92"/>
        <v>0.5</v>
      </c>
      <c r="O264" s="24">
        <f t="shared" si="92"/>
        <v>1</v>
      </c>
      <c r="P264" s="24">
        <f t="shared" si="92"/>
        <v>1</v>
      </c>
      <c r="Q264" s="24">
        <f t="shared" si="92"/>
        <v>0</v>
      </c>
      <c r="R264" s="24">
        <f t="shared" si="92"/>
        <v>0</v>
      </c>
      <c r="S264" s="24">
        <f t="shared" si="92"/>
        <v>0</v>
      </c>
      <c r="T264" s="24">
        <f t="shared" si="92"/>
        <v>0</v>
      </c>
      <c r="U264" s="24">
        <f t="shared" si="92"/>
        <v>0</v>
      </c>
      <c r="V264" s="24">
        <f t="shared" si="92"/>
        <v>0</v>
      </c>
      <c r="W264" s="24">
        <f t="shared" si="92"/>
        <v>0</v>
      </c>
      <c r="X264" s="24">
        <f t="shared" si="92"/>
        <v>0</v>
      </c>
      <c r="Y264" s="24">
        <f t="shared" si="92"/>
        <v>0</v>
      </c>
      <c r="Z264" s="24" t="str">
        <f t="shared" si="92"/>
        <v>#DIV/0!</v>
      </c>
      <c r="AA264" s="25"/>
      <c r="AB264" s="26">
        <f>SUM(AB259:AB262)/4</f>
        <v>0.4583333333</v>
      </c>
      <c r="AC264" s="2"/>
    </row>
    <row r="265">
      <c r="A265" s="27" t="s">
        <v>44</v>
      </c>
      <c r="B265" s="60"/>
      <c r="C265" s="61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30">
        <f t="shared" ref="AA265:AA267" si="93">SUM(B265:Z265)</f>
        <v>0</v>
      </c>
      <c r="AB265" s="31"/>
      <c r="AC265" s="2"/>
    </row>
    <row r="266">
      <c r="A266" s="32" t="s">
        <v>45</v>
      </c>
      <c r="B266" s="62"/>
      <c r="C266" s="62"/>
      <c r="D266" s="62"/>
      <c r="E266" s="62"/>
      <c r="F266" s="62"/>
      <c r="G266" s="128">
        <v>1.0</v>
      </c>
      <c r="H266" s="128">
        <v>1.0</v>
      </c>
      <c r="I266" s="62"/>
      <c r="J266" s="62"/>
      <c r="K266" s="62"/>
      <c r="L266" s="62"/>
      <c r="M266" s="62"/>
      <c r="N266" s="62"/>
      <c r="O266" s="62"/>
      <c r="P266" s="62"/>
      <c r="Q266" s="128">
        <v>1.0</v>
      </c>
      <c r="R266" s="128">
        <v>1.0</v>
      </c>
      <c r="S266" s="128">
        <v>1.0</v>
      </c>
      <c r="T266" s="128">
        <v>1.0</v>
      </c>
      <c r="U266" s="128">
        <v>1.0</v>
      </c>
      <c r="V266" s="68">
        <v>1.0</v>
      </c>
      <c r="W266" s="68">
        <v>1.0</v>
      </c>
      <c r="X266" s="68">
        <v>1.0</v>
      </c>
      <c r="Y266" s="68">
        <v>1.0</v>
      </c>
      <c r="Z266" s="60"/>
      <c r="AA266" s="30">
        <f t="shared" si="93"/>
        <v>11</v>
      </c>
      <c r="AB266" s="31"/>
      <c r="AC266" s="9"/>
    </row>
    <row r="267">
      <c r="A267" s="34" t="s">
        <v>46</v>
      </c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0"/>
      <c r="W267" s="60"/>
      <c r="X267" s="60"/>
      <c r="Y267" s="60"/>
      <c r="Z267" s="60"/>
      <c r="AA267" s="30">
        <f t="shared" si="93"/>
        <v>0</v>
      </c>
      <c r="AB267" s="31"/>
      <c r="AC267" s="9"/>
    </row>
    <row r="268">
      <c r="A268" s="35" t="s">
        <v>47</v>
      </c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7"/>
      <c r="AA268" s="38"/>
      <c r="AB268" s="39"/>
      <c r="AC268" s="2"/>
    </row>
    <row r="269">
      <c r="A269" s="40" t="s">
        <v>48</v>
      </c>
      <c r="B269" s="63"/>
      <c r="C269" s="64"/>
      <c r="D269" s="63"/>
      <c r="E269" s="63"/>
      <c r="F269" s="63"/>
      <c r="G269" s="65">
        <v>1.0</v>
      </c>
      <c r="H269" s="63"/>
      <c r="I269" s="63"/>
      <c r="J269" s="63"/>
      <c r="K269" s="63"/>
      <c r="L269" s="63"/>
      <c r="M269" s="63"/>
      <c r="N269" s="63"/>
      <c r="O269" s="63"/>
      <c r="P269" s="63"/>
      <c r="Q269" s="65">
        <v>1.0</v>
      </c>
      <c r="R269" s="63"/>
      <c r="S269" s="63"/>
      <c r="T269" s="63"/>
      <c r="U269" s="63"/>
      <c r="V269" s="66"/>
      <c r="W269" s="66"/>
      <c r="X269" s="66"/>
      <c r="Y269" s="66"/>
      <c r="Z269" s="66"/>
      <c r="AA269" s="44">
        <f t="shared" ref="AA269:AA270" si="94">SUM(B269:Z269)</f>
        <v>2</v>
      </c>
      <c r="AB269" s="31"/>
      <c r="AC269" s="2"/>
    </row>
    <row r="270">
      <c r="A270" s="40" t="s">
        <v>49</v>
      </c>
      <c r="B270" s="63"/>
      <c r="C270" s="64"/>
      <c r="D270" s="63"/>
      <c r="E270" s="63"/>
      <c r="F270" s="63"/>
      <c r="G270" s="65">
        <v>20.0</v>
      </c>
      <c r="H270" s="65">
        <v>20.0</v>
      </c>
      <c r="I270" s="63"/>
      <c r="J270" s="63"/>
      <c r="K270" s="63"/>
      <c r="L270" s="63"/>
      <c r="M270" s="63"/>
      <c r="N270" s="63"/>
      <c r="O270" s="63"/>
      <c r="P270" s="63"/>
      <c r="Q270" s="65">
        <v>20.0</v>
      </c>
      <c r="R270" s="65">
        <v>20.0</v>
      </c>
      <c r="S270" s="65">
        <v>20.0</v>
      </c>
      <c r="T270" s="65">
        <v>20.0</v>
      </c>
      <c r="U270" s="65">
        <v>20.0</v>
      </c>
      <c r="V270" s="69">
        <v>20.0</v>
      </c>
      <c r="W270" s="69">
        <v>10.0</v>
      </c>
      <c r="X270" s="69">
        <v>10.0</v>
      </c>
      <c r="Y270" s="69">
        <v>10.0</v>
      </c>
      <c r="Z270" s="66"/>
      <c r="AA270" s="44">
        <f t="shared" si="94"/>
        <v>190</v>
      </c>
      <c r="AB270" s="31"/>
      <c r="AC270" s="2"/>
    </row>
    <row r="271">
      <c r="A271" s="40" t="s">
        <v>50</v>
      </c>
      <c r="B271" s="64"/>
      <c r="C271" s="64"/>
      <c r="D271" s="63"/>
      <c r="E271" s="63"/>
      <c r="F271" s="63"/>
      <c r="G271" s="65">
        <v>1.0</v>
      </c>
      <c r="H271" s="63"/>
      <c r="I271" s="63"/>
      <c r="J271" s="63"/>
      <c r="K271" s="63"/>
      <c r="L271" s="63"/>
      <c r="M271" s="63"/>
      <c r="N271" s="63"/>
      <c r="O271" s="63"/>
      <c r="P271" s="63"/>
      <c r="Q271" s="65">
        <v>1.0</v>
      </c>
      <c r="R271" s="63"/>
      <c r="S271" s="63"/>
      <c r="T271" s="63"/>
      <c r="U271" s="63"/>
      <c r="V271" s="66"/>
      <c r="W271" s="66"/>
      <c r="X271" s="66"/>
      <c r="Y271" s="66"/>
      <c r="Z271" s="66"/>
      <c r="AA271" s="44">
        <f>AVERAGE(B271:Z271)</f>
        <v>1</v>
      </c>
      <c r="AB271" s="31"/>
      <c r="AC271" s="2"/>
    </row>
    <row r="272">
      <c r="A272" s="45" t="s">
        <v>51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7"/>
      <c r="AA272" s="46"/>
      <c r="AB272" s="39"/>
      <c r="AC272" s="2"/>
    </row>
    <row r="273">
      <c r="A273" s="47" t="s">
        <v>48</v>
      </c>
      <c r="B273" s="48"/>
      <c r="C273" s="49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50"/>
      <c r="W273" s="50"/>
      <c r="X273" s="50"/>
      <c r="Y273" s="50"/>
      <c r="Z273" s="50"/>
      <c r="AA273" s="51">
        <f t="shared" ref="AA273:AA274" si="95">SUM(B273:Z273)</f>
        <v>0</v>
      </c>
      <c r="AB273" s="31"/>
      <c r="AC273" s="2"/>
    </row>
    <row r="274">
      <c r="A274" s="47" t="s">
        <v>49</v>
      </c>
      <c r="B274" s="48"/>
      <c r="C274" s="49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50"/>
      <c r="W274" s="50"/>
      <c r="X274" s="50"/>
      <c r="Y274" s="50"/>
      <c r="Z274" s="50"/>
      <c r="AA274" s="51">
        <f t="shared" si="95"/>
        <v>0</v>
      </c>
      <c r="AB274" s="31"/>
      <c r="AC274" s="2"/>
    </row>
    <row r="275">
      <c r="A275" s="47" t="s">
        <v>50</v>
      </c>
      <c r="B275" s="49"/>
      <c r="C275" s="49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50"/>
      <c r="W275" s="50"/>
      <c r="X275" s="50"/>
      <c r="Y275" s="50"/>
      <c r="Z275" s="50"/>
      <c r="AA275" s="51" t="str">
        <f>AVERAGE(B275:Z275)</f>
        <v>#DIV/0!</v>
      </c>
      <c r="AB275" s="31"/>
      <c r="AC275" s="2"/>
    </row>
    <row r="276">
      <c r="A276" s="52" t="s">
        <v>53</v>
      </c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7"/>
      <c r="AA276" s="38"/>
      <c r="AB276" s="39"/>
      <c r="AC276" s="2"/>
    </row>
    <row r="277">
      <c r="A277" s="40" t="s">
        <v>48</v>
      </c>
      <c r="B277" s="41"/>
      <c r="C277" s="42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3"/>
      <c r="W277" s="43"/>
      <c r="X277" s="43"/>
      <c r="Y277" s="43"/>
      <c r="Z277" s="43"/>
      <c r="AA277" s="44">
        <f t="shared" ref="AA277:AA278" si="96">SUM(B277:Z277)</f>
        <v>0</v>
      </c>
      <c r="AB277" s="31"/>
      <c r="AC277" s="2"/>
    </row>
    <row r="278">
      <c r="A278" s="40" t="s">
        <v>49</v>
      </c>
      <c r="B278" s="41"/>
      <c r="C278" s="42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3"/>
      <c r="W278" s="43"/>
      <c r="X278" s="43"/>
      <c r="Y278" s="43"/>
      <c r="Z278" s="43"/>
      <c r="AA278" s="44">
        <f t="shared" si="96"/>
        <v>0</v>
      </c>
      <c r="AB278" s="31"/>
      <c r="AC278" s="2"/>
    </row>
    <row r="279">
      <c r="A279" s="53" t="s">
        <v>50</v>
      </c>
      <c r="B279" s="54"/>
      <c r="C279" s="54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6"/>
      <c r="W279" s="56"/>
      <c r="X279" s="56"/>
      <c r="Y279" s="56"/>
      <c r="Z279" s="56"/>
      <c r="AA279" s="57" t="str">
        <f>AVERAGE(B279:Z279)</f>
        <v>#DIV/0!</v>
      </c>
      <c r="AB279" s="58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59"/>
      <c r="AB280" s="59"/>
      <c r="AC280" s="2"/>
    </row>
    <row r="281">
      <c r="A281" s="13">
        <v>46008.0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5" t="s">
        <v>37</v>
      </c>
      <c r="AB281" s="16" t="s">
        <v>38</v>
      </c>
      <c r="AC281" s="2"/>
    </row>
    <row r="282">
      <c r="A282" s="17" t="s">
        <v>39</v>
      </c>
      <c r="B282" s="19">
        <v>1.0</v>
      </c>
      <c r="C282" s="19">
        <v>1.0</v>
      </c>
      <c r="D282" s="19">
        <v>0.0</v>
      </c>
      <c r="E282" s="19">
        <v>0.0</v>
      </c>
      <c r="F282" s="19">
        <v>0.0</v>
      </c>
      <c r="G282" s="19">
        <v>0.0</v>
      </c>
      <c r="H282" s="19">
        <v>0.0</v>
      </c>
      <c r="I282" s="19">
        <v>1.0</v>
      </c>
      <c r="J282" s="19">
        <v>0.0</v>
      </c>
      <c r="K282" s="19">
        <v>0.0</v>
      </c>
      <c r="L282" s="19">
        <v>0.0</v>
      </c>
      <c r="M282" s="19">
        <v>1.0</v>
      </c>
      <c r="N282" s="19">
        <v>1.0</v>
      </c>
      <c r="O282" s="19">
        <v>1.0</v>
      </c>
      <c r="P282" s="19">
        <v>1.0</v>
      </c>
      <c r="Q282" s="19">
        <v>1.0</v>
      </c>
      <c r="R282" s="19">
        <v>1.0</v>
      </c>
      <c r="S282" s="19">
        <v>1.0</v>
      </c>
      <c r="T282" s="19">
        <v>0.0</v>
      </c>
      <c r="U282" s="19">
        <v>1.0</v>
      </c>
      <c r="V282" s="19">
        <v>1.0</v>
      </c>
      <c r="W282" s="19">
        <v>1.0</v>
      </c>
      <c r="X282" s="19">
        <v>1.0</v>
      </c>
      <c r="Y282" s="18"/>
      <c r="Z282" s="18"/>
      <c r="AA282" s="20">
        <f t="shared" ref="AA282:AA286" si="97">SUM(B282:Z282)</f>
        <v>14</v>
      </c>
      <c r="AB282" s="21">
        <f t="shared" ref="AB282:AB285" si="98">AA282/(COUNT(B282:Z282)*1)</f>
        <v>0.6086956522</v>
      </c>
      <c r="AC282" s="2"/>
    </row>
    <row r="283">
      <c r="A283" s="17" t="s">
        <v>40</v>
      </c>
      <c r="B283" s="19">
        <v>1.0</v>
      </c>
      <c r="C283" s="19">
        <v>1.0</v>
      </c>
      <c r="D283" s="19">
        <v>1.0</v>
      </c>
      <c r="E283" s="19">
        <v>1.0</v>
      </c>
      <c r="F283" s="19">
        <v>1.0</v>
      </c>
      <c r="G283" s="19">
        <v>1.0</v>
      </c>
      <c r="H283" s="19">
        <v>1.0</v>
      </c>
      <c r="I283" s="19">
        <v>1.0</v>
      </c>
      <c r="J283" s="19">
        <v>1.0</v>
      </c>
      <c r="K283" s="19">
        <v>1.0</v>
      </c>
      <c r="L283" s="19">
        <v>1.0</v>
      </c>
      <c r="M283" s="19">
        <v>1.0</v>
      </c>
      <c r="N283" s="19">
        <v>1.0</v>
      </c>
      <c r="O283" s="19">
        <v>1.0</v>
      </c>
      <c r="P283" s="19">
        <v>1.0</v>
      </c>
      <c r="Q283" s="19">
        <v>1.0</v>
      </c>
      <c r="R283" s="19">
        <v>1.0</v>
      </c>
      <c r="S283" s="19">
        <v>1.0</v>
      </c>
      <c r="T283" s="19">
        <v>0.0</v>
      </c>
      <c r="U283" s="19">
        <v>0.0</v>
      </c>
      <c r="V283" s="19">
        <v>0.0</v>
      </c>
      <c r="W283" s="19">
        <v>0.0</v>
      </c>
      <c r="X283" s="19">
        <v>0.0</v>
      </c>
      <c r="Y283" s="18"/>
      <c r="Z283" s="18"/>
      <c r="AA283" s="20">
        <f t="shared" si="97"/>
        <v>18</v>
      </c>
      <c r="AB283" s="21">
        <f t="shared" si="98"/>
        <v>0.7826086957</v>
      </c>
      <c r="AC283" s="2"/>
    </row>
    <row r="284">
      <c r="A284" s="17" t="s">
        <v>41</v>
      </c>
      <c r="B284" s="19">
        <v>1.0</v>
      </c>
      <c r="C284" s="19">
        <v>1.0</v>
      </c>
      <c r="D284" s="19">
        <v>1.0</v>
      </c>
      <c r="E284" s="19">
        <v>1.0</v>
      </c>
      <c r="F284" s="19">
        <v>1.0</v>
      </c>
      <c r="G284" s="19">
        <v>1.0</v>
      </c>
      <c r="H284" s="19">
        <v>1.0</v>
      </c>
      <c r="I284" s="19">
        <v>1.0</v>
      </c>
      <c r="J284" s="19">
        <v>1.0</v>
      </c>
      <c r="K284" s="19">
        <v>1.0</v>
      </c>
      <c r="L284" s="19">
        <v>1.0</v>
      </c>
      <c r="M284" s="19">
        <v>1.0</v>
      </c>
      <c r="N284" s="19">
        <v>1.0</v>
      </c>
      <c r="O284" s="19">
        <v>1.0</v>
      </c>
      <c r="P284" s="19">
        <v>1.0</v>
      </c>
      <c r="Q284" s="19">
        <v>0.0</v>
      </c>
      <c r="R284" s="19">
        <v>0.0</v>
      </c>
      <c r="S284" s="19">
        <v>0.0</v>
      </c>
      <c r="T284" s="19">
        <v>0.0</v>
      </c>
      <c r="U284" s="19">
        <v>1.0</v>
      </c>
      <c r="V284" s="19">
        <v>1.0</v>
      </c>
      <c r="W284" s="19">
        <v>1.0</v>
      </c>
      <c r="X284" s="19">
        <v>1.0</v>
      </c>
      <c r="Y284" s="18"/>
      <c r="Z284" s="18"/>
      <c r="AA284" s="20">
        <f t="shared" si="97"/>
        <v>19</v>
      </c>
      <c r="AB284" s="21">
        <f t="shared" si="98"/>
        <v>0.8260869565</v>
      </c>
      <c r="AC284" s="2"/>
    </row>
    <row r="285">
      <c r="A285" s="17" t="s">
        <v>42</v>
      </c>
      <c r="B285" s="19">
        <v>1.0</v>
      </c>
      <c r="C285" s="19">
        <v>1.0</v>
      </c>
      <c r="D285" s="19">
        <v>1.0</v>
      </c>
      <c r="E285" s="19">
        <v>1.0</v>
      </c>
      <c r="F285" s="19">
        <v>1.0</v>
      </c>
      <c r="G285" s="19">
        <v>1.0</v>
      </c>
      <c r="H285" s="19">
        <v>1.0</v>
      </c>
      <c r="I285" s="19">
        <v>1.0</v>
      </c>
      <c r="J285" s="19">
        <v>1.0</v>
      </c>
      <c r="K285" s="19">
        <v>1.0</v>
      </c>
      <c r="L285" s="19">
        <v>1.0</v>
      </c>
      <c r="M285" s="19">
        <v>1.0</v>
      </c>
      <c r="N285" s="19">
        <v>1.0</v>
      </c>
      <c r="O285" s="19">
        <v>1.0</v>
      </c>
      <c r="P285" s="19">
        <v>1.0</v>
      </c>
      <c r="Q285" s="19">
        <v>1.0</v>
      </c>
      <c r="R285" s="19">
        <v>1.0</v>
      </c>
      <c r="S285" s="19">
        <v>1.0</v>
      </c>
      <c r="T285" s="19">
        <v>1.0</v>
      </c>
      <c r="U285" s="19">
        <v>12.0</v>
      </c>
      <c r="V285" s="19">
        <v>1.0</v>
      </c>
      <c r="W285" s="19">
        <v>1.0</v>
      </c>
      <c r="X285" s="19">
        <v>1.0</v>
      </c>
      <c r="Y285" s="18"/>
      <c r="Z285" s="18"/>
      <c r="AA285" s="20">
        <f t="shared" si="97"/>
        <v>34</v>
      </c>
      <c r="AB285" s="21">
        <f t="shared" si="98"/>
        <v>1.47826087</v>
      </c>
      <c r="AC285" s="2"/>
    </row>
    <row r="286">
      <c r="A286" s="17" t="s">
        <v>43</v>
      </c>
      <c r="B286" s="22">
        <f t="shared" ref="B286:Z286" si="99">SUM(B282:B285)</f>
        <v>4</v>
      </c>
      <c r="C286" s="22">
        <f t="shared" si="99"/>
        <v>4</v>
      </c>
      <c r="D286" s="22">
        <f t="shared" si="99"/>
        <v>3</v>
      </c>
      <c r="E286" s="22">
        <f t="shared" si="99"/>
        <v>3</v>
      </c>
      <c r="F286" s="22">
        <f t="shared" si="99"/>
        <v>3</v>
      </c>
      <c r="G286" s="22">
        <f t="shared" si="99"/>
        <v>3</v>
      </c>
      <c r="H286" s="22">
        <f t="shared" si="99"/>
        <v>3</v>
      </c>
      <c r="I286" s="22">
        <f t="shared" si="99"/>
        <v>4</v>
      </c>
      <c r="J286" s="22">
        <f t="shared" si="99"/>
        <v>3</v>
      </c>
      <c r="K286" s="22">
        <f t="shared" si="99"/>
        <v>3</v>
      </c>
      <c r="L286" s="22">
        <f t="shared" si="99"/>
        <v>3</v>
      </c>
      <c r="M286" s="22">
        <f t="shared" si="99"/>
        <v>4</v>
      </c>
      <c r="N286" s="22">
        <f t="shared" si="99"/>
        <v>4</v>
      </c>
      <c r="O286" s="22">
        <f t="shared" si="99"/>
        <v>4</v>
      </c>
      <c r="P286" s="22">
        <f t="shared" si="99"/>
        <v>4</v>
      </c>
      <c r="Q286" s="22">
        <f t="shared" si="99"/>
        <v>3</v>
      </c>
      <c r="R286" s="22">
        <f t="shared" si="99"/>
        <v>3</v>
      </c>
      <c r="S286" s="22">
        <f t="shared" si="99"/>
        <v>3</v>
      </c>
      <c r="T286" s="22">
        <f t="shared" si="99"/>
        <v>1</v>
      </c>
      <c r="U286" s="22">
        <f t="shared" si="99"/>
        <v>14</v>
      </c>
      <c r="V286" s="22">
        <f t="shared" si="99"/>
        <v>3</v>
      </c>
      <c r="W286" s="22">
        <f t="shared" si="99"/>
        <v>3</v>
      </c>
      <c r="X286" s="22">
        <f t="shared" si="99"/>
        <v>3</v>
      </c>
      <c r="Y286" s="22">
        <f t="shared" si="99"/>
        <v>0</v>
      </c>
      <c r="Z286" s="22">
        <f t="shared" si="99"/>
        <v>0</v>
      </c>
      <c r="AA286" s="20">
        <f t="shared" si="97"/>
        <v>85</v>
      </c>
      <c r="AB286" s="23"/>
      <c r="AC286" s="2"/>
    </row>
    <row r="287">
      <c r="A287" s="17" t="s">
        <v>38</v>
      </c>
      <c r="B287" s="24">
        <f t="shared" ref="B287:Z287" si="100">B286/(COUNT(B282:B285)*1)</f>
        <v>1</v>
      </c>
      <c r="C287" s="24">
        <f t="shared" si="100"/>
        <v>1</v>
      </c>
      <c r="D287" s="24">
        <f t="shared" si="100"/>
        <v>0.75</v>
      </c>
      <c r="E287" s="24">
        <f t="shared" si="100"/>
        <v>0.75</v>
      </c>
      <c r="F287" s="24">
        <f t="shared" si="100"/>
        <v>0.75</v>
      </c>
      <c r="G287" s="24">
        <f t="shared" si="100"/>
        <v>0.75</v>
      </c>
      <c r="H287" s="24">
        <f t="shared" si="100"/>
        <v>0.75</v>
      </c>
      <c r="I287" s="24">
        <f t="shared" si="100"/>
        <v>1</v>
      </c>
      <c r="J287" s="24">
        <f t="shared" si="100"/>
        <v>0.75</v>
      </c>
      <c r="K287" s="24">
        <f t="shared" si="100"/>
        <v>0.75</v>
      </c>
      <c r="L287" s="24">
        <f t="shared" si="100"/>
        <v>0.75</v>
      </c>
      <c r="M287" s="24">
        <f t="shared" si="100"/>
        <v>1</v>
      </c>
      <c r="N287" s="24">
        <f t="shared" si="100"/>
        <v>1</v>
      </c>
      <c r="O287" s="24">
        <f t="shared" si="100"/>
        <v>1</v>
      </c>
      <c r="P287" s="24">
        <f t="shared" si="100"/>
        <v>1</v>
      </c>
      <c r="Q287" s="24">
        <f t="shared" si="100"/>
        <v>0.75</v>
      </c>
      <c r="R287" s="24">
        <f t="shared" si="100"/>
        <v>0.75</v>
      </c>
      <c r="S287" s="24">
        <f t="shared" si="100"/>
        <v>0.75</v>
      </c>
      <c r="T287" s="24">
        <f t="shared" si="100"/>
        <v>0.25</v>
      </c>
      <c r="U287" s="24">
        <f t="shared" si="100"/>
        <v>3.5</v>
      </c>
      <c r="V287" s="24">
        <f t="shared" si="100"/>
        <v>0.75</v>
      </c>
      <c r="W287" s="24">
        <f t="shared" si="100"/>
        <v>0.75</v>
      </c>
      <c r="X287" s="24">
        <f t="shared" si="100"/>
        <v>0.75</v>
      </c>
      <c r="Y287" s="24" t="str">
        <f t="shared" si="100"/>
        <v>#DIV/0!</v>
      </c>
      <c r="Z287" s="24" t="str">
        <f t="shared" si="100"/>
        <v>#DIV/0!</v>
      </c>
      <c r="AA287" s="25"/>
      <c r="AB287" s="26">
        <f>SUM(AB282:AB285)/4</f>
        <v>0.9239130435</v>
      </c>
      <c r="AC287" s="2"/>
    </row>
    <row r="288">
      <c r="A288" s="27" t="s">
        <v>44</v>
      </c>
      <c r="B288" s="60"/>
      <c r="C288" s="61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30">
        <f t="shared" ref="AA288:AA290" si="101">SUM(B288:Z288)</f>
        <v>0</v>
      </c>
      <c r="AB288" s="31"/>
      <c r="AC288" s="2"/>
    </row>
    <row r="289">
      <c r="A289" s="32" t="s">
        <v>45</v>
      </c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0"/>
      <c r="W289" s="60"/>
      <c r="X289" s="60"/>
      <c r="Y289" s="60"/>
      <c r="Z289" s="60"/>
      <c r="AA289" s="30">
        <f t="shared" si="101"/>
        <v>0</v>
      </c>
      <c r="AB289" s="31"/>
      <c r="AC289" s="9"/>
    </row>
    <row r="290">
      <c r="A290" s="34" t="s">
        <v>46</v>
      </c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0"/>
      <c r="W290" s="60"/>
      <c r="X290" s="60"/>
      <c r="Y290" s="60"/>
      <c r="Z290" s="60"/>
      <c r="AA290" s="30">
        <f t="shared" si="101"/>
        <v>0</v>
      </c>
      <c r="AB290" s="31"/>
      <c r="AC290" s="9"/>
    </row>
    <row r="291">
      <c r="A291" s="35" t="s">
        <v>47</v>
      </c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7"/>
      <c r="AA291" s="38"/>
      <c r="AB291" s="39"/>
      <c r="AC291" s="2"/>
    </row>
    <row r="292">
      <c r="A292" s="40" t="s">
        <v>48</v>
      </c>
      <c r="B292" s="63"/>
      <c r="C292" s="64"/>
      <c r="D292" s="65">
        <v>1.0</v>
      </c>
      <c r="E292" s="63"/>
      <c r="F292" s="65">
        <v>1.0</v>
      </c>
      <c r="G292" s="63"/>
      <c r="H292" s="63"/>
      <c r="I292" s="63"/>
      <c r="J292" s="65">
        <v>1.0</v>
      </c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6"/>
      <c r="W292" s="66"/>
      <c r="X292" s="66"/>
      <c r="Y292" s="66"/>
      <c r="Z292" s="66"/>
      <c r="AA292" s="44">
        <f t="shared" ref="AA292:AA293" si="102">SUM(B292:Z292)</f>
        <v>3</v>
      </c>
      <c r="AB292" s="31"/>
      <c r="AC292" s="2"/>
    </row>
    <row r="293">
      <c r="A293" s="40" t="s">
        <v>49</v>
      </c>
      <c r="B293" s="63"/>
      <c r="C293" s="64"/>
      <c r="D293" s="65">
        <v>20.0</v>
      </c>
      <c r="E293" s="65">
        <v>20.0</v>
      </c>
      <c r="F293" s="65">
        <v>20.0</v>
      </c>
      <c r="G293" s="65">
        <v>20.0</v>
      </c>
      <c r="H293" s="65">
        <v>20.0</v>
      </c>
      <c r="I293" s="63"/>
      <c r="J293" s="65">
        <v>20.0</v>
      </c>
      <c r="K293" s="65">
        <v>15.0</v>
      </c>
      <c r="L293" s="65">
        <v>15.0</v>
      </c>
      <c r="M293" s="63"/>
      <c r="N293" s="63"/>
      <c r="O293" s="63"/>
      <c r="P293" s="63"/>
      <c r="Q293" s="63"/>
      <c r="R293" s="63"/>
      <c r="S293" s="63"/>
      <c r="T293" s="63"/>
      <c r="U293" s="63"/>
      <c r="V293" s="66"/>
      <c r="W293" s="66"/>
      <c r="X293" s="66"/>
      <c r="Y293" s="66"/>
      <c r="Z293" s="66"/>
      <c r="AA293" s="44">
        <f t="shared" si="102"/>
        <v>150</v>
      </c>
      <c r="AB293" s="31"/>
      <c r="AC293" s="2"/>
    </row>
    <row r="294">
      <c r="A294" s="40" t="s">
        <v>50</v>
      </c>
      <c r="B294" s="64"/>
      <c r="C294" s="64"/>
      <c r="D294" s="65">
        <v>1.0</v>
      </c>
      <c r="E294" s="63"/>
      <c r="F294" s="65">
        <v>1.0</v>
      </c>
      <c r="G294" s="63"/>
      <c r="H294" s="63"/>
      <c r="I294" s="63"/>
      <c r="J294" s="65">
        <v>1.0</v>
      </c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6"/>
      <c r="W294" s="66"/>
      <c r="X294" s="66"/>
      <c r="Y294" s="66"/>
      <c r="Z294" s="66"/>
      <c r="AA294" s="44">
        <f>AVERAGE(B294:Z294)</f>
        <v>1</v>
      </c>
      <c r="AB294" s="31"/>
      <c r="AC294" s="2"/>
    </row>
    <row r="295">
      <c r="A295" s="45" t="s">
        <v>51</v>
      </c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7"/>
      <c r="AA295" s="46"/>
      <c r="AB295" s="39"/>
      <c r="AC295" s="2"/>
    </row>
    <row r="296">
      <c r="A296" s="47" t="s">
        <v>48</v>
      </c>
      <c r="B296" s="48"/>
      <c r="C296" s="49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50"/>
      <c r="W296" s="50"/>
      <c r="X296" s="50"/>
      <c r="Y296" s="50"/>
      <c r="Z296" s="50"/>
      <c r="AA296" s="51">
        <f t="shared" ref="AA296:AA297" si="103">SUM(B296:Z296)</f>
        <v>0</v>
      </c>
      <c r="AB296" s="31"/>
      <c r="AC296" s="2"/>
    </row>
    <row r="297">
      <c r="A297" s="47" t="s">
        <v>49</v>
      </c>
      <c r="B297" s="48"/>
      <c r="C297" s="49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50"/>
      <c r="W297" s="50"/>
      <c r="X297" s="50"/>
      <c r="Y297" s="50"/>
      <c r="Z297" s="50"/>
      <c r="AA297" s="51">
        <f t="shared" si="103"/>
        <v>0</v>
      </c>
      <c r="AB297" s="31"/>
      <c r="AC297" s="2"/>
    </row>
    <row r="298">
      <c r="A298" s="47" t="s">
        <v>50</v>
      </c>
      <c r="B298" s="49"/>
      <c r="C298" s="49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50"/>
      <c r="W298" s="50"/>
      <c r="X298" s="50"/>
      <c r="Y298" s="50"/>
      <c r="Z298" s="50"/>
      <c r="AA298" s="51" t="str">
        <f>AVERAGE(B298:Z298)</f>
        <v>#DIV/0!</v>
      </c>
      <c r="AB298" s="31"/>
      <c r="AC298" s="2"/>
    </row>
    <row r="299">
      <c r="A299" s="52" t="s">
        <v>53</v>
      </c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7"/>
      <c r="AA299" s="38"/>
      <c r="AB299" s="39"/>
      <c r="AC299" s="2"/>
    </row>
    <row r="300">
      <c r="A300" s="40" t="s">
        <v>48</v>
      </c>
      <c r="B300" s="41"/>
      <c r="C300" s="42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3"/>
      <c r="W300" s="43"/>
      <c r="X300" s="43"/>
      <c r="Y300" s="43"/>
      <c r="Z300" s="43"/>
      <c r="AA300" s="44">
        <f t="shared" ref="AA300:AA301" si="104">SUM(B300:Z300)</f>
        <v>0</v>
      </c>
      <c r="AB300" s="31"/>
      <c r="AC300" s="2"/>
    </row>
    <row r="301">
      <c r="A301" s="40" t="s">
        <v>49</v>
      </c>
      <c r="B301" s="41"/>
      <c r="C301" s="42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3"/>
      <c r="W301" s="43"/>
      <c r="X301" s="43"/>
      <c r="Y301" s="43"/>
      <c r="Z301" s="43"/>
      <c r="AA301" s="44">
        <f t="shared" si="104"/>
        <v>0</v>
      </c>
      <c r="AB301" s="31"/>
      <c r="AC301" s="2"/>
    </row>
    <row r="302">
      <c r="A302" s="53" t="s">
        <v>50</v>
      </c>
      <c r="B302" s="54"/>
      <c r="C302" s="54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6"/>
      <c r="W302" s="56"/>
      <c r="X302" s="56"/>
      <c r="Y302" s="56"/>
      <c r="Z302" s="56"/>
      <c r="AA302" s="57" t="str">
        <f>AVERAGE(B302:Z302)</f>
        <v>#DIV/0!</v>
      </c>
      <c r="AB302" s="58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59"/>
      <c r="AB303" s="59"/>
      <c r="AC303" s="2"/>
    </row>
    <row r="304">
      <c r="A304" s="13">
        <v>46009.0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5" t="s">
        <v>37</v>
      </c>
      <c r="AB304" s="16" t="s">
        <v>38</v>
      </c>
      <c r="AC304" s="2"/>
    </row>
    <row r="305">
      <c r="A305" s="17" t="s">
        <v>39</v>
      </c>
      <c r="B305" s="19">
        <v>1.0</v>
      </c>
      <c r="C305" s="19">
        <v>1.0</v>
      </c>
      <c r="D305" s="19">
        <v>1.0</v>
      </c>
      <c r="E305" s="19">
        <v>1.0</v>
      </c>
      <c r="F305" s="19">
        <v>0.0</v>
      </c>
      <c r="G305" s="19">
        <v>1.0</v>
      </c>
      <c r="H305" s="19">
        <v>1.0</v>
      </c>
      <c r="I305" s="19">
        <v>1.0</v>
      </c>
      <c r="J305" s="19">
        <v>1.0</v>
      </c>
      <c r="K305" s="19">
        <v>1.0</v>
      </c>
      <c r="L305" s="19">
        <v>1.0</v>
      </c>
      <c r="M305" s="19">
        <v>1.0</v>
      </c>
      <c r="N305" s="19">
        <v>1.0</v>
      </c>
      <c r="O305" s="19">
        <v>1.0</v>
      </c>
      <c r="P305" s="19">
        <v>1.0</v>
      </c>
      <c r="Q305" s="19">
        <v>1.0</v>
      </c>
      <c r="R305" s="19">
        <v>1.0</v>
      </c>
      <c r="S305" s="19">
        <v>1.0</v>
      </c>
      <c r="T305" s="19">
        <v>1.0</v>
      </c>
      <c r="U305" s="19">
        <v>1.0</v>
      </c>
      <c r="V305" s="19">
        <v>1.0</v>
      </c>
      <c r="W305" s="19">
        <v>1.0</v>
      </c>
      <c r="X305" s="19">
        <v>1.0</v>
      </c>
      <c r="Y305" s="19"/>
      <c r="Z305" s="18"/>
      <c r="AA305" s="20">
        <f t="shared" ref="AA305:AA309" si="105">SUM(B305:Z305)</f>
        <v>22</v>
      </c>
      <c r="AB305" s="21">
        <f t="shared" ref="AB305:AB308" si="106">AA305/(COUNT(B305:Z305)*1)</f>
        <v>0.9565217391</v>
      </c>
      <c r="AC305" s="2"/>
    </row>
    <row r="306">
      <c r="A306" s="17" t="s">
        <v>40</v>
      </c>
      <c r="B306" s="19">
        <v>1.0</v>
      </c>
      <c r="C306" s="19">
        <v>1.0</v>
      </c>
      <c r="D306" s="19">
        <v>1.0</v>
      </c>
      <c r="E306" s="19">
        <v>1.0</v>
      </c>
      <c r="F306" s="19">
        <v>1.0</v>
      </c>
      <c r="G306" s="19">
        <v>1.0</v>
      </c>
      <c r="H306" s="19">
        <v>1.0</v>
      </c>
      <c r="I306" s="19">
        <v>1.0</v>
      </c>
      <c r="J306" s="19">
        <v>1.0</v>
      </c>
      <c r="K306" s="19">
        <v>1.0</v>
      </c>
      <c r="L306" s="19">
        <v>1.0</v>
      </c>
      <c r="M306" s="19">
        <v>1.0</v>
      </c>
      <c r="N306" s="19">
        <v>1.0</v>
      </c>
      <c r="O306" s="19">
        <v>1.0</v>
      </c>
      <c r="P306" s="19">
        <v>1.0</v>
      </c>
      <c r="Q306" s="19">
        <v>1.0</v>
      </c>
      <c r="R306" s="19">
        <v>1.0</v>
      </c>
      <c r="S306" s="19">
        <v>1.0</v>
      </c>
      <c r="T306" s="19">
        <v>1.0</v>
      </c>
      <c r="U306" s="19">
        <v>1.0</v>
      </c>
      <c r="V306" s="19">
        <v>1.0</v>
      </c>
      <c r="W306" s="19">
        <v>1.0</v>
      </c>
      <c r="X306" s="19">
        <v>1.0</v>
      </c>
      <c r="Y306" s="19"/>
      <c r="Z306" s="18"/>
      <c r="AA306" s="20">
        <f t="shared" si="105"/>
        <v>23</v>
      </c>
      <c r="AB306" s="21">
        <f t="shared" si="106"/>
        <v>1</v>
      </c>
      <c r="AC306" s="2"/>
    </row>
    <row r="307">
      <c r="A307" s="17" t="s">
        <v>41</v>
      </c>
      <c r="B307" s="19">
        <v>1.0</v>
      </c>
      <c r="C307" s="19">
        <v>1.0</v>
      </c>
      <c r="D307" s="19">
        <v>1.0</v>
      </c>
      <c r="E307" s="19">
        <v>1.0</v>
      </c>
      <c r="F307" s="19">
        <v>1.0</v>
      </c>
      <c r="G307" s="19">
        <v>1.0</v>
      </c>
      <c r="H307" s="19">
        <v>0.0</v>
      </c>
      <c r="I307" s="19">
        <v>0.0</v>
      </c>
      <c r="J307" s="19">
        <v>0.0</v>
      </c>
      <c r="K307" s="19">
        <v>0.0</v>
      </c>
      <c r="L307" s="19">
        <v>0.0</v>
      </c>
      <c r="M307" s="19">
        <v>0.0</v>
      </c>
      <c r="N307" s="19">
        <v>0.0</v>
      </c>
      <c r="O307" s="19">
        <v>1.0</v>
      </c>
      <c r="P307" s="19">
        <v>1.0</v>
      </c>
      <c r="Q307" s="19">
        <v>1.0</v>
      </c>
      <c r="R307" s="19">
        <v>0.0</v>
      </c>
      <c r="S307" s="19">
        <v>1.0</v>
      </c>
      <c r="T307" s="19">
        <v>1.0</v>
      </c>
      <c r="U307" s="19">
        <v>1.0</v>
      </c>
      <c r="V307" s="19">
        <v>1.0</v>
      </c>
      <c r="W307" s="19">
        <v>0.0</v>
      </c>
      <c r="X307" s="19">
        <v>0.0</v>
      </c>
      <c r="Y307" s="19"/>
      <c r="Z307" s="18"/>
      <c r="AA307" s="20">
        <f t="shared" si="105"/>
        <v>13</v>
      </c>
      <c r="AB307" s="21">
        <f t="shared" si="106"/>
        <v>0.5652173913</v>
      </c>
      <c r="AC307" s="2"/>
    </row>
    <row r="308">
      <c r="A308" s="17" t="s">
        <v>42</v>
      </c>
      <c r="B308" s="19">
        <v>1.0</v>
      </c>
      <c r="C308" s="19">
        <v>1.0</v>
      </c>
      <c r="D308" s="19">
        <v>1.0</v>
      </c>
      <c r="E308" s="19">
        <v>1.0</v>
      </c>
      <c r="F308" s="19">
        <v>1.0</v>
      </c>
      <c r="G308" s="19">
        <v>1.0</v>
      </c>
      <c r="H308" s="19">
        <v>1.0</v>
      </c>
      <c r="I308" s="19">
        <v>1.0</v>
      </c>
      <c r="J308" s="19">
        <v>1.0</v>
      </c>
      <c r="K308" s="19">
        <v>0.0</v>
      </c>
      <c r="L308" s="19">
        <v>1.0</v>
      </c>
      <c r="M308" s="19">
        <v>1.0</v>
      </c>
      <c r="N308" s="19">
        <v>1.0</v>
      </c>
      <c r="O308" s="19">
        <v>1.0</v>
      </c>
      <c r="P308" s="19">
        <v>1.0</v>
      </c>
      <c r="Q308" s="19">
        <v>1.0</v>
      </c>
      <c r="R308" s="19">
        <v>1.0</v>
      </c>
      <c r="S308" s="19">
        <v>1.0</v>
      </c>
      <c r="T308" s="19">
        <v>1.0</v>
      </c>
      <c r="U308" s="19">
        <v>1.0</v>
      </c>
      <c r="V308" s="19">
        <v>1.0</v>
      </c>
      <c r="W308" s="19">
        <v>1.0</v>
      </c>
      <c r="X308" s="19">
        <v>1.0</v>
      </c>
      <c r="Y308" s="19"/>
      <c r="Z308" s="18"/>
      <c r="AA308" s="20">
        <f t="shared" si="105"/>
        <v>22</v>
      </c>
      <c r="AB308" s="21">
        <f t="shared" si="106"/>
        <v>0.9565217391</v>
      </c>
      <c r="AC308" s="2"/>
    </row>
    <row r="309">
      <c r="A309" s="17" t="s">
        <v>43</v>
      </c>
      <c r="B309" s="22">
        <f t="shared" ref="B309:Z309" si="107">SUM(B305:B308)</f>
        <v>4</v>
      </c>
      <c r="C309" s="22">
        <f t="shared" si="107"/>
        <v>4</v>
      </c>
      <c r="D309" s="22">
        <f t="shared" si="107"/>
        <v>4</v>
      </c>
      <c r="E309" s="22">
        <f t="shared" si="107"/>
        <v>4</v>
      </c>
      <c r="F309" s="22">
        <f t="shared" si="107"/>
        <v>3</v>
      </c>
      <c r="G309" s="22">
        <f t="shared" si="107"/>
        <v>4</v>
      </c>
      <c r="H309" s="22">
        <f t="shared" si="107"/>
        <v>3</v>
      </c>
      <c r="I309" s="22">
        <f t="shared" si="107"/>
        <v>3</v>
      </c>
      <c r="J309" s="22">
        <f t="shared" si="107"/>
        <v>3</v>
      </c>
      <c r="K309" s="22">
        <f t="shared" si="107"/>
        <v>2</v>
      </c>
      <c r="L309" s="22">
        <f t="shared" si="107"/>
        <v>3</v>
      </c>
      <c r="M309" s="22">
        <f t="shared" si="107"/>
        <v>3</v>
      </c>
      <c r="N309" s="22">
        <f t="shared" si="107"/>
        <v>3</v>
      </c>
      <c r="O309" s="22">
        <f t="shared" si="107"/>
        <v>4</v>
      </c>
      <c r="P309" s="22">
        <f t="shared" si="107"/>
        <v>4</v>
      </c>
      <c r="Q309" s="22">
        <f t="shared" si="107"/>
        <v>4</v>
      </c>
      <c r="R309" s="22">
        <f t="shared" si="107"/>
        <v>3</v>
      </c>
      <c r="S309" s="22">
        <f t="shared" si="107"/>
        <v>4</v>
      </c>
      <c r="T309" s="22">
        <f t="shared" si="107"/>
        <v>4</v>
      </c>
      <c r="U309" s="22">
        <f t="shared" si="107"/>
        <v>4</v>
      </c>
      <c r="V309" s="22">
        <f t="shared" si="107"/>
        <v>4</v>
      </c>
      <c r="W309" s="22">
        <f t="shared" si="107"/>
        <v>3</v>
      </c>
      <c r="X309" s="22">
        <f t="shared" si="107"/>
        <v>3</v>
      </c>
      <c r="Y309" s="22">
        <f t="shared" si="107"/>
        <v>0</v>
      </c>
      <c r="Z309" s="22">
        <f t="shared" si="107"/>
        <v>0</v>
      </c>
      <c r="AA309" s="20">
        <f t="shared" si="105"/>
        <v>80</v>
      </c>
      <c r="AB309" s="23"/>
      <c r="AC309" s="2"/>
    </row>
    <row r="310">
      <c r="A310" s="17" t="s">
        <v>38</v>
      </c>
      <c r="B310" s="24">
        <f t="shared" ref="B310:Z310" si="108">B309/(COUNT(B305:B308)*1)</f>
        <v>1</v>
      </c>
      <c r="C310" s="24">
        <f t="shared" si="108"/>
        <v>1</v>
      </c>
      <c r="D310" s="24">
        <f t="shared" si="108"/>
        <v>1</v>
      </c>
      <c r="E310" s="24">
        <f t="shared" si="108"/>
        <v>1</v>
      </c>
      <c r="F310" s="24">
        <f t="shared" si="108"/>
        <v>0.75</v>
      </c>
      <c r="G310" s="24">
        <f t="shared" si="108"/>
        <v>1</v>
      </c>
      <c r="H310" s="24">
        <f t="shared" si="108"/>
        <v>0.75</v>
      </c>
      <c r="I310" s="24">
        <f t="shared" si="108"/>
        <v>0.75</v>
      </c>
      <c r="J310" s="24">
        <f t="shared" si="108"/>
        <v>0.75</v>
      </c>
      <c r="K310" s="24">
        <f t="shared" si="108"/>
        <v>0.5</v>
      </c>
      <c r="L310" s="24">
        <f t="shared" si="108"/>
        <v>0.75</v>
      </c>
      <c r="M310" s="24">
        <f t="shared" si="108"/>
        <v>0.75</v>
      </c>
      <c r="N310" s="24">
        <f t="shared" si="108"/>
        <v>0.75</v>
      </c>
      <c r="O310" s="24">
        <f t="shared" si="108"/>
        <v>1</v>
      </c>
      <c r="P310" s="24">
        <f t="shared" si="108"/>
        <v>1</v>
      </c>
      <c r="Q310" s="24">
        <f t="shared" si="108"/>
        <v>1</v>
      </c>
      <c r="R310" s="24">
        <f t="shared" si="108"/>
        <v>0.75</v>
      </c>
      <c r="S310" s="24">
        <f t="shared" si="108"/>
        <v>1</v>
      </c>
      <c r="T310" s="24">
        <f t="shared" si="108"/>
        <v>1</v>
      </c>
      <c r="U310" s="24">
        <f t="shared" si="108"/>
        <v>1</v>
      </c>
      <c r="V310" s="24">
        <f t="shared" si="108"/>
        <v>1</v>
      </c>
      <c r="W310" s="24">
        <f t="shared" si="108"/>
        <v>0.75</v>
      </c>
      <c r="X310" s="24">
        <f t="shared" si="108"/>
        <v>0.75</v>
      </c>
      <c r="Y310" s="24" t="str">
        <f t="shared" si="108"/>
        <v>#DIV/0!</v>
      </c>
      <c r="Z310" s="24" t="str">
        <f t="shared" si="108"/>
        <v>#DIV/0!</v>
      </c>
      <c r="AA310" s="25"/>
      <c r="AB310" s="26">
        <f>SUM(AB305:AB308)/4</f>
        <v>0.8695652174</v>
      </c>
      <c r="AC310" s="2"/>
    </row>
    <row r="311">
      <c r="A311" s="27" t="s">
        <v>44</v>
      </c>
      <c r="B311" s="28"/>
      <c r="C311" s="29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30">
        <f t="shared" ref="AA311:AA313" si="109">SUM(B311:Z311)</f>
        <v>0</v>
      </c>
      <c r="AB311" s="31"/>
      <c r="AC311" s="2"/>
    </row>
    <row r="312">
      <c r="A312" s="32" t="s">
        <v>45</v>
      </c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28"/>
      <c r="W312" s="28"/>
      <c r="X312" s="28"/>
      <c r="Y312" s="28"/>
      <c r="Z312" s="28"/>
      <c r="AA312" s="30">
        <f t="shared" si="109"/>
        <v>0</v>
      </c>
      <c r="AB312" s="31"/>
      <c r="AC312" s="9"/>
    </row>
    <row r="313">
      <c r="A313" s="34" t="s">
        <v>46</v>
      </c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28"/>
      <c r="W313" s="28"/>
      <c r="X313" s="28"/>
      <c r="Y313" s="28"/>
      <c r="Z313" s="28"/>
      <c r="AA313" s="30">
        <f t="shared" si="109"/>
        <v>0</v>
      </c>
      <c r="AB313" s="31"/>
      <c r="AC313" s="9"/>
    </row>
    <row r="314">
      <c r="A314" s="35" t="s">
        <v>47</v>
      </c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7"/>
      <c r="AA314" s="38"/>
      <c r="AB314" s="39"/>
      <c r="AC314" s="2"/>
    </row>
    <row r="315">
      <c r="A315" s="40" t="s">
        <v>48</v>
      </c>
      <c r="B315" s="41"/>
      <c r="C315" s="42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3"/>
      <c r="W315" s="43"/>
      <c r="X315" s="43"/>
      <c r="Y315" s="43"/>
      <c r="Z315" s="43"/>
      <c r="AA315" s="44">
        <f t="shared" ref="AA315:AA316" si="110">SUM(B315:Z315)</f>
        <v>0</v>
      </c>
      <c r="AB315" s="31"/>
      <c r="AC315" s="2"/>
    </row>
    <row r="316">
      <c r="A316" s="40" t="s">
        <v>49</v>
      </c>
      <c r="B316" s="41"/>
      <c r="C316" s="42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3"/>
      <c r="W316" s="43"/>
      <c r="X316" s="43"/>
      <c r="Y316" s="43"/>
      <c r="Z316" s="43"/>
      <c r="AA316" s="44">
        <f t="shared" si="110"/>
        <v>0</v>
      </c>
      <c r="AB316" s="31"/>
      <c r="AC316" s="2"/>
    </row>
    <row r="317">
      <c r="A317" s="40" t="s">
        <v>50</v>
      </c>
      <c r="B317" s="42"/>
      <c r="C317" s="42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3"/>
      <c r="W317" s="43"/>
      <c r="X317" s="43"/>
      <c r="Y317" s="43"/>
      <c r="Z317" s="43"/>
      <c r="AA317" s="44" t="str">
        <f>AVERAGE(B317:Z317)</f>
        <v>#DIV/0!</v>
      </c>
      <c r="AB317" s="31"/>
      <c r="AC317" s="2"/>
    </row>
    <row r="318">
      <c r="A318" s="45" t="s">
        <v>51</v>
      </c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7"/>
      <c r="AA318" s="46"/>
      <c r="AB318" s="39"/>
      <c r="AC318" s="2"/>
    </row>
    <row r="319">
      <c r="A319" s="47" t="s">
        <v>48</v>
      </c>
      <c r="B319" s="48"/>
      <c r="C319" s="49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50"/>
      <c r="W319" s="50"/>
      <c r="X319" s="50"/>
      <c r="Y319" s="50"/>
      <c r="Z319" s="50"/>
      <c r="AA319" s="51">
        <f t="shared" ref="AA319:AA320" si="111">SUM(B319:Z319)</f>
        <v>0</v>
      </c>
      <c r="AB319" s="31"/>
      <c r="AC319" s="2"/>
    </row>
    <row r="320">
      <c r="A320" s="47" t="s">
        <v>49</v>
      </c>
      <c r="B320" s="48"/>
      <c r="C320" s="49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50"/>
      <c r="W320" s="50"/>
      <c r="X320" s="50"/>
      <c r="Y320" s="50"/>
      <c r="Z320" s="50"/>
      <c r="AA320" s="51">
        <f t="shared" si="111"/>
        <v>0</v>
      </c>
      <c r="AB320" s="31"/>
      <c r="AC320" s="2"/>
    </row>
    <row r="321">
      <c r="A321" s="47" t="s">
        <v>50</v>
      </c>
      <c r="B321" s="49"/>
      <c r="C321" s="49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50"/>
      <c r="W321" s="50"/>
      <c r="X321" s="50"/>
      <c r="Y321" s="50"/>
      <c r="Z321" s="50"/>
      <c r="AA321" s="51" t="str">
        <f>AVERAGE(B321:Z321)</f>
        <v>#DIV/0!</v>
      </c>
      <c r="AB321" s="31"/>
      <c r="AC321" s="2"/>
    </row>
    <row r="322">
      <c r="A322" s="52" t="s">
        <v>53</v>
      </c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7"/>
      <c r="AA322" s="38"/>
      <c r="AB322" s="39"/>
      <c r="AC322" s="2"/>
    </row>
    <row r="323">
      <c r="A323" s="40" t="s">
        <v>48</v>
      </c>
      <c r="B323" s="41"/>
      <c r="C323" s="42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3"/>
      <c r="W323" s="43"/>
      <c r="X323" s="43"/>
      <c r="Y323" s="43"/>
      <c r="Z323" s="43"/>
      <c r="AA323" s="44">
        <f t="shared" ref="AA323:AA324" si="112">SUM(B323:Z323)</f>
        <v>0</v>
      </c>
      <c r="AB323" s="31"/>
      <c r="AC323" s="2"/>
    </row>
    <row r="324">
      <c r="A324" s="40" t="s">
        <v>49</v>
      </c>
      <c r="B324" s="41"/>
      <c r="C324" s="42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3"/>
      <c r="W324" s="43"/>
      <c r="X324" s="43"/>
      <c r="Y324" s="43"/>
      <c r="Z324" s="43"/>
      <c r="AA324" s="44">
        <f t="shared" si="112"/>
        <v>0</v>
      </c>
      <c r="AB324" s="31"/>
      <c r="AC324" s="2"/>
    </row>
    <row r="325">
      <c r="A325" s="53" t="s">
        <v>50</v>
      </c>
      <c r="B325" s="54"/>
      <c r="C325" s="54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6"/>
      <c r="W325" s="56"/>
      <c r="X325" s="56"/>
      <c r="Y325" s="56"/>
      <c r="Z325" s="56"/>
      <c r="AA325" s="57" t="str">
        <f>AVERAGE(B325:Z325)</f>
        <v>#DIV/0!</v>
      </c>
      <c r="AB325" s="58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59"/>
      <c r="AB326" s="59"/>
      <c r="AC326" s="2"/>
    </row>
    <row r="327">
      <c r="A327" s="71" t="s">
        <v>54</v>
      </c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 t="s">
        <v>37</v>
      </c>
      <c r="AB327" s="16" t="s">
        <v>38</v>
      </c>
      <c r="AC327" s="2"/>
    </row>
    <row r="328">
      <c r="A328" s="17" t="s">
        <v>39</v>
      </c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20">
        <f t="shared" ref="AA328:AA332" si="113">SUM(B328:Z328)</f>
        <v>0</v>
      </c>
      <c r="AB328" s="21" t="str">
        <f t="shared" ref="AB328:AB331" si="114">AA328/(COUNT(B328:Z328)*1)</f>
        <v>#DIV/0!</v>
      </c>
      <c r="AC328" s="2"/>
    </row>
    <row r="329">
      <c r="A329" s="17" t="s">
        <v>40</v>
      </c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20">
        <f t="shared" si="113"/>
        <v>0</v>
      </c>
      <c r="AB329" s="21" t="str">
        <f t="shared" si="114"/>
        <v>#DIV/0!</v>
      </c>
      <c r="AC329" s="2"/>
    </row>
    <row r="330">
      <c r="A330" s="17" t="s">
        <v>41</v>
      </c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20">
        <f t="shared" si="113"/>
        <v>0</v>
      </c>
      <c r="AB330" s="21" t="str">
        <f t="shared" si="114"/>
        <v>#DIV/0!</v>
      </c>
      <c r="AC330" s="2"/>
    </row>
    <row r="331">
      <c r="A331" s="17" t="s">
        <v>42</v>
      </c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20">
        <f t="shared" si="113"/>
        <v>0</v>
      </c>
      <c r="AB331" s="21" t="str">
        <f t="shared" si="114"/>
        <v>#DIV/0!</v>
      </c>
      <c r="AC331" s="2"/>
    </row>
    <row r="332">
      <c r="A332" s="17" t="s">
        <v>43</v>
      </c>
      <c r="B332" s="22">
        <f t="shared" ref="B332:Z332" si="115">SUM(B328:B331)</f>
        <v>0</v>
      </c>
      <c r="C332" s="22">
        <f t="shared" si="115"/>
        <v>0</v>
      </c>
      <c r="D332" s="22">
        <f t="shared" si="115"/>
        <v>0</v>
      </c>
      <c r="E332" s="22">
        <f t="shared" si="115"/>
        <v>0</v>
      </c>
      <c r="F332" s="22">
        <f t="shared" si="115"/>
        <v>0</v>
      </c>
      <c r="G332" s="22">
        <f t="shared" si="115"/>
        <v>0</v>
      </c>
      <c r="H332" s="22">
        <f t="shared" si="115"/>
        <v>0</v>
      </c>
      <c r="I332" s="22">
        <f t="shared" si="115"/>
        <v>0</v>
      </c>
      <c r="J332" s="22">
        <f t="shared" si="115"/>
        <v>0</v>
      </c>
      <c r="K332" s="22">
        <f t="shared" si="115"/>
        <v>0</v>
      </c>
      <c r="L332" s="22">
        <f t="shared" si="115"/>
        <v>0</v>
      </c>
      <c r="M332" s="22">
        <f t="shared" si="115"/>
        <v>0</v>
      </c>
      <c r="N332" s="22">
        <f t="shared" si="115"/>
        <v>0</v>
      </c>
      <c r="O332" s="22">
        <f t="shared" si="115"/>
        <v>0</v>
      </c>
      <c r="P332" s="22">
        <f t="shared" si="115"/>
        <v>0</v>
      </c>
      <c r="Q332" s="22">
        <f t="shared" si="115"/>
        <v>0</v>
      </c>
      <c r="R332" s="22">
        <f t="shared" si="115"/>
        <v>0</v>
      </c>
      <c r="S332" s="22">
        <f t="shared" si="115"/>
        <v>0</v>
      </c>
      <c r="T332" s="22">
        <f t="shared" si="115"/>
        <v>0</v>
      </c>
      <c r="U332" s="22">
        <f t="shared" si="115"/>
        <v>0</v>
      </c>
      <c r="V332" s="22">
        <f t="shared" si="115"/>
        <v>0</v>
      </c>
      <c r="W332" s="22">
        <f t="shared" si="115"/>
        <v>0</v>
      </c>
      <c r="X332" s="22">
        <f t="shared" si="115"/>
        <v>0</v>
      </c>
      <c r="Y332" s="22">
        <f t="shared" si="115"/>
        <v>0</v>
      </c>
      <c r="Z332" s="22">
        <f t="shared" si="115"/>
        <v>0</v>
      </c>
      <c r="AA332" s="20">
        <f t="shared" si="113"/>
        <v>0</v>
      </c>
      <c r="AB332" s="23"/>
      <c r="AC332" s="2"/>
    </row>
    <row r="333">
      <c r="A333" s="17" t="s">
        <v>38</v>
      </c>
      <c r="B333" s="24" t="str">
        <f t="shared" ref="B333:Z333" si="116">B332/(COUNT(B328:B331)*1)</f>
        <v>#DIV/0!</v>
      </c>
      <c r="C333" s="24" t="str">
        <f t="shared" si="116"/>
        <v>#DIV/0!</v>
      </c>
      <c r="D333" s="24" t="str">
        <f t="shared" si="116"/>
        <v>#DIV/0!</v>
      </c>
      <c r="E333" s="24" t="str">
        <f t="shared" si="116"/>
        <v>#DIV/0!</v>
      </c>
      <c r="F333" s="24" t="str">
        <f t="shared" si="116"/>
        <v>#DIV/0!</v>
      </c>
      <c r="G333" s="24" t="str">
        <f t="shared" si="116"/>
        <v>#DIV/0!</v>
      </c>
      <c r="H333" s="24" t="str">
        <f t="shared" si="116"/>
        <v>#DIV/0!</v>
      </c>
      <c r="I333" s="24" t="str">
        <f t="shared" si="116"/>
        <v>#DIV/0!</v>
      </c>
      <c r="J333" s="24" t="str">
        <f t="shared" si="116"/>
        <v>#DIV/0!</v>
      </c>
      <c r="K333" s="24" t="str">
        <f t="shared" si="116"/>
        <v>#DIV/0!</v>
      </c>
      <c r="L333" s="24" t="str">
        <f t="shared" si="116"/>
        <v>#DIV/0!</v>
      </c>
      <c r="M333" s="24" t="str">
        <f t="shared" si="116"/>
        <v>#DIV/0!</v>
      </c>
      <c r="N333" s="24" t="str">
        <f t="shared" si="116"/>
        <v>#DIV/0!</v>
      </c>
      <c r="O333" s="24" t="str">
        <f t="shared" si="116"/>
        <v>#DIV/0!</v>
      </c>
      <c r="P333" s="24" t="str">
        <f t="shared" si="116"/>
        <v>#DIV/0!</v>
      </c>
      <c r="Q333" s="24" t="str">
        <f t="shared" si="116"/>
        <v>#DIV/0!</v>
      </c>
      <c r="R333" s="24" t="str">
        <f t="shared" si="116"/>
        <v>#DIV/0!</v>
      </c>
      <c r="S333" s="24" t="str">
        <f t="shared" si="116"/>
        <v>#DIV/0!</v>
      </c>
      <c r="T333" s="24" t="str">
        <f t="shared" si="116"/>
        <v>#DIV/0!</v>
      </c>
      <c r="U333" s="24" t="str">
        <f t="shared" si="116"/>
        <v>#DIV/0!</v>
      </c>
      <c r="V333" s="24" t="str">
        <f t="shared" si="116"/>
        <v>#DIV/0!</v>
      </c>
      <c r="W333" s="24" t="str">
        <f t="shared" si="116"/>
        <v>#DIV/0!</v>
      </c>
      <c r="X333" s="24" t="str">
        <f t="shared" si="116"/>
        <v>#DIV/0!</v>
      </c>
      <c r="Y333" s="24" t="str">
        <f t="shared" si="116"/>
        <v>#DIV/0!</v>
      </c>
      <c r="Z333" s="24" t="str">
        <f t="shared" si="116"/>
        <v>#DIV/0!</v>
      </c>
      <c r="AA333" s="25"/>
      <c r="AB333" s="26" t="str">
        <f>SUM(AB328:AB331)/4</f>
        <v>#DIV/0!</v>
      </c>
      <c r="AC333" s="2"/>
    </row>
    <row r="334">
      <c r="A334" s="27" t="s">
        <v>44</v>
      </c>
      <c r="B334" s="28"/>
      <c r="C334" s="29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30">
        <f t="shared" ref="AA334:AA336" si="117">SUM(B334:Z334)</f>
        <v>0</v>
      </c>
      <c r="AB334" s="31"/>
      <c r="AC334" s="2"/>
    </row>
    <row r="335">
      <c r="A335" s="32" t="s">
        <v>45</v>
      </c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28"/>
      <c r="W335" s="28"/>
      <c r="X335" s="28"/>
      <c r="Y335" s="28"/>
      <c r="Z335" s="28"/>
      <c r="AA335" s="30">
        <f t="shared" si="117"/>
        <v>0</v>
      </c>
      <c r="AB335" s="31"/>
      <c r="AC335" s="9"/>
    </row>
    <row r="336">
      <c r="A336" s="34" t="s">
        <v>46</v>
      </c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28"/>
      <c r="W336" s="28"/>
      <c r="X336" s="28"/>
      <c r="Y336" s="28"/>
      <c r="Z336" s="28"/>
      <c r="AA336" s="30">
        <f t="shared" si="117"/>
        <v>0</v>
      </c>
      <c r="AB336" s="31"/>
      <c r="AC336" s="9"/>
    </row>
    <row r="337">
      <c r="A337" s="35" t="s">
        <v>47</v>
      </c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7"/>
      <c r="AA337" s="38"/>
      <c r="AB337" s="39"/>
      <c r="AC337" s="2"/>
    </row>
    <row r="338">
      <c r="A338" s="40" t="s">
        <v>48</v>
      </c>
      <c r="B338" s="41"/>
      <c r="C338" s="42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3"/>
      <c r="W338" s="43"/>
      <c r="X338" s="43"/>
      <c r="Y338" s="43"/>
      <c r="Z338" s="43"/>
      <c r="AA338" s="44">
        <f t="shared" ref="AA338:AA339" si="118">SUM(B338:Z338)</f>
        <v>0</v>
      </c>
      <c r="AB338" s="31"/>
      <c r="AC338" s="2"/>
    </row>
    <row r="339">
      <c r="A339" s="40" t="s">
        <v>49</v>
      </c>
      <c r="B339" s="41"/>
      <c r="C339" s="42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3"/>
      <c r="W339" s="43"/>
      <c r="X339" s="43"/>
      <c r="Y339" s="43"/>
      <c r="Z339" s="43"/>
      <c r="AA339" s="44">
        <f t="shared" si="118"/>
        <v>0</v>
      </c>
      <c r="AB339" s="31"/>
      <c r="AC339" s="2"/>
    </row>
    <row r="340">
      <c r="A340" s="40" t="s">
        <v>50</v>
      </c>
      <c r="B340" s="42"/>
      <c r="C340" s="42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3"/>
      <c r="W340" s="43"/>
      <c r="X340" s="43"/>
      <c r="Y340" s="43"/>
      <c r="Z340" s="43"/>
      <c r="AA340" s="44" t="str">
        <f>AVERAGE(B340:Z340)</f>
        <v>#DIV/0!</v>
      </c>
      <c r="AB340" s="31"/>
      <c r="AC340" s="2"/>
    </row>
    <row r="341">
      <c r="A341" s="45" t="s">
        <v>51</v>
      </c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7"/>
      <c r="AA341" s="46"/>
      <c r="AB341" s="39"/>
      <c r="AC341" s="2"/>
    </row>
    <row r="342">
      <c r="A342" s="47" t="s">
        <v>48</v>
      </c>
      <c r="B342" s="48"/>
      <c r="C342" s="49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50"/>
      <c r="W342" s="50"/>
      <c r="X342" s="50"/>
      <c r="Y342" s="50"/>
      <c r="Z342" s="50"/>
      <c r="AA342" s="51">
        <f t="shared" ref="AA342:AA343" si="119">SUM(B342:Z342)</f>
        <v>0</v>
      </c>
      <c r="AB342" s="31"/>
      <c r="AC342" s="2"/>
    </row>
    <row r="343">
      <c r="A343" s="47" t="s">
        <v>49</v>
      </c>
      <c r="B343" s="48"/>
      <c r="C343" s="49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50"/>
      <c r="W343" s="50"/>
      <c r="X343" s="50"/>
      <c r="Y343" s="50"/>
      <c r="Z343" s="50"/>
      <c r="AA343" s="51">
        <f t="shared" si="119"/>
        <v>0</v>
      </c>
      <c r="AB343" s="31"/>
      <c r="AC343" s="2"/>
    </row>
    <row r="344">
      <c r="A344" s="47" t="s">
        <v>50</v>
      </c>
      <c r="B344" s="49"/>
      <c r="C344" s="49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50"/>
      <c r="W344" s="50"/>
      <c r="X344" s="50"/>
      <c r="Y344" s="50"/>
      <c r="Z344" s="50"/>
      <c r="AA344" s="51" t="str">
        <f>AVERAGE(B344:Z344)</f>
        <v>#DIV/0!</v>
      </c>
      <c r="AB344" s="31"/>
      <c r="AC344" s="2"/>
    </row>
    <row r="345">
      <c r="A345" s="52" t="s">
        <v>53</v>
      </c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7"/>
      <c r="AA345" s="38"/>
      <c r="AB345" s="39"/>
      <c r="AC345" s="2"/>
    </row>
    <row r="346">
      <c r="A346" s="40" t="s">
        <v>48</v>
      </c>
      <c r="B346" s="41"/>
      <c r="C346" s="42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3"/>
      <c r="W346" s="43"/>
      <c r="X346" s="43"/>
      <c r="Y346" s="43"/>
      <c r="Z346" s="43"/>
      <c r="AA346" s="44">
        <f t="shared" ref="AA346:AA347" si="120">SUM(B346:Z346)</f>
        <v>0</v>
      </c>
      <c r="AB346" s="31"/>
      <c r="AC346" s="2"/>
    </row>
    <row r="347">
      <c r="A347" s="40" t="s">
        <v>49</v>
      </c>
      <c r="B347" s="41"/>
      <c r="C347" s="42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3"/>
      <c r="W347" s="43"/>
      <c r="X347" s="43"/>
      <c r="Y347" s="43"/>
      <c r="Z347" s="43"/>
      <c r="AA347" s="44">
        <f t="shared" si="120"/>
        <v>0</v>
      </c>
      <c r="AB347" s="31"/>
      <c r="AC347" s="2"/>
    </row>
    <row r="348">
      <c r="A348" s="53" t="s">
        <v>50</v>
      </c>
      <c r="B348" s="54"/>
      <c r="C348" s="54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6"/>
      <c r="W348" s="56"/>
      <c r="X348" s="56"/>
      <c r="Y348" s="56"/>
      <c r="Z348" s="56"/>
      <c r="AA348" s="57" t="str">
        <f>AVERAGE(B348:Z348)</f>
        <v>#DIV/0!</v>
      </c>
      <c r="AB348" s="58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59"/>
      <c r="AB349" s="59"/>
      <c r="AC349" s="2"/>
    </row>
    <row r="350">
      <c r="A350" s="71" t="s">
        <v>54</v>
      </c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5" t="s">
        <v>37</v>
      </c>
      <c r="AB350" s="16" t="s">
        <v>38</v>
      </c>
      <c r="AC350" s="2"/>
    </row>
    <row r="351">
      <c r="A351" s="17" t="s">
        <v>39</v>
      </c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20">
        <f t="shared" ref="AA351:AA355" si="121">SUM(B351:Z351)</f>
        <v>0</v>
      </c>
      <c r="AB351" s="21" t="str">
        <f t="shared" ref="AB351:AB354" si="122">AA351/(COUNT(B351:Z351)*1)</f>
        <v>#DIV/0!</v>
      </c>
      <c r="AC351" s="2"/>
    </row>
    <row r="352">
      <c r="A352" s="17" t="s">
        <v>40</v>
      </c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20">
        <f t="shared" si="121"/>
        <v>0</v>
      </c>
      <c r="AB352" s="21" t="str">
        <f t="shared" si="122"/>
        <v>#DIV/0!</v>
      </c>
      <c r="AC352" s="2"/>
    </row>
    <row r="353">
      <c r="A353" s="17" t="s">
        <v>41</v>
      </c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20">
        <f t="shared" si="121"/>
        <v>0</v>
      </c>
      <c r="AB353" s="21" t="str">
        <f t="shared" si="122"/>
        <v>#DIV/0!</v>
      </c>
      <c r="AC353" s="2"/>
    </row>
    <row r="354">
      <c r="A354" s="17" t="s">
        <v>42</v>
      </c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20">
        <f t="shared" si="121"/>
        <v>0</v>
      </c>
      <c r="AB354" s="21" t="str">
        <f t="shared" si="122"/>
        <v>#DIV/0!</v>
      </c>
      <c r="AC354" s="2"/>
    </row>
    <row r="355">
      <c r="A355" s="17" t="s">
        <v>43</v>
      </c>
      <c r="B355" s="22">
        <f t="shared" ref="B355:Z355" si="123">SUM(B351:B354)</f>
        <v>0</v>
      </c>
      <c r="C355" s="22">
        <f t="shared" si="123"/>
        <v>0</v>
      </c>
      <c r="D355" s="22">
        <f t="shared" si="123"/>
        <v>0</v>
      </c>
      <c r="E355" s="22">
        <f t="shared" si="123"/>
        <v>0</v>
      </c>
      <c r="F355" s="22">
        <f t="shared" si="123"/>
        <v>0</v>
      </c>
      <c r="G355" s="22">
        <f t="shared" si="123"/>
        <v>0</v>
      </c>
      <c r="H355" s="22">
        <f t="shared" si="123"/>
        <v>0</v>
      </c>
      <c r="I355" s="22">
        <f t="shared" si="123"/>
        <v>0</v>
      </c>
      <c r="J355" s="22">
        <f t="shared" si="123"/>
        <v>0</v>
      </c>
      <c r="K355" s="22">
        <f t="shared" si="123"/>
        <v>0</v>
      </c>
      <c r="L355" s="22">
        <f t="shared" si="123"/>
        <v>0</v>
      </c>
      <c r="M355" s="22">
        <f t="shared" si="123"/>
        <v>0</v>
      </c>
      <c r="N355" s="22">
        <f t="shared" si="123"/>
        <v>0</v>
      </c>
      <c r="O355" s="22">
        <f t="shared" si="123"/>
        <v>0</v>
      </c>
      <c r="P355" s="22">
        <f t="shared" si="123"/>
        <v>0</v>
      </c>
      <c r="Q355" s="22">
        <f t="shared" si="123"/>
        <v>0</v>
      </c>
      <c r="R355" s="22">
        <f t="shared" si="123"/>
        <v>0</v>
      </c>
      <c r="S355" s="22">
        <f t="shared" si="123"/>
        <v>0</v>
      </c>
      <c r="T355" s="22">
        <f t="shared" si="123"/>
        <v>0</v>
      </c>
      <c r="U355" s="22">
        <f t="shared" si="123"/>
        <v>0</v>
      </c>
      <c r="V355" s="22">
        <f t="shared" si="123"/>
        <v>0</v>
      </c>
      <c r="W355" s="22">
        <f t="shared" si="123"/>
        <v>0</v>
      </c>
      <c r="X355" s="22">
        <f t="shared" si="123"/>
        <v>0</v>
      </c>
      <c r="Y355" s="22">
        <f t="shared" si="123"/>
        <v>0</v>
      </c>
      <c r="Z355" s="22">
        <f t="shared" si="123"/>
        <v>0</v>
      </c>
      <c r="AA355" s="20">
        <f t="shared" si="121"/>
        <v>0</v>
      </c>
      <c r="AB355" s="23"/>
      <c r="AC355" s="2"/>
    </row>
    <row r="356">
      <c r="A356" s="17" t="s">
        <v>38</v>
      </c>
      <c r="B356" s="24" t="str">
        <f t="shared" ref="B356:Z356" si="124">B355/(COUNT(B351:B354)*1)</f>
        <v>#DIV/0!</v>
      </c>
      <c r="C356" s="24" t="str">
        <f t="shared" si="124"/>
        <v>#DIV/0!</v>
      </c>
      <c r="D356" s="24" t="str">
        <f t="shared" si="124"/>
        <v>#DIV/0!</v>
      </c>
      <c r="E356" s="24" t="str">
        <f t="shared" si="124"/>
        <v>#DIV/0!</v>
      </c>
      <c r="F356" s="24" t="str">
        <f t="shared" si="124"/>
        <v>#DIV/0!</v>
      </c>
      <c r="G356" s="24" t="str">
        <f t="shared" si="124"/>
        <v>#DIV/0!</v>
      </c>
      <c r="H356" s="24" t="str">
        <f t="shared" si="124"/>
        <v>#DIV/0!</v>
      </c>
      <c r="I356" s="24" t="str">
        <f t="shared" si="124"/>
        <v>#DIV/0!</v>
      </c>
      <c r="J356" s="24" t="str">
        <f t="shared" si="124"/>
        <v>#DIV/0!</v>
      </c>
      <c r="K356" s="24" t="str">
        <f t="shared" si="124"/>
        <v>#DIV/0!</v>
      </c>
      <c r="L356" s="24" t="str">
        <f t="shared" si="124"/>
        <v>#DIV/0!</v>
      </c>
      <c r="M356" s="24" t="str">
        <f t="shared" si="124"/>
        <v>#DIV/0!</v>
      </c>
      <c r="N356" s="24" t="str">
        <f t="shared" si="124"/>
        <v>#DIV/0!</v>
      </c>
      <c r="O356" s="24" t="str">
        <f t="shared" si="124"/>
        <v>#DIV/0!</v>
      </c>
      <c r="P356" s="24" t="str">
        <f t="shared" si="124"/>
        <v>#DIV/0!</v>
      </c>
      <c r="Q356" s="24" t="str">
        <f t="shared" si="124"/>
        <v>#DIV/0!</v>
      </c>
      <c r="R356" s="24" t="str">
        <f t="shared" si="124"/>
        <v>#DIV/0!</v>
      </c>
      <c r="S356" s="24" t="str">
        <f t="shared" si="124"/>
        <v>#DIV/0!</v>
      </c>
      <c r="T356" s="24" t="str">
        <f t="shared" si="124"/>
        <v>#DIV/0!</v>
      </c>
      <c r="U356" s="24" t="str">
        <f t="shared" si="124"/>
        <v>#DIV/0!</v>
      </c>
      <c r="V356" s="24" t="str">
        <f t="shared" si="124"/>
        <v>#DIV/0!</v>
      </c>
      <c r="W356" s="24" t="str">
        <f t="shared" si="124"/>
        <v>#DIV/0!</v>
      </c>
      <c r="X356" s="24" t="str">
        <f t="shared" si="124"/>
        <v>#DIV/0!</v>
      </c>
      <c r="Y356" s="24" t="str">
        <f t="shared" si="124"/>
        <v>#DIV/0!</v>
      </c>
      <c r="Z356" s="24" t="str">
        <f t="shared" si="124"/>
        <v>#DIV/0!</v>
      </c>
      <c r="AA356" s="25"/>
      <c r="AB356" s="26" t="str">
        <f>SUM(AB351:AB354)/4</f>
        <v>#DIV/0!</v>
      </c>
      <c r="AC356" s="2"/>
    </row>
    <row r="357">
      <c r="A357" s="27" t="s">
        <v>44</v>
      </c>
      <c r="B357" s="28"/>
      <c r="C357" s="29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30">
        <f t="shared" ref="AA357:AA359" si="125">SUM(B357:Z357)</f>
        <v>0</v>
      </c>
      <c r="AB357" s="31"/>
      <c r="AC357" s="2"/>
    </row>
    <row r="358">
      <c r="A358" s="32" t="s">
        <v>45</v>
      </c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28"/>
      <c r="W358" s="28"/>
      <c r="X358" s="28"/>
      <c r="Y358" s="28"/>
      <c r="Z358" s="28"/>
      <c r="AA358" s="30">
        <f t="shared" si="125"/>
        <v>0</v>
      </c>
      <c r="AB358" s="31"/>
      <c r="AC358" s="9"/>
    </row>
    <row r="359">
      <c r="A359" s="34" t="s">
        <v>46</v>
      </c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28"/>
      <c r="W359" s="28"/>
      <c r="X359" s="28"/>
      <c r="Y359" s="28"/>
      <c r="Z359" s="28"/>
      <c r="AA359" s="30">
        <f t="shared" si="125"/>
        <v>0</v>
      </c>
      <c r="AB359" s="31"/>
      <c r="AC359" s="9"/>
    </row>
    <row r="360">
      <c r="A360" s="35" t="s">
        <v>47</v>
      </c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7"/>
      <c r="AA360" s="38"/>
      <c r="AB360" s="39"/>
      <c r="AC360" s="2"/>
    </row>
    <row r="361">
      <c r="A361" s="40" t="s">
        <v>48</v>
      </c>
      <c r="B361" s="41"/>
      <c r="C361" s="42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3"/>
      <c r="W361" s="43"/>
      <c r="X361" s="43"/>
      <c r="Y361" s="43"/>
      <c r="Z361" s="43"/>
      <c r="AA361" s="44">
        <f t="shared" ref="AA361:AA362" si="126">SUM(B361:Z361)</f>
        <v>0</v>
      </c>
      <c r="AB361" s="31"/>
      <c r="AC361" s="2"/>
    </row>
    <row r="362">
      <c r="A362" s="40" t="s">
        <v>49</v>
      </c>
      <c r="B362" s="41"/>
      <c r="C362" s="42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3"/>
      <c r="W362" s="43"/>
      <c r="X362" s="43"/>
      <c r="Y362" s="43"/>
      <c r="Z362" s="43"/>
      <c r="AA362" s="44">
        <f t="shared" si="126"/>
        <v>0</v>
      </c>
      <c r="AB362" s="31"/>
      <c r="AC362" s="2"/>
    </row>
    <row r="363">
      <c r="A363" s="40" t="s">
        <v>50</v>
      </c>
      <c r="B363" s="42"/>
      <c r="C363" s="42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3"/>
      <c r="W363" s="43"/>
      <c r="X363" s="43"/>
      <c r="Y363" s="43"/>
      <c r="Z363" s="43"/>
      <c r="AA363" s="44" t="str">
        <f>AVERAGE(B363:Z363)</f>
        <v>#DIV/0!</v>
      </c>
      <c r="AB363" s="31"/>
      <c r="AC363" s="2"/>
    </row>
    <row r="364">
      <c r="A364" s="45" t="s">
        <v>51</v>
      </c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7"/>
      <c r="AA364" s="46"/>
      <c r="AB364" s="39"/>
      <c r="AC364" s="2"/>
    </row>
    <row r="365">
      <c r="A365" s="47" t="s">
        <v>48</v>
      </c>
      <c r="B365" s="48"/>
      <c r="C365" s="49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50"/>
      <c r="W365" s="50"/>
      <c r="X365" s="50"/>
      <c r="Y365" s="50"/>
      <c r="Z365" s="50"/>
      <c r="AA365" s="51">
        <f t="shared" ref="AA365:AA366" si="127">SUM(B365:Z365)</f>
        <v>0</v>
      </c>
      <c r="AB365" s="31"/>
      <c r="AC365" s="2"/>
    </row>
    <row r="366">
      <c r="A366" s="47" t="s">
        <v>49</v>
      </c>
      <c r="B366" s="48"/>
      <c r="C366" s="49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50"/>
      <c r="W366" s="50"/>
      <c r="X366" s="50"/>
      <c r="Y366" s="50"/>
      <c r="Z366" s="50"/>
      <c r="AA366" s="51">
        <f t="shared" si="127"/>
        <v>0</v>
      </c>
      <c r="AB366" s="31"/>
      <c r="AC366" s="2"/>
    </row>
    <row r="367">
      <c r="A367" s="47" t="s">
        <v>50</v>
      </c>
      <c r="B367" s="49"/>
      <c r="C367" s="49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50"/>
      <c r="W367" s="50"/>
      <c r="X367" s="50"/>
      <c r="Y367" s="50"/>
      <c r="Z367" s="50"/>
      <c r="AA367" s="51" t="str">
        <f>AVERAGE(B367:Z367)</f>
        <v>#DIV/0!</v>
      </c>
      <c r="AB367" s="31"/>
      <c r="AC367" s="2"/>
    </row>
    <row r="368">
      <c r="A368" s="52" t="s">
        <v>53</v>
      </c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8"/>
      <c r="AB368" s="39"/>
      <c r="AC368" s="2"/>
    </row>
    <row r="369">
      <c r="A369" s="40" t="s">
        <v>48</v>
      </c>
      <c r="B369" s="41"/>
      <c r="C369" s="42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3"/>
      <c r="W369" s="43"/>
      <c r="X369" s="43"/>
      <c r="Y369" s="43"/>
      <c r="Z369" s="43"/>
      <c r="AA369" s="44">
        <f t="shared" ref="AA369:AA370" si="128">SUM(B369:Z369)</f>
        <v>0</v>
      </c>
      <c r="AB369" s="31"/>
      <c r="AC369" s="2"/>
    </row>
    <row r="370">
      <c r="A370" s="40" t="s">
        <v>49</v>
      </c>
      <c r="B370" s="41"/>
      <c r="C370" s="42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3"/>
      <c r="W370" s="43"/>
      <c r="X370" s="43"/>
      <c r="Y370" s="43"/>
      <c r="Z370" s="43"/>
      <c r="AA370" s="44">
        <f t="shared" si="128"/>
        <v>0</v>
      </c>
      <c r="AB370" s="31"/>
      <c r="AC370" s="2"/>
    </row>
    <row r="371">
      <c r="A371" s="53" t="s">
        <v>50</v>
      </c>
      <c r="B371" s="54"/>
      <c r="C371" s="54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6"/>
      <c r="W371" s="56"/>
      <c r="X371" s="56"/>
      <c r="Y371" s="56"/>
      <c r="Z371" s="56"/>
      <c r="AA371" s="57" t="str">
        <f>AVERAGE(B371:Z371)</f>
        <v>#DIV/0!</v>
      </c>
      <c r="AB371" s="58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59"/>
      <c r="AB372" s="59"/>
      <c r="AC372" s="2"/>
    </row>
    <row r="373">
      <c r="A373" s="71" t="s">
        <v>54</v>
      </c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5" t="s">
        <v>37</v>
      </c>
      <c r="AB373" s="16" t="s">
        <v>38</v>
      </c>
      <c r="AC373" s="2"/>
    </row>
    <row r="374">
      <c r="A374" s="17" t="s">
        <v>39</v>
      </c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20">
        <f t="shared" ref="AA374:AA378" si="129">SUM(B374:Z374)</f>
        <v>0</v>
      </c>
      <c r="AB374" s="21" t="str">
        <f t="shared" ref="AB374:AB377" si="130">AA374/(COUNT(B374:Z374)*1)</f>
        <v>#DIV/0!</v>
      </c>
      <c r="AC374" s="2"/>
    </row>
    <row r="375">
      <c r="A375" s="17" t="s">
        <v>40</v>
      </c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20">
        <f t="shared" si="129"/>
        <v>0</v>
      </c>
      <c r="AB375" s="21" t="str">
        <f t="shared" si="130"/>
        <v>#DIV/0!</v>
      </c>
      <c r="AC375" s="2"/>
    </row>
    <row r="376">
      <c r="A376" s="17" t="s">
        <v>41</v>
      </c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20">
        <f t="shared" si="129"/>
        <v>0</v>
      </c>
      <c r="AB376" s="21" t="str">
        <f t="shared" si="130"/>
        <v>#DIV/0!</v>
      </c>
      <c r="AC376" s="2"/>
    </row>
    <row r="377">
      <c r="A377" s="17" t="s">
        <v>42</v>
      </c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20">
        <f t="shared" si="129"/>
        <v>0</v>
      </c>
      <c r="AB377" s="21" t="str">
        <f t="shared" si="130"/>
        <v>#DIV/0!</v>
      </c>
      <c r="AC377" s="2"/>
    </row>
    <row r="378">
      <c r="A378" s="17" t="s">
        <v>43</v>
      </c>
      <c r="B378" s="22">
        <f t="shared" ref="B378:Z378" si="131">SUM(B374:B377)</f>
        <v>0</v>
      </c>
      <c r="C378" s="22">
        <f t="shared" si="131"/>
        <v>0</v>
      </c>
      <c r="D378" s="22">
        <f t="shared" si="131"/>
        <v>0</v>
      </c>
      <c r="E378" s="22">
        <f t="shared" si="131"/>
        <v>0</v>
      </c>
      <c r="F378" s="22">
        <f t="shared" si="131"/>
        <v>0</v>
      </c>
      <c r="G378" s="22">
        <f t="shared" si="131"/>
        <v>0</v>
      </c>
      <c r="H378" s="22">
        <f t="shared" si="131"/>
        <v>0</v>
      </c>
      <c r="I378" s="22">
        <f t="shared" si="131"/>
        <v>0</v>
      </c>
      <c r="J378" s="22">
        <f t="shared" si="131"/>
        <v>0</v>
      </c>
      <c r="K378" s="22">
        <f t="shared" si="131"/>
        <v>0</v>
      </c>
      <c r="L378" s="22">
        <f t="shared" si="131"/>
        <v>0</v>
      </c>
      <c r="M378" s="22">
        <f t="shared" si="131"/>
        <v>0</v>
      </c>
      <c r="N378" s="22">
        <f t="shared" si="131"/>
        <v>0</v>
      </c>
      <c r="O378" s="22">
        <f t="shared" si="131"/>
        <v>0</v>
      </c>
      <c r="P378" s="22">
        <f t="shared" si="131"/>
        <v>0</v>
      </c>
      <c r="Q378" s="22">
        <f t="shared" si="131"/>
        <v>0</v>
      </c>
      <c r="R378" s="22">
        <f t="shared" si="131"/>
        <v>0</v>
      </c>
      <c r="S378" s="22">
        <f t="shared" si="131"/>
        <v>0</v>
      </c>
      <c r="T378" s="22">
        <f t="shared" si="131"/>
        <v>0</v>
      </c>
      <c r="U378" s="22">
        <f t="shared" si="131"/>
        <v>0</v>
      </c>
      <c r="V378" s="22">
        <f t="shared" si="131"/>
        <v>0</v>
      </c>
      <c r="W378" s="22">
        <f t="shared" si="131"/>
        <v>0</v>
      </c>
      <c r="X378" s="22">
        <f t="shared" si="131"/>
        <v>0</v>
      </c>
      <c r="Y378" s="22">
        <f t="shared" si="131"/>
        <v>0</v>
      </c>
      <c r="Z378" s="22">
        <f t="shared" si="131"/>
        <v>0</v>
      </c>
      <c r="AA378" s="20">
        <f t="shared" si="129"/>
        <v>0</v>
      </c>
      <c r="AB378" s="23"/>
      <c r="AC378" s="2"/>
    </row>
    <row r="379">
      <c r="A379" s="17" t="s">
        <v>38</v>
      </c>
      <c r="B379" s="24" t="str">
        <f t="shared" ref="B379:Z379" si="132">B378/(COUNT(B374:B377)*1)</f>
        <v>#DIV/0!</v>
      </c>
      <c r="C379" s="24" t="str">
        <f t="shared" si="132"/>
        <v>#DIV/0!</v>
      </c>
      <c r="D379" s="24" t="str">
        <f t="shared" si="132"/>
        <v>#DIV/0!</v>
      </c>
      <c r="E379" s="24" t="str">
        <f t="shared" si="132"/>
        <v>#DIV/0!</v>
      </c>
      <c r="F379" s="24" t="str">
        <f t="shared" si="132"/>
        <v>#DIV/0!</v>
      </c>
      <c r="G379" s="24" t="str">
        <f t="shared" si="132"/>
        <v>#DIV/0!</v>
      </c>
      <c r="H379" s="24" t="str">
        <f t="shared" si="132"/>
        <v>#DIV/0!</v>
      </c>
      <c r="I379" s="24" t="str">
        <f t="shared" si="132"/>
        <v>#DIV/0!</v>
      </c>
      <c r="J379" s="24" t="str">
        <f t="shared" si="132"/>
        <v>#DIV/0!</v>
      </c>
      <c r="K379" s="24" t="str">
        <f t="shared" si="132"/>
        <v>#DIV/0!</v>
      </c>
      <c r="L379" s="24" t="str">
        <f t="shared" si="132"/>
        <v>#DIV/0!</v>
      </c>
      <c r="M379" s="24" t="str">
        <f t="shared" si="132"/>
        <v>#DIV/0!</v>
      </c>
      <c r="N379" s="24" t="str">
        <f t="shared" si="132"/>
        <v>#DIV/0!</v>
      </c>
      <c r="O379" s="24" t="str">
        <f t="shared" si="132"/>
        <v>#DIV/0!</v>
      </c>
      <c r="P379" s="24" t="str">
        <f t="shared" si="132"/>
        <v>#DIV/0!</v>
      </c>
      <c r="Q379" s="24" t="str">
        <f t="shared" si="132"/>
        <v>#DIV/0!</v>
      </c>
      <c r="R379" s="24" t="str">
        <f t="shared" si="132"/>
        <v>#DIV/0!</v>
      </c>
      <c r="S379" s="24" t="str">
        <f t="shared" si="132"/>
        <v>#DIV/0!</v>
      </c>
      <c r="T379" s="24" t="str">
        <f t="shared" si="132"/>
        <v>#DIV/0!</v>
      </c>
      <c r="U379" s="24" t="str">
        <f t="shared" si="132"/>
        <v>#DIV/0!</v>
      </c>
      <c r="V379" s="24" t="str">
        <f t="shared" si="132"/>
        <v>#DIV/0!</v>
      </c>
      <c r="W379" s="24" t="str">
        <f t="shared" si="132"/>
        <v>#DIV/0!</v>
      </c>
      <c r="X379" s="24" t="str">
        <f t="shared" si="132"/>
        <v>#DIV/0!</v>
      </c>
      <c r="Y379" s="24" t="str">
        <f t="shared" si="132"/>
        <v>#DIV/0!</v>
      </c>
      <c r="Z379" s="24" t="str">
        <f t="shared" si="132"/>
        <v>#DIV/0!</v>
      </c>
      <c r="AA379" s="25"/>
      <c r="AB379" s="26" t="str">
        <f>SUM(AB374:AB377)/4</f>
        <v>#DIV/0!</v>
      </c>
      <c r="AC379" s="2"/>
    </row>
    <row r="380">
      <c r="A380" s="27" t="s">
        <v>44</v>
      </c>
      <c r="B380" s="28"/>
      <c r="C380" s="29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30">
        <f t="shared" ref="AA380:AA382" si="133">SUM(B380:Z380)</f>
        <v>0</v>
      </c>
      <c r="AB380" s="31"/>
      <c r="AC380" s="2"/>
    </row>
    <row r="381">
      <c r="A381" s="32" t="s">
        <v>45</v>
      </c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28"/>
      <c r="W381" s="28"/>
      <c r="X381" s="28"/>
      <c r="Y381" s="28"/>
      <c r="Z381" s="28"/>
      <c r="AA381" s="30">
        <f t="shared" si="133"/>
        <v>0</v>
      </c>
      <c r="AB381" s="31"/>
      <c r="AC381" s="9"/>
    </row>
    <row r="382">
      <c r="A382" s="34" t="s">
        <v>46</v>
      </c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28"/>
      <c r="W382" s="28"/>
      <c r="X382" s="28"/>
      <c r="Y382" s="28"/>
      <c r="Z382" s="28"/>
      <c r="AA382" s="30">
        <f t="shared" si="133"/>
        <v>0</v>
      </c>
      <c r="AB382" s="31"/>
      <c r="AC382" s="9"/>
    </row>
    <row r="383">
      <c r="A383" s="35" t="s">
        <v>47</v>
      </c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7"/>
      <c r="AA383" s="38"/>
      <c r="AB383" s="39"/>
      <c r="AC383" s="2"/>
    </row>
    <row r="384">
      <c r="A384" s="40" t="s">
        <v>48</v>
      </c>
      <c r="B384" s="41"/>
      <c r="C384" s="42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3"/>
      <c r="W384" s="43"/>
      <c r="X384" s="43"/>
      <c r="Y384" s="43"/>
      <c r="Z384" s="43"/>
      <c r="AA384" s="44">
        <f t="shared" ref="AA384:AA385" si="134">SUM(B384:Z384)</f>
        <v>0</v>
      </c>
      <c r="AB384" s="31"/>
      <c r="AC384" s="2"/>
    </row>
    <row r="385">
      <c r="A385" s="40" t="s">
        <v>49</v>
      </c>
      <c r="B385" s="41"/>
      <c r="C385" s="42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3"/>
      <c r="W385" s="43"/>
      <c r="X385" s="43"/>
      <c r="Y385" s="43"/>
      <c r="Z385" s="43"/>
      <c r="AA385" s="44">
        <f t="shared" si="134"/>
        <v>0</v>
      </c>
      <c r="AB385" s="31"/>
      <c r="AC385" s="2"/>
    </row>
    <row r="386">
      <c r="A386" s="40" t="s">
        <v>50</v>
      </c>
      <c r="B386" s="42"/>
      <c r="C386" s="42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3"/>
      <c r="W386" s="43"/>
      <c r="X386" s="43"/>
      <c r="Y386" s="43"/>
      <c r="Z386" s="43"/>
      <c r="AA386" s="44" t="str">
        <f>AVERAGE(B386:Z386)</f>
        <v>#DIV/0!</v>
      </c>
      <c r="AB386" s="31"/>
      <c r="AC386" s="2"/>
    </row>
    <row r="387">
      <c r="A387" s="45" t="s">
        <v>51</v>
      </c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7"/>
      <c r="AA387" s="46"/>
      <c r="AB387" s="39"/>
      <c r="AC387" s="2"/>
    </row>
    <row r="388">
      <c r="A388" s="47" t="s">
        <v>48</v>
      </c>
      <c r="B388" s="48"/>
      <c r="C388" s="49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50"/>
      <c r="W388" s="50"/>
      <c r="X388" s="50"/>
      <c r="Y388" s="50"/>
      <c r="Z388" s="50"/>
      <c r="AA388" s="51">
        <f t="shared" ref="AA388:AA389" si="135">SUM(B388:Z388)</f>
        <v>0</v>
      </c>
      <c r="AB388" s="31"/>
      <c r="AC388" s="2"/>
    </row>
    <row r="389">
      <c r="A389" s="47" t="s">
        <v>49</v>
      </c>
      <c r="B389" s="48"/>
      <c r="C389" s="49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50"/>
      <c r="W389" s="50"/>
      <c r="X389" s="50"/>
      <c r="Y389" s="50"/>
      <c r="Z389" s="50"/>
      <c r="AA389" s="51">
        <f t="shared" si="135"/>
        <v>0</v>
      </c>
      <c r="AB389" s="31"/>
      <c r="AC389" s="2"/>
    </row>
    <row r="390">
      <c r="A390" s="47" t="s">
        <v>50</v>
      </c>
      <c r="B390" s="49"/>
      <c r="C390" s="49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50"/>
      <c r="W390" s="50"/>
      <c r="X390" s="50"/>
      <c r="Y390" s="50"/>
      <c r="Z390" s="50"/>
      <c r="AA390" s="51" t="str">
        <f>AVERAGE(B390:Z390)</f>
        <v>#DIV/0!</v>
      </c>
      <c r="AB390" s="31"/>
      <c r="AC390" s="2"/>
    </row>
    <row r="391">
      <c r="A391" s="52" t="s">
        <v>53</v>
      </c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7"/>
      <c r="AA391" s="38"/>
      <c r="AB391" s="39"/>
      <c r="AC391" s="2"/>
    </row>
    <row r="392">
      <c r="A392" s="40" t="s">
        <v>48</v>
      </c>
      <c r="B392" s="41"/>
      <c r="C392" s="42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3"/>
      <c r="W392" s="43"/>
      <c r="X392" s="43"/>
      <c r="Y392" s="43"/>
      <c r="Z392" s="43"/>
      <c r="AA392" s="44">
        <f t="shared" ref="AA392:AA393" si="136">SUM(B392:Z392)</f>
        <v>0</v>
      </c>
      <c r="AB392" s="31"/>
      <c r="AC392" s="2"/>
    </row>
    <row r="393">
      <c r="A393" s="40" t="s">
        <v>49</v>
      </c>
      <c r="B393" s="41"/>
      <c r="C393" s="42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3"/>
      <c r="W393" s="43"/>
      <c r="X393" s="43"/>
      <c r="Y393" s="43"/>
      <c r="Z393" s="43"/>
      <c r="AA393" s="44">
        <f t="shared" si="136"/>
        <v>0</v>
      </c>
      <c r="AB393" s="31"/>
      <c r="AC393" s="2"/>
    </row>
    <row r="394">
      <c r="A394" s="53" t="s">
        <v>50</v>
      </c>
      <c r="B394" s="54"/>
      <c r="C394" s="54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6"/>
      <c r="W394" s="56"/>
      <c r="X394" s="56"/>
      <c r="Y394" s="56"/>
      <c r="Z394" s="56"/>
      <c r="AA394" s="57" t="str">
        <f>AVERAGE(B394:Z394)</f>
        <v>#DIV/0!</v>
      </c>
      <c r="AB394" s="58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59"/>
      <c r="AB395" s="59"/>
      <c r="AC395" s="2"/>
    </row>
    <row r="396">
      <c r="A396" s="71" t="s">
        <v>54</v>
      </c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5" t="s">
        <v>37</v>
      </c>
      <c r="AB396" s="16" t="s">
        <v>38</v>
      </c>
      <c r="AC396" s="2"/>
    </row>
    <row r="397">
      <c r="A397" s="17" t="s">
        <v>39</v>
      </c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20">
        <f t="shared" ref="AA397:AA401" si="137">SUM(B397:Z397)</f>
        <v>0</v>
      </c>
      <c r="AB397" s="21" t="str">
        <f t="shared" ref="AB397:AB400" si="138">AA397/(COUNT(B397:Z397)*1)</f>
        <v>#DIV/0!</v>
      </c>
      <c r="AC397" s="2"/>
    </row>
    <row r="398">
      <c r="A398" s="17" t="s">
        <v>40</v>
      </c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20">
        <f t="shared" si="137"/>
        <v>0</v>
      </c>
      <c r="AB398" s="21" t="str">
        <f t="shared" si="138"/>
        <v>#DIV/0!</v>
      </c>
      <c r="AC398" s="2"/>
    </row>
    <row r="399">
      <c r="A399" s="17" t="s">
        <v>41</v>
      </c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20">
        <f t="shared" si="137"/>
        <v>0</v>
      </c>
      <c r="AB399" s="21" t="str">
        <f t="shared" si="138"/>
        <v>#DIV/0!</v>
      </c>
      <c r="AC399" s="2"/>
    </row>
    <row r="400">
      <c r="A400" s="17" t="s">
        <v>42</v>
      </c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20">
        <f t="shared" si="137"/>
        <v>0</v>
      </c>
      <c r="AB400" s="21" t="str">
        <f t="shared" si="138"/>
        <v>#DIV/0!</v>
      </c>
      <c r="AC400" s="2"/>
    </row>
    <row r="401">
      <c r="A401" s="17" t="s">
        <v>43</v>
      </c>
      <c r="B401" s="22">
        <f t="shared" ref="B401:Z401" si="139">SUM(B397:B400)</f>
        <v>0</v>
      </c>
      <c r="C401" s="22">
        <f t="shared" si="139"/>
        <v>0</v>
      </c>
      <c r="D401" s="22">
        <f t="shared" si="139"/>
        <v>0</v>
      </c>
      <c r="E401" s="22">
        <f t="shared" si="139"/>
        <v>0</v>
      </c>
      <c r="F401" s="22">
        <f t="shared" si="139"/>
        <v>0</v>
      </c>
      <c r="G401" s="22">
        <f t="shared" si="139"/>
        <v>0</v>
      </c>
      <c r="H401" s="22">
        <f t="shared" si="139"/>
        <v>0</v>
      </c>
      <c r="I401" s="22">
        <f t="shared" si="139"/>
        <v>0</v>
      </c>
      <c r="J401" s="22">
        <f t="shared" si="139"/>
        <v>0</v>
      </c>
      <c r="K401" s="22">
        <f t="shared" si="139"/>
        <v>0</v>
      </c>
      <c r="L401" s="22">
        <f t="shared" si="139"/>
        <v>0</v>
      </c>
      <c r="M401" s="22">
        <f t="shared" si="139"/>
        <v>0</v>
      </c>
      <c r="N401" s="22">
        <f t="shared" si="139"/>
        <v>0</v>
      </c>
      <c r="O401" s="22">
        <f t="shared" si="139"/>
        <v>0</v>
      </c>
      <c r="P401" s="22">
        <f t="shared" si="139"/>
        <v>0</v>
      </c>
      <c r="Q401" s="22">
        <f t="shared" si="139"/>
        <v>0</v>
      </c>
      <c r="R401" s="22">
        <f t="shared" si="139"/>
        <v>0</v>
      </c>
      <c r="S401" s="22">
        <f t="shared" si="139"/>
        <v>0</v>
      </c>
      <c r="T401" s="22">
        <f t="shared" si="139"/>
        <v>0</v>
      </c>
      <c r="U401" s="22">
        <f t="shared" si="139"/>
        <v>0</v>
      </c>
      <c r="V401" s="22">
        <f t="shared" si="139"/>
        <v>0</v>
      </c>
      <c r="W401" s="22">
        <f t="shared" si="139"/>
        <v>0</v>
      </c>
      <c r="X401" s="22">
        <f t="shared" si="139"/>
        <v>0</v>
      </c>
      <c r="Y401" s="22">
        <f t="shared" si="139"/>
        <v>0</v>
      </c>
      <c r="Z401" s="22">
        <f t="shared" si="139"/>
        <v>0</v>
      </c>
      <c r="AA401" s="20">
        <f t="shared" si="137"/>
        <v>0</v>
      </c>
      <c r="AB401" s="23"/>
      <c r="AC401" s="2"/>
    </row>
    <row r="402">
      <c r="A402" s="17" t="s">
        <v>38</v>
      </c>
      <c r="B402" s="24" t="str">
        <f t="shared" ref="B402:Z402" si="140">B401/(COUNT(B397:B400)*1)</f>
        <v>#DIV/0!</v>
      </c>
      <c r="C402" s="24" t="str">
        <f t="shared" si="140"/>
        <v>#DIV/0!</v>
      </c>
      <c r="D402" s="24" t="str">
        <f t="shared" si="140"/>
        <v>#DIV/0!</v>
      </c>
      <c r="E402" s="24" t="str">
        <f t="shared" si="140"/>
        <v>#DIV/0!</v>
      </c>
      <c r="F402" s="24" t="str">
        <f t="shared" si="140"/>
        <v>#DIV/0!</v>
      </c>
      <c r="G402" s="24" t="str">
        <f t="shared" si="140"/>
        <v>#DIV/0!</v>
      </c>
      <c r="H402" s="24" t="str">
        <f t="shared" si="140"/>
        <v>#DIV/0!</v>
      </c>
      <c r="I402" s="24" t="str">
        <f t="shared" si="140"/>
        <v>#DIV/0!</v>
      </c>
      <c r="J402" s="24" t="str">
        <f t="shared" si="140"/>
        <v>#DIV/0!</v>
      </c>
      <c r="K402" s="24" t="str">
        <f t="shared" si="140"/>
        <v>#DIV/0!</v>
      </c>
      <c r="L402" s="24" t="str">
        <f t="shared" si="140"/>
        <v>#DIV/0!</v>
      </c>
      <c r="M402" s="24" t="str">
        <f t="shared" si="140"/>
        <v>#DIV/0!</v>
      </c>
      <c r="N402" s="24" t="str">
        <f t="shared" si="140"/>
        <v>#DIV/0!</v>
      </c>
      <c r="O402" s="24" t="str">
        <f t="shared" si="140"/>
        <v>#DIV/0!</v>
      </c>
      <c r="P402" s="24" t="str">
        <f t="shared" si="140"/>
        <v>#DIV/0!</v>
      </c>
      <c r="Q402" s="24" t="str">
        <f t="shared" si="140"/>
        <v>#DIV/0!</v>
      </c>
      <c r="R402" s="24" t="str">
        <f t="shared" si="140"/>
        <v>#DIV/0!</v>
      </c>
      <c r="S402" s="24" t="str">
        <f t="shared" si="140"/>
        <v>#DIV/0!</v>
      </c>
      <c r="T402" s="24" t="str">
        <f t="shared" si="140"/>
        <v>#DIV/0!</v>
      </c>
      <c r="U402" s="24" t="str">
        <f t="shared" si="140"/>
        <v>#DIV/0!</v>
      </c>
      <c r="V402" s="24" t="str">
        <f t="shared" si="140"/>
        <v>#DIV/0!</v>
      </c>
      <c r="W402" s="24" t="str">
        <f t="shared" si="140"/>
        <v>#DIV/0!</v>
      </c>
      <c r="X402" s="24" t="str">
        <f t="shared" si="140"/>
        <v>#DIV/0!</v>
      </c>
      <c r="Y402" s="24" t="str">
        <f t="shared" si="140"/>
        <v>#DIV/0!</v>
      </c>
      <c r="Z402" s="24" t="str">
        <f t="shared" si="140"/>
        <v>#DIV/0!</v>
      </c>
      <c r="AA402" s="25"/>
      <c r="AB402" s="26" t="str">
        <f>SUM(AB397:AB400)/4</f>
        <v>#DIV/0!</v>
      </c>
      <c r="AC402" s="2"/>
    </row>
    <row r="403">
      <c r="A403" s="27" t="s">
        <v>44</v>
      </c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30">
        <f t="shared" ref="AA403:AA405" si="141">SUM(B403:Z403)</f>
        <v>0</v>
      </c>
      <c r="AB403" s="31"/>
      <c r="AC403" s="2"/>
    </row>
    <row r="404">
      <c r="A404" s="32" t="s">
        <v>45</v>
      </c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28"/>
      <c r="W404" s="28"/>
      <c r="X404" s="28"/>
      <c r="Y404" s="28"/>
      <c r="Z404" s="28"/>
      <c r="AA404" s="30">
        <f t="shared" si="141"/>
        <v>0</v>
      </c>
      <c r="AB404" s="31"/>
      <c r="AC404" s="9"/>
    </row>
    <row r="405">
      <c r="A405" s="34" t="s">
        <v>46</v>
      </c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28"/>
      <c r="W405" s="28"/>
      <c r="X405" s="28"/>
      <c r="Y405" s="28"/>
      <c r="Z405" s="28"/>
      <c r="AA405" s="30">
        <f t="shared" si="141"/>
        <v>0</v>
      </c>
      <c r="AB405" s="31"/>
      <c r="AC405" s="9"/>
    </row>
    <row r="406">
      <c r="A406" s="35" t="s">
        <v>47</v>
      </c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8"/>
      <c r="AB406" s="39"/>
      <c r="AC406" s="2"/>
    </row>
    <row r="407">
      <c r="A407" s="40" t="s">
        <v>48</v>
      </c>
      <c r="B407" s="41"/>
      <c r="C407" s="42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3"/>
      <c r="W407" s="43"/>
      <c r="X407" s="43"/>
      <c r="Y407" s="43"/>
      <c r="Z407" s="43"/>
      <c r="AA407" s="44">
        <f t="shared" ref="AA407:AA408" si="142">SUM(B407:Z407)</f>
        <v>0</v>
      </c>
      <c r="AB407" s="31"/>
      <c r="AC407" s="2"/>
    </row>
    <row r="408">
      <c r="A408" s="40" t="s">
        <v>49</v>
      </c>
      <c r="B408" s="41"/>
      <c r="C408" s="42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3"/>
      <c r="W408" s="43"/>
      <c r="X408" s="43"/>
      <c r="Y408" s="43"/>
      <c r="Z408" s="43"/>
      <c r="AA408" s="44">
        <f t="shared" si="142"/>
        <v>0</v>
      </c>
      <c r="AB408" s="31"/>
      <c r="AC408" s="2"/>
    </row>
    <row r="409">
      <c r="A409" s="40" t="s">
        <v>50</v>
      </c>
      <c r="B409" s="42"/>
      <c r="C409" s="42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3"/>
      <c r="W409" s="43"/>
      <c r="X409" s="43"/>
      <c r="Y409" s="43"/>
      <c r="Z409" s="43"/>
      <c r="AA409" s="44" t="str">
        <f>AVERAGE(B409:Z409)</f>
        <v>#DIV/0!</v>
      </c>
      <c r="AB409" s="31"/>
      <c r="AC409" s="2"/>
    </row>
    <row r="410">
      <c r="A410" s="45" t="s">
        <v>51</v>
      </c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7"/>
      <c r="AA410" s="46"/>
      <c r="AB410" s="39"/>
      <c r="AC410" s="2"/>
    </row>
    <row r="411">
      <c r="A411" s="47" t="s">
        <v>48</v>
      </c>
      <c r="B411" s="48"/>
      <c r="C411" s="49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50"/>
      <c r="W411" s="50"/>
      <c r="X411" s="50"/>
      <c r="Y411" s="50"/>
      <c r="Z411" s="50"/>
      <c r="AA411" s="51">
        <f t="shared" ref="AA411:AA412" si="143">SUM(B411:Z411)</f>
        <v>0</v>
      </c>
      <c r="AB411" s="31"/>
      <c r="AC411" s="2"/>
    </row>
    <row r="412">
      <c r="A412" s="47" t="s">
        <v>49</v>
      </c>
      <c r="B412" s="48"/>
      <c r="C412" s="49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50"/>
      <c r="W412" s="50"/>
      <c r="X412" s="50"/>
      <c r="Y412" s="50"/>
      <c r="Z412" s="50"/>
      <c r="AA412" s="51">
        <f t="shared" si="143"/>
        <v>0</v>
      </c>
      <c r="AB412" s="31"/>
      <c r="AC412" s="2"/>
    </row>
    <row r="413">
      <c r="A413" s="47" t="s">
        <v>50</v>
      </c>
      <c r="B413" s="49"/>
      <c r="C413" s="49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50"/>
      <c r="W413" s="50"/>
      <c r="X413" s="50"/>
      <c r="Y413" s="50"/>
      <c r="Z413" s="50"/>
      <c r="AA413" s="51" t="str">
        <f>AVERAGE(B413:Z413)</f>
        <v>#DIV/0!</v>
      </c>
      <c r="AB413" s="31"/>
      <c r="AC413" s="2"/>
    </row>
    <row r="414">
      <c r="A414" s="52" t="s">
        <v>53</v>
      </c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7"/>
      <c r="AA414" s="38"/>
      <c r="AB414" s="39"/>
      <c r="AC414" s="2"/>
    </row>
    <row r="415">
      <c r="A415" s="40" t="s">
        <v>48</v>
      </c>
      <c r="B415" s="41"/>
      <c r="C415" s="42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3"/>
      <c r="W415" s="43"/>
      <c r="X415" s="43"/>
      <c r="Y415" s="43"/>
      <c r="Z415" s="43"/>
      <c r="AA415" s="44">
        <f t="shared" ref="AA415:AA416" si="144">SUM(B415:Z415)</f>
        <v>0</v>
      </c>
      <c r="AB415" s="31"/>
      <c r="AC415" s="2"/>
    </row>
    <row r="416">
      <c r="A416" s="40" t="s">
        <v>49</v>
      </c>
      <c r="B416" s="41"/>
      <c r="C416" s="42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3"/>
      <c r="W416" s="43"/>
      <c r="X416" s="43"/>
      <c r="Y416" s="43"/>
      <c r="Z416" s="43"/>
      <c r="AA416" s="44">
        <f t="shared" si="144"/>
        <v>0</v>
      </c>
      <c r="AB416" s="31"/>
      <c r="AC416" s="2"/>
    </row>
    <row r="417">
      <c r="A417" s="53" t="s">
        <v>50</v>
      </c>
      <c r="B417" s="54"/>
      <c r="C417" s="54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6"/>
      <c r="W417" s="56"/>
      <c r="X417" s="56"/>
      <c r="Y417" s="56"/>
      <c r="Z417" s="56"/>
      <c r="AA417" s="57" t="str">
        <f>AVERAGE(B417:Z417)</f>
        <v>#DIV/0!</v>
      </c>
      <c r="AB417" s="58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59"/>
      <c r="AB418" s="59"/>
      <c r="AC418" s="2"/>
    </row>
    <row r="419">
      <c r="A419" s="71" t="s">
        <v>54</v>
      </c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5" t="s">
        <v>37</v>
      </c>
      <c r="AB419" s="16" t="s">
        <v>38</v>
      </c>
      <c r="AC419" s="2"/>
    </row>
    <row r="420">
      <c r="A420" s="17" t="s">
        <v>39</v>
      </c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20">
        <f t="shared" ref="AA420:AA424" si="145">SUM(B420:Z420)</f>
        <v>0</v>
      </c>
      <c r="AB420" s="21" t="str">
        <f t="shared" ref="AB420:AB423" si="146">AA420/(COUNT(B420:Z420)*1)</f>
        <v>#DIV/0!</v>
      </c>
      <c r="AC420" s="2"/>
    </row>
    <row r="421">
      <c r="A421" s="17" t="s">
        <v>40</v>
      </c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20">
        <f t="shared" si="145"/>
        <v>0</v>
      </c>
      <c r="AB421" s="21" t="str">
        <f t="shared" si="146"/>
        <v>#DIV/0!</v>
      </c>
      <c r="AC421" s="2"/>
    </row>
    <row r="422">
      <c r="A422" s="17" t="s">
        <v>41</v>
      </c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20">
        <f t="shared" si="145"/>
        <v>0</v>
      </c>
      <c r="AB422" s="21" t="str">
        <f t="shared" si="146"/>
        <v>#DIV/0!</v>
      </c>
      <c r="AC422" s="2"/>
    </row>
    <row r="423">
      <c r="A423" s="17" t="s">
        <v>42</v>
      </c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20">
        <f t="shared" si="145"/>
        <v>0</v>
      </c>
      <c r="AB423" s="21" t="str">
        <f t="shared" si="146"/>
        <v>#DIV/0!</v>
      </c>
      <c r="AC423" s="2"/>
    </row>
    <row r="424">
      <c r="A424" s="17" t="s">
        <v>43</v>
      </c>
      <c r="B424" s="22">
        <f t="shared" ref="B424:Z424" si="147">SUM(B420:B423)</f>
        <v>0</v>
      </c>
      <c r="C424" s="22">
        <f t="shared" si="147"/>
        <v>0</v>
      </c>
      <c r="D424" s="22">
        <f t="shared" si="147"/>
        <v>0</v>
      </c>
      <c r="E424" s="22">
        <f t="shared" si="147"/>
        <v>0</v>
      </c>
      <c r="F424" s="22">
        <f t="shared" si="147"/>
        <v>0</v>
      </c>
      <c r="G424" s="22">
        <f t="shared" si="147"/>
        <v>0</v>
      </c>
      <c r="H424" s="22">
        <f t="shared" si="147"/>
        <v>0</v>
      </c>
      <c r="I424" s="22">
        <f t="shared" si="147"/>
        <v>0</v>
      </c>
      <c r="J424" s="22">
        <f t="shared" si="147"/>
        <v>0</v>
      </c>
      <c r="K424" s="22">
        <f t="shared" si="147"/>
        <v>0</v>
      </c>
      <c r="L424" s="22">
        <f t="shared" si="147"/>
        <v>0</v>
      </c>
      <c r="M424" s="22">
        <f t="shared" si="147"/>
        <v>0</v>
      </c>
      <c r="N424" s="22">
        <f t="shared" si="147"/>
        <v>0</v>
      </c>
      <c r="O424" s="22">
        <f t="shared" si="147"/>
        <v>0</v>
      </c>
      <c r="P424" s="22">
        <f t="shared" si="147"/>
        <v>0</v>
      </c>
      <c r="Q424" s="22">
        <f t="shared" si="147"/>
        <v>0</v>
      </c>
      <c r="R424" s="22">
        <f t="shared" si="147"/>
        <v>0</v>
      </c>
      <c r="S424" s="22">
        <f t="shared" si="147"/>
        <v>0</v>
      </c>
      <c r="T424" s="22">
        <f t="shared" si="147"/>
        <v>0</v>
      </c>
      <c r="U424" s="22">
        <f t="shared" si="147"/>
        <v>0</v>
      </c>
      <c r="V424" s="22">
        <f t="shared" si="147"/>
        <v>0</v>
      </c>
      <c r="W424" s="22">
        <f t="shared" si="147"/>
        <v>0</v>
      </c>
      <c r="X424" s="22">
        <f t="shared" si="147"/>
        <v>0</v>
      </c>
      <c r="Y424" s="22">
        <f t="shared" si="147"/>
        <v>0</v>
      </c>
      <c r="Z424" s="22">
        <f t="shared" si="147"/>
        <v>0</v>
      </c>
      <c r="AA424" s="20">
        <f t="shared" si="145"/>
        <v>0</v>
      </c>
      <c r="AB424" s="23"/>
      <c r="AC424" s="2"/>
    </row>
    <row r="425">
      <c r="A425" s="17" t="s">
        <v>38</v>
      </c>
      <c r="B425" s="24" t="str">
        <f t="shared" ref="B425:Z425" si="148">B424/(COUNT(B420:B423)*1)</f>
        <v>#DIV/0!</v>
      </c>
      <c r="C425" s="24" t="str">
        <f t="shared" si="148"/>
        <v>#DIV/0!</v>
      </c>
      <c r="D425" s="24" t="str">
        <f t="shared" si="148"/>
        <v>#DIV/0!</v>
      </c>
      <c r="E425" s="24" t="str">
        <f t="shared" si="148"/>
        <v>#DIV/0!</v>
      </c>
      <c r="F425" s="24" t="str">
        <f t="shared" si="148"/>
        <v>#DIV/0!</v>
      </c>
      <c r="G425" s="24" t="str">
        <f t="shared" si="148"/>
        <v>#DIV/0!</v>
      </c>
      <c r="H425" s="24" t="str">
        <f t="shared" si="148"/>
        <v>#DIV/0!</v>
      </c>
      <c r="I425" s="24" t="str">
        <f t="shared" si="148"/>
        <v>#DIV/0!</v>
      </c>
      <c r="J425" s="24" t="str">
        <f t="shared" si="148"/>
        <v>#DIV/0!</v>
      </c>
      <c r="K425" s="24" t="str">
        <f t="shared" si="148"/>
        <v>#DIV/0!</v>
      </c>
      <c r="L425" s="24" t="str">
        <f t="shared" si="148"/>
        <v>#DIV/0!</v>
      </c>
      <c r="M425" s="24" t="str">
        <f t="shared" si="148"/>
        <v>#DIV/0!</v>
      </c>
      <c r="N425" s="24" t="str">
        <f t="shared" si="148"/>
        <v>#DIV/0!</v>
      </c>
      <c r="O425" s="24" t="str">
        <f t="shared" si="148"/>
        <v>#DIV/0!</v>
      </c>
      <c r="P425" s="24" t="str">
        <f t="shared" si="148"/>
        <v>#DIV/0!</v>
      </c>
      <c r="Q425" s="24" t="str">
        <f t="shared" si="148"/>
        <v>#DIV/0!</v>
      </c>
      <c r="R425" s="24" t="str">
        <f t="shared" si="148"/>
        <v>#DIV/0!</v>
      </c>
      <c r="S425" s="24" t="str">
        <f t="shared" si="148"/>
        <v>#DIV/0!</v>
      </c>
      <c r="T425" s="24" t="str">
        <f t="shared" si="148"/>
        <v>#DIV/0!</v>
      </c>
      <c r="U425" s="24" t="str">
        <f t="shared" si="148"/>
        <v>#DIV/0!</v>
      </c>
      <c r="V425" s="24" t="str">
        <f t="shared" si="148"/>
        <v>#DIV/0!</v>
      </c>
      <c r="W425" s="24" t="str">
        <f t="shared" si="148"/>
        <v>#DIV/0!</v>
      </c>
      <c r="X425" s="24" t="str">
        <f t="shared" si="148"/>
        <v>#DIV/0!</v>
      </c>
      <c r="Y425" s="24" t="str">
        <f t="shared" si="148"/>
        <v>#DIV/0!</v>
      </c>
      <c r="Z425" s="24" t="str">
        <f t="shared" si="148"/>
        <v>#DIV/0!</v>
      </c>
      <c r="AA425" s="25"/>
      <c r="AB425" s="26" t="str">
        <f>SUM(AB420:AB423)/4</f>
        <v>#DIV/0!</v>
      </c>
      <c r="AC425" s="2"/>
    </row>
    <row r="426">
      <c r="A426" s="27" t="s">
        <v>44</v>
      </c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30">
        <f t="shared" ref="AA426:AA428" si="149">SUM(B426:Z426)</f>
        <v>0</v>
      </c>
      <c r="AB426" s="31"/>
      <c r="AC426" s="2"/>
    </row>
    <row r="427">
      <c r="A427" s="32" t="s">
        <v>45</v>
      </c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28"/>
      <c r="W427" s="28"/>
      <c r="X427" s="28"/>
      <c r="Y427" s="28"/>
      <c r="Z427" s="28"/>
      <c r="AA427" s="30">
        <f t="shared" si="149"/>
        <v>0</v>
      </c>
      <c r="AB427" s="31"/>
      <c r="AC427" s="9"/>
    </row>
    <row r="428">
      <c r="A428" s="34" t="s">
        <v>46</v>
      </c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28"/>
      <c r="W428" s="28"/>
      <c r="X428" s="28"/>
      <c r="Y428" s="28"/>
      <c r="Z428" s="28"/>
      <c r="AA428" s="30">
        <f t="shared" si="149"/>
        <v>0</v>
      </c>
      <c r="AB428" s="31"/>
      <c r="AC428" s="9"/>
    </row>
    <row r="429">
      <c r="A429" s="35" t="s">
        <v>47</v>
      </c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7"/>
      <c r="AA429" s="38"/>
      <c r="AB429" s="39"/>
      <c r="AC429" s="2"/>
    </row>
    <row r="430">
      <c r="A430" s="40" t="s">
        <v>48</v>
      </c>
      <c r="B430" s="41"/>
      <c r="C430" s="42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3"/>
      <c r="W430" s="43"/>
      <c r="X430" s="43"/>
      <c r="Y430" s="43"/>
      <c r="Z430" s="43"/>
      <c r="AA430" s="44">
        <f t="shared" ref="AA430:AA431" si="150">SUM(B430:Z430)</f>
        <v>0</v>
      </c>
      <c r="AB430" s="31"/>
      <c r="AC430" s="2"/>
    </row>
    <row r="431">
      <c r="A431" s="40" t="s">
        <v>49</v>
      </c>
      <c r="B431" s="41"/>
      <c r="C431" s="42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3"/>
      <c r="W431" s="43"/>
      <c r="X431" s="43"/>
      <c r="Y431" s="43"/>
      <c r="Z431" s="43"/>
      <c r="AA431" s="44">
        <f t="shared" si="150"/>
        <v>0</v>
      </c>
      <c r="AB431" s="31"/>
      <c r="AC431" s="2"/>
    </row>
    <row r="432">
      <c r="A432" s="40" t="s">
        <v>50</v>
      </c>
      <c r="B432" s="42"/>
      <c r="C432" s="42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3"/>
      <c r="W432" s="43"/>
      <c r="X432" s="43"/>
      <c r="Y432" s="43"/>
      <c r="Z432" s="43"/>
      <c r="AA432" s="44" t="str">
        <f>AVERAGE(B432:Z432)</f>
        <v>#DIV/0!</v>
      </c>
      <c r="AB432" s="31"/>
      <c r="AC432" s="2"/>
    </row>
    <row r="433">
      <c r="A433" s="45" t="s">
        <v>51</v>
      </c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7"/>
      <c r="AA433" s="46"/>
      <c r="AB433" s="39"/>
      <c r="AC433" s="2"/>
    </row>
    <row r="434">
      <c r="A434" s="47" t="s">
        <v>48</v>
      </c>
      <c r="B434" s="48"/>
      <c r="C434" s="49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50"/>
      <c r="W434" s="50"/>
      <c r="X434" s="50"/>
      <c r="Y434" s="50"/>
      <c r="Z434" s="50"/>
      <c r="AA434" s="51">
        <f t="shared" ref="AA434:AA435" si="151">SUM(B434:Z434)</f>
        <v>0</v>
      </c>
      <c r="AB434" s="31"/>
      <c r="AC434" s="2"/>
    </row>
    <row r="435">
      <c r="A435" s="47" t="s">
        <v>49</v>
      </c>
      <c r="B435" s="48"/>
      <c r="C435" s="49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50"/>
      <c r="W435" s="50"/>
      <c r="X435" s="50"/>
      <c r="Y435" s="50"/>
      <c r="Z435" s="50"/>
      <c r="AA435" s="51">
        <f t="shared" si="151"/>
        <v>0</v>
      </c>
      <c r="AB435" s="31"/>
      <c r="AC435" s="2"/>
    </row>
    <row r="436">
      <c r="A436" s="47" t="s">
        <v>50</v>
      </c>
      <c r="B436" s="49"/>
      <c r="C436" s="49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50"/>
      <c r="W436" s="50"/>
      <c r="X436" s="50"/>
      <c r="Y436" s="50"/>
      <c r="Z436" s="50"/>
      <c r="AA436" s="51" t="str">
        <f>AVERAGE(B436:Z436)</f>
        <v>#DIV/0!</v>
      </c>
      <c r="AB436" s="31"/>
      <c r="AC436" s="2"/>
    </row>
    <row r="437">
      <c r="A437" s="52" t="s">
        <v>53</v>
      </c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7"/>
      <c r="AA437" s="38"/>
      <c r="AB437" s="39"/>
      <c r="AC437" s="2"/>
    </row>
    <row r="438">
      <c r="A438" s="40" t="s">
        <v>48</v>
      </c>
      <c r="B438" s="41"/>
      <c r="C438" s="42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3"/>
      <c r="W438" s="43"/>
      <c r="X438" s="43"/>
      <c r="Y438" s="43"/>
      <c r="Z438" s="43"/>
      <c r="AA438" s="44">
        <f t="shared" ref="AA438:AA439" si="152">SUM(B438:Z438)</f>
        <v>0</v>
      </c>
      <c r="AB438" s="31"/>
      <c r="AC438" s="2"/>
    </row>
    <row r="439">
      <c r="A439" s="40" t="s">
        <v>49</v>
      </c>
      <c r="B439" s="41"/>
      <c r="C439" s="42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3"/>
      <c r="W439" s="43"/>
      <c r="X439" s="43"/>
      <c r="Y439" s="43"/>
      <c r="Z439" s="43"/>
      <c r="AA439" s="44">
        <f t="shared" si="152"/>
        <v>0</v>
      </c>
      <c r="AB439" s="31"/>
      <c r="AC439" s="2"/>
    </row>
    <row r="440">
      <c r="A440" s="53" t="s">
        <v>50</v>
      </c>
      <c r="B440" s="54"/>
      <c r="C440" s="54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6"/>
      <c r="W440" s="56"/>
      <c r="X440" s="56"/>
      <c r="Y440" s="56"/>
      <c r="Z440" s="56"/>
      <c r="AA440" s="57" t="str">
        <f>AVERAGE(B440:Z440)</f>
        <v>#DIV/0!</v>
      </c>
      <c r="AB440" s="58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59"/>
      <c r="AB441" s="59"/>
      <c r="AC441" s="2"/>
    </row>
    <row r="442">
      <c r="A442" s="71" t="s">
        <v>54</v>
      </c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5" t="s">
        <v>37</v>
      </c>
      <c r="AB442" s="16" t="s">
        <v>38</v>
      </c>
      <c r="AC442" s="2"/>
    </row>
    <row r="443">
      <c r="A443" s="17" t="s">
        <v>39</v>
      </c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20">
        <f t="shared" ref="AA443:AA447" si="153">SUM(B443:Z443)</f>
        <v>0</v>
      </c>
      <c r="AB443" s="21" t="str">
        <f t="shared" ref="AB443:AB446" si="154">AA443/(COUNT(B443:Z443)*1)</f>
        <v>#DIV/0!</v>
      </c>
      <c r="AC443" s="2"/>
    </row>
    <row r="444">
      <c r="A444" s="17" t="s">
        <v>40</v>
      </c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20">
        <f t="shared" si="153"/>
        <v>0</v>
      </c>
      <c r="AB444" s="21" t="str">
        <f t="shared" si="154"/>
        <v>#DIV/0!</v>
      </c>
      <c r="AC444" s="2"/>
    </row>
    <row r="445">
      <c r="A445" s="17" t="s">
        <v>41</v>
      </c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20">
        <f t="shared" si="153"/>
        <v>0</v>
      </c>
      <c r="AB445" s="21" t="str">
        <f t="shared" si="154"/>
        <v>#DIV/0!</v>
      </c>
      <c r="AC445" s="2"/>
    </row>
    <row r="446">
      <c r="A446" s="17" t="s">
        <v>42</v>
      </c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20">
        <f t="shared" si="153"/>
        <v>0</v>
      </c>
      <c r="AB446" s="21" t="str">
        <f t="shared" si="154"/>
        <v>#DIV/0!</v>
      </c>
      <c r="AC446" s="2"/>
    </row>
    <row r="447">
      <c r="A447" s="17" t="s">
        <v>43</v>
      </c>
      <c r="B447" s="22">
        <f t="shared" ref="B447:Z447" si="155">SUM(B443:B446)</f>
        <v>0</v>
      </c>
      <c r="C447" s="22">
        <f t="shared" si="155"/>
        <v>0</v>
      </c>
      <c r="D447" s="22">
        <f t="shared" si="155"/>
        <v>0</v>
      </c>
      <c r="E447" s="22">
        <f t="shared" si="155"/>
        <v>0</v>
      </c>
      <c r="F447" s="22">
        <f t="shared" si="155"/>
        <v>0</v>
      </c>
      <c r="G447" s="22">
        <f t="shared" si="155"/>
        <v>0</v>
      </c>
      <c r="H447" s="22">
        <f t="shared" si="155"/>
        <v>0</v>
      </c>
      <c r="I447" s="22">
        <f t="shared" si="155"/>
        <v>0</v>
      </c>
      <c r="J447" s="22">
        <f t="shared" si="155"/>
        <v>0</v>
      </c>
      <c r="K447" s="22">
        <f t="shared" si="155"/>
        <v>0</v>
      </c>
      <c r="L447" s="22">
        <f t="shared" si="155"/>
        <v>0</v>
      </c>
      <c r="M447" s="22">
        <f t="shared" si="155"/>
        <v>0</v>
      </c>
      <c r="N447" s="22">
        <f t="shared" si="155"/>
        <v>0</v>
      </c>
      <c r="O447" s="22">
        <f t="shared" si="155"/>
        <v>0</v>
      </c>
      <c r="P447" s="22">
        <f t="shared" si="155"/>
        <v>0</v>
      </c>
      <c r="Q447" s="22">
        <f t="shared" si="155"/>
        <v>0</v>
      </c>
      <c r="R447" s="22">
        <f t="shared" si="155"/>
        <v>0</v>
      </c>
      <c r="S447" s="22">
        <f t="shared" si="155"/>
        <v>0</v>
      </c>
      <c r="T447" s="22">
        <f t="shared" si="155"/>
        <v>0</v>
      </c>
      <c r="U447" s="22">
        <f t="shared" si="155"/>
        <v>0</v>
      </c>
      <c r="V447" s="22">
        <f t="shared" si="155"/>
        <v>0</v>
      </c>
      <c r="W447" s="22">
        <f t="shared" si="155"/>
        <v>0</v>
      </c>
      <c r="X447" s="22">
        <f t="shared" si="155"/>
        <v>0</v>
      </c>
      <c r="Y447" s="22">
        <f t="shared" si="155"/>
        <v>0</v>
      </c>
      <c r="Z447" s="22">
        <f t="shared" si="155"/>
        <v>0</v>
      </c>
      <c r="AA447" s="20">
        <f t="shared" si="153"/>
        <v>0</v>
      </c>
      <c r="AB447" s="23"/>
      <c r="AC447" s="2"/>
    </row>
    <row r="448">
      <c r="A448" s="17" t="s">
        <v>38</v>
      </c>
      <c r="B448" s="24" t="str">
        <f t="shared" ref="B448:Z448" si="156">B447/(COUNT(B443:B446)*1)</f>
        <v>#DIV/0!</v>
      </c>
      <c r="C448" s="24" t="str">
        <f t="shared" si="156"/>
        <v>#DIV/0!</v>
      </c>
      <c r="D448" s="24" t="str">
        <f t="shared" si="156"/>
        <v>#DIV/0!</v>
      </c>
      <c r="E448" s="24" t="str">
        <f t="shared" si="156"/>
        <v>#DIV/0!</v>
      </c>
      <c r="F448" s="24" t="str">
        <f t="shared" si="156"/>
        <v>#DIV/0!</v>
      </c>
      <c r="G448" s="24" t="str">
        <f t="shared" si="156"/>
        <v>#DIV/0!</v>
      </c>
      <c r="H448" s="24" t="str">
        <f t="shared" si="156"/>
        <v>#DIV/0!</v>
      </c>
      <c r="I448" s="24" t="str">
        <f t="shared" si="156"/>
        <v>#DIV/0!</v>
      </c>
      <c r="J448" s="24" t="str">
        <f t="shared" si="156"/>
        <v>#DIV/0!</v>
      </c>
      <c r="K448" s="24" t="str">
        <f t="shared" si="156"/>
        <v>#DIV/0!</v>
      </c>
      <c r="L448" s="24" t="str">
        <f t="shared" si="156"/>
        <v>#DIV/0!</v>
      </c>
      <c r="M448" s="24" t="str">
        <f t="shared" si="156"/>
        <v>#DIV/0!</v>
      </c>
      <c r="N448" s="24" t="str">
        <f t="shared" si="156"/>
        <v>#DIV/0!</v>
      </c>
      <c r="O448" s="24" t="str">
        <f t="shared" si="156"/>
        <v>#DIV/0!</v>
      </c>
      <c r="P448" s="24" t="str">
        <f t="shared" si="156"/>
        <v>#DIV/0!</v>
      </c>
      <c r="Q448" s="24" t="str">
        <f t="shared" si="156"/>
        <v>#DIV/0!</v>
      </c>
      <c r="R448" s="24" t="str">
        <f t="shared" si="156"/>
        <v>#DIV/0!</v>
      </c>
      <c r="S448" s="24" t="str">
        <f t="shared" si="156"/>
        <v>#DIV/0!</v>
      </c>
      <c r="T448" s="24" t="str">
        <f t="shared" si="156"/>
        <v>#DIV/0!</v>
      </c>
      <c r="U448" s="24" t="str">
        <f t="shared" si="156"/>
        <v>#DIV/0!</v>
      </c>
      <c r="V448" s="24" t="str">
        <f t="shared" si="156"/>
        <v>#DIV/0!</v>
      </c>
      <c r="W448" s="24" t="str">
        <f t="shared" si="156"/>
        <v>#DIV/0!</v>
      </c>
      <c r="X448" s="24" t="str">
        <f t="shared" si="156"/>
        <v>#DIV/0!</v>
      </c>
      <c r="Y448" s="24" t="str">
        <f t="shared" si="156"/>
        <v>#DIV/0!</v>
      </c>
      <c r="Z448" s="24" t="str">
        <f t="shared" si="156"/>
        <v>#DIV/0!</v>
      </c>
      <c r="AA448" s="25"/>
      <c r="AB448" s="26" t="str">
        <f>SUM(AB443:AB446)/4</f>
        <v>#DIV/0!</v>
      </c>
      <c r="AC448" s="2"/>
    </row>
    <row r="449">
      <c r="A449" s="27" t="s">
        <v>44</v>
      </c>
      <c r="B449" s="28"/>
      <c r="C449" s="29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30">
        <f t="shared" ref="AA449:AA451" si="157">SUM(B449:Z449)</f>
        <v>0</v>
      </c>
      <c r="AB449" s="31"/>
      <c r="AC449" s="2"/>
    </row>
    <row r="450">
      <c r="A450" s="32" t="s">
        <v>45</v>
      </c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28"/>
      <c r="W450" s="28"/>
      <c r="X450" s="28"/>
      <c r="Y450" s="28"/>
      <c r="Z450" s="28"/>
      <c r="AA450" s="30">
        <f t="shared" si="157"/>
        <v>0</v>
      </c>
      <c r="AB450" s="31"/>
      <c r="AC450" s="9"/>
    </row>
    <row r="451">
      <c r="A451" s="34" t="s">
        <v>46</v>
      </c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28"/>
      <c r="W451" s="28"/>
      <c r="X451" s="28"/>
      <c r="Y451" s="28"/>
      <c r="Z451" s="28"/>
      <c r="AA451" s="30">
        <f t="shared" si="157"/>
        <v>0</v>
      </c>
      <c r="AB451" s="31"/>
      <c r="AC451" s="9"/>
    </row>
    <row r="452">
      <c r="A452" s="35" t="s">
        <v>47</v>
      </c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7"/>
      <c r="AA452" s="38"/>
      <c r="AB452" s="39"/>
      <c r="AC452" s="2"/>
    </row>
    <row r="453">
      <c r="A453" s="40" t="s">
        <v>48</v>
      </c>
      <c r="B453" s="41"/>
      <c r="C453" s="42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3"/>
      <c r="W453" s="43"/>
      <c r="X453" s="43"/>
      <c r="Y453" s="43"/>
      <c r="Z453" s="43"/>
      <c r="AA453" s="44">
        <f t="shared" ref="AA453:AA454" si="158">SUM(B453:Z453)</f>
        <v>0</v>
      </c>
      <c r="AB453" s="31"/>
      <c r="AC453" s="2"/>
    </row>
    <row r="454">
      <c r="A454" s="40" t="s">
        <v>49</v>
      </c>
      <c r="B454" s="41"/>
      <c r="C454" s="42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3"/>
      <c r="W454" s="43"/>
      <c r="X454" s="43"/>
      <c r="Y454" s="43"/>
      <c r="Z454" s="43"/>
      <c r="AA454" s="44">
        <f t="shared" si="158"/>
        <v>0</v>
      </c>
      <c r="AB454" s="31"/>
      <c r="AC454" s="2"/>
    </row>
    <row r="455">
      <c r="A455" s="40" t="s">
        <v>50</v>
      </c>
      <c r="B455" s="42"/>
      <c r="C455" s="42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3"/>
      <c r="W455" s="43"/>
      <c r="X455" s="43"/>
      <c r="Y455" s="43"/>
      <c r="Z455" s="43"/>
      <c r="AA455" s="44" t="str">
        <f>AVERAGE(B455:Z455)</f>
        <v>#DIV/0!</v>
      </c>
      <c r="AB455" s="31"/>
      <c r="AC455" s="2"/>
    </row>
    <row r="456">
      <c r="A456" s="45" t="s">
        <v>51</v>
      </c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7"/>
      <c r="AA456" s="46"/>
      <c r="AB456" s="39"/>
      <c r="AC456" s="2"/>
    </row>
    <row r="457">
      <c r="A457" s="47" t="s">
        <v>48</v>
      </c>
      <c r="B457" s="48"/>
      <c r="C457" s="49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50"/>
      <c r="W457" s="50"/>
      <c r="X457" s="50"/>
      <c r="Y457" s="50"/>
      <c r="Z457" s="50"/>
      <c r="AA457" s="51">
        <f t="shared" ref="AA457:AA458" si="159">SUM(B457:Z457)</f>
        <v>0</v>
      </c>
      <c r="AB457" s="31"/>
      <c r="AC457" s="2"/>
    </row>
    <row r="458">
      <c r="A458" s="47" t="s">
        <v>49</v>
      </c>
      <c r="B458" s="48"/>
      <c r="C458" s="49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50"/>
      <c r="W458" s="50"/>
      <c r="X458" s="50"/>
      <c r="Y458" s="50"/>
      <c r="Z458" s="50"/>
      <c r="AA458" s="51">
        <f t="shared" si="159"/>
        <v>0</v>
      </c>
      <c r="AB458" s="31"/>
      <c r="AC458" s="2"/>
    </row>
    <row r="459">
      <c r="A459" s="47" t="s">
        <v>50</v>
      </c>
      <c r="B459" s="49"/>
      <c r="C459" s="49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50"/>
      <c r="W459" s="50"/>
      <c r="X459" s="50"/>
      <c r="Y459" s="50"/>
      <c r="Z459" s="50"/>
      <c r="AA459" s="51" t="str">
        <f>AVERAGE(B459:Z459)</f>
        <v>#DIV/0!</v>
      </c>
      <c r="AB459" s="31"/>
      <c r="AC459" s="2"/>
    </row>
    <row r="460">
      <c r="A460" s="52" t="s">
        <v>53</v>
      </c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7"/>
      <c r="AA460" s="38"/>
      <c r="AB460" s="39"/>
      <c r="AC460" s="2"/>
    </row>
    <row r="461">
      <c r="A461" s="40" t="s">
        <v>48</v>
      </c>
      <c r="B461" s="41"/>
      <c r="C461" s="42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3"/>
      <c r="W461" s="43"/>
      <c r="X461" s="43"/>
      <c r="Y461" s="43"/>
      <c r="Z461" s="43"/>
      <c r="AA461" s="44">
        <f t="shared" ref="AA461:AA462" si="160">SUM(B461:Z461)</f>
        <v>0</v>
      </c>
      <c r="AB461" s="31"/>
      <c r="AC461" s="2"/>
    </row>
    <row r="462">
      <c r="A462" s="40" t="s">
        <v>49</v>
      </c>
      <c r="B462" s="41"/>
      <c r="C462" s="42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3"/>
      <c r="W462" s="43"/>
      <c r="X462" s="43"/>
      <c r="Y462" s="43"/>
      <c r="Z462" s="43"/>
      <c r="AA462" s="44">
        <f t="shared" si="160"/>
        <v>0</v>
      </c>
      <c r="AB462" s="31"/>
      <c r="AC462" s="2"/>
    </row>
    <row r="463">
      <c r="A463" s="53" t="s">
        <v>50</v>
      </c>
      <c r="B463" s="54"/>
      <c r="C463" s="54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6"/>
      <c r="W463" s="56"/>
      <c r="X463" s="56"/>
      <c r="Y463" s="56"/>
      <c r="Z463" s="56"/>
      <c r="AA463" s="57" t="str">
        <f>AVERAGE(B463:Z463)</f>
        <v>#DIV/0!</v>
      </c>
      <c r="AB463" s="58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59"/>
      <c r="AB464" s="59"/>
      <c r="AC464" s="2"/>
    </row>
    <row r="465">
      <c r="A465" s="71" t="s">
        <v>54</v>
      </c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 t="s">
        <v>37</v>
      </c>
      <c r="AB465" s="16" t="s">
        <v>38</v>
      </c>
      <c r="AC465" s="2"/>
    </row>
    <row r="466">
      <c r="A466" s="17" t="s">
        <v>39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20">
        <f t="shared" ref="AA466:AA470" si="161">SUM(B466:Z466)</f>
        <v>0</v>
      </c>
      <c r="AB466" s="21" t="str">
        <f t="shared" ref="AB466:AB469" si="162">AA466/(COUNT(B466:Z466)*1)</f>
        <v>#DIV/0!</v>
      </c>
      <c r="AC466" s="2"/>
    </row>
    <row r="467">
      <c r="A467" s="17" t="s">
        <v>40</v>
      </c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20">
        <f t="shared" si="161"/>
        <v>0</v>
      </c>
      <c r="AB467" s="21" t="str">
        <f t="shared" si="162"/>
        <v>#DIV/0!</v>
      </c>
      <c r="AC467" s="2"/>
    </row>
    <row r="468">
      <c r="A468" s="17" t="s">
        <v>41</v>
      </c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20">
        <f t="shared" si="161"/>
        <v>0</v>
      </c>
      <c r="AB468" s="21" t="str">
        <f t="shared" si="162"/>
        <v>#DIV/0!</v>
      </c>
      <c r="AC468" s="2"/>
    </row>
    <row r="469">
      <c r="A469" s="17" t="s">
        <v>42</v>
      </c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20">
        <f t="shared" si="161"/>
        <v>0</v>
      </c>
      <c r="AB469" s="21" t="str">
        <f t="shared" si="162"/>
        <v>#DIV/0!</v>
      </c>
      <c r="AC469" s="2"/>
    </row>
    <row r="470">
      <c r="A470" s="17" t="s">
        <v>43</v>
      </c>
      <c r="B470" s="22">
        <f t="shared" ref="B470:Z470" si="163">SUM(B466:B469)</f>
        <v>0</v>
      </c>
      <c r="C470" s="22">
        <f t="shared" si="163"/>
        <v>0</v>
      </c>
      <c r="D470" s="22">
        <f t="shared" si="163"/>
        <v>0</v>
      </c>
      <c r="E470" s="22">
        <f t="shared" si="163"/>
        <v>0</v>
      </c>
      <c r="F470" s="22">
        <f t="shared" si="163"/>
        <v>0</v>
      </c>
      <c r="G470" s="22">
        <f t="shared" si="163"/>
        <v>0</v>
      </c>
      <c r="H470" s="22">
        <f t="shared" si="163"/>
        <v>0</v>
      </c>
      <c r="I470" s="22">
        <f t="shared" si="163"/>
        <v>0</v>
      </c>
      <c r="J470" s="22">
        <f t="shared" si="163"/>
        <v>0</v>
      </c>
      <c r="K470" s="22">
        <f t="shared" si="163"/>
        <v>0</v>
      </c>
      <c r="L470" s="22">
        <f t="shared" si="163"/>
        <v>0</v>
      </c>
      <c r="M470" s="22">
        <f t="shared" si="163"/>
        <v>0</v>
      </c>
      <c r="N470" s="22">
        <f t="shared" si="163"/>
        <v>0</v>
      </c>
      <c r="O470" s="22">
        <f t="shared" si="163"/>
        <v>0</v>
      </c>
      <c r="P470" s="22">
        <f t="shared" si="163"/>
        <v>0</v>
      </c>
      <c r="Q470" s="22">
        <f t="shared" si="163"/>
        <v>0</v>
      </c>
      <c r="R470" s="22">
        <f t="shared" si="163"/>
        <v>0</v>
      </c>
      <c r="S470" s="22">
        <f t="shared" si="163"/>
        <v>0</v>
      </c>
      <c r="T470" s="22">
        <f t="shared" si="163"/>
        <v>0</v>
      </c>
      <c r="U470" s="22">
        <f t="shared" si="163"/>
        <v>0</v>
      </c>
      <c r="V470" s="22">
        <f t="shared" si="163"/>
        <v>0</v>
      </c>
      <c r="W470" s="22">
        <f t="shared" si="163"/>
        <v>0</v>
      </c>
      <c r="X470" s="22">
        <f t="shared" si="163"/>
        <v>0</v>
      </c>
      <c r="Y470" s="22">
        <f t="shared" si="163"/>
        <v>0</v>
      </c>
      <c r="Z470" s="22">
        <f t="shared" si="163"/>
        <v>0</v>
      </c>
      <c r="AA470" s="20">
        <f t="shared" si="161"/>
        <v>0</v>
      </c>
      <c r="AB470" s="23"/>
      <c r="AC470" s="2"/>
    </row>
    <row r="471">
      <c r="A471" s="17" t="s">
        <v>38</v>
      </c>
      <c r="B471" s="24" t="str">
        <f t="shared" ref="B471:Z471" si="164">B470/(COUNT(B466:B469)*1)</f>
        <v>#DIV/0!</v>
      </c>
      <c r="C471" s="24" t="str">
        <f t="shared" si="164"/>
        <v>#DIV/0!</v>
      </c>
      <c r="D471" s="24" t="str">
        <f t="shared" si="164"/>
        <v>#DIV/0!</v>
      </c>
      <c r="E471" s="24" t="str">
        <f t="shared" si="164"/>
        <v>#DIV/0!</v>
      </c>
      <c r="F471" s="24" t="str">
        <f t="shared" si="164"/>
        <v>#DIV/0!</v>
      </c>
      <c r="G471" s="24" t="str">
        <f t="shared" si="164"/>
        <v>#DIV/0!</v>
      </c>
      <c r="H471" s="24" t="str">
        <f t="shared" si="164"/>
        <v>#DIV/0!</v>
      </c>
      <c r="I471" s="24" t="str">
        <f t="shared" si="164"/>
        <v>#DIV/0!</v>
      </c>
      <c r="J471" s="24" t="str">
        <f t="shared" si="164"/>
        <v>#DIV/0!</v>
      </c>
      <c r="K471" s="24" t="str">
        <f t="shared" si="164"/>
        <v>#DIV/0!</v>
      </c>
      <c r="L471" s="24" t="str">
        <f t="shared" si="164"/>
        <v>#DIV/0!</v>
      </c>
      <c r="M471" s="24" t="str">
        <f t="shared" si="164"/>
        <v>#DIV/0!</v>
      </c>
      <c r="N471" s="24" t="str">
        <f t="shared" si="164"/>
        <v>#DIV/0!</v>
      </c>
      <c r="O471" s="24" t="str">
        <f t="shared" si="164"/>
        <v>#DIV/0!</v>
      </c>
      <c r="P471" s="24" t="str">
        <f t="shared" si="164"/>
        <v>#DIV/0!</v>
      </c>
      <c r="Q471" s="24" t="str">
        <f t="shared" si="164"/>
        <v>#DIV/0!</v>
      </c>
      <c r="R471" s="24" t="str">
        <f t="shared" si="164"/>
        <v>#DIV/0!</v>
      </c>
      <c r="S471" s="24" t="str">
        <f t="shared" si="164"/>
        <v>#DIV/0!</v>
      </c>
      <c r="T471" s="24" t="str">
        <f t="shared" si="164"/>
        <v>#DIV/0!</v>
      </c>
      <c r="U471" s="24" t="str">
        <f t="shared" si="164"/>
        <v>#DIV/0!</v>
      </c>
      <c r="V471" s="24" t="str">
        <f t="shared" si="164"/>
        <v>#DIV/0!</v>
      </c>
      <c r="W471" s="24" t="str">
        <f t="shared" si="164"/>
        <v>#DIV/0!</v>
      </c>
      <c r="X471" s="24" t="str">
        <f t="shared" si="164"/>
        <v>#DIV/0!</v>
      </c>
      <c r="Y471" s="24" t="str">
        <f t="shared" si="164"/>
        <v>#DIV/0!</v>
      </c>
      <c r="Z471" s="24" t="str">
        <f t="shared" si="164"/>
        <v>#DIV/0!</v>
      </c>
      <c r="AA471" s="25"/>
      <c r="AB471" s="26" t="str">
        <f>SUM(AB466:AB469)/4</f>
        <v>#DIV/0!</v>
      </c>
      <c r="AC471" s="2"/>
    </row>
    <row r="472">
      <c r="A472" s="27" t="s">
        <v>44</v>
      </c>
      <c r="B472" s="28"/>
      <c r="C472" s="2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30">
        <f t="shared" ref="AA472:AA474" si="165">SUM(B472:Z472)</f>
        <v>0</v>
      </c>
      <c r="AB472" s="31"/>
      <c r="AC472" s="2"/>
    </row>
    <row r="473">
      <c r="A473" s="32" t="s">
        <v>45</v>
      </c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28"/>
      <c r="W473" s="28"/>
      <c r="X473" s="28"/>
      <c r="Y473" s="28"/>
      <c r="Z473" s="28"/>
      <c r="AA473" s="30">
        <f t="shared" si="165"/>
        <v>0</v>
      </c>
      <c r="AB473" s="31"/>
      <c r="AC473" s="9"/>
    </row>
    <row r="474">
      <c r="A474" s="34" t="s">
        <v>46</v>
      </c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28"/>
      <c r="W474" s="28"/>
      <c r="X474" s="28"/>
      <c r="Y474" s="28"/>
      <c r="Z474" s="28"/>
      <c r="AA474" s="30">
        <f t="shared" si="165"/>
        <v>0</v>
      </c>
      <c r="AB474" s="31"/>
      <c r="AC474" s="9"/>
    </row>
    <row r="475">
      <c r="A475" s="35" t="s">
        <v>47</v>
      </c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7"/>
      <c r="AA475" s="38"/>
      <c r="AB475" s="39"/>
      <c r="AC475" s="2"/>
    </row>
    <row r="476">
      <c r="A476" s="40" t="s">
        <v>48</v>
      </c>
      <c r="B476" s="41"/>
      <c r="C476" s="42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3"/>
      <c r="W476" s="43"/>
      <c r="X476" s="43"/>
      <c r="Y476" s="43"/>
      <c r="Z476" s="43"/>
      <c r="AA476" s="44">
        <f t="shared" ref="AA476:AA477" si="166">SUM(B476:Z476)</f>
        <v>0</v>
      </c>
      <c r="AB476" s="31"/>
      <c r="AC476" s="2"/>
    </row>
    <row r="477">
      <c r="A477" s="40" t="s">
        <v>49</v>
      </c>
      <c r="B477" s="41"/>
      <c r="C477" s="42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3"/>
      <c r="W477" s="43"/>
      <c r="X477" s="43"/>
      <c r="Y477" s="43"/>
      <c r="Z477" s="43"/>
      <c r="AA477" s="44">
        <f t="shared" si="166"/>
        <v>0</v>
      </c>
      <c r="AB477" s="31"/>
      <c r="AC477" s="2"/>
    </row>
    <row r="478">
      <c r="A478" s="40" t="s">
        <v>50</v>
      </c>
      <c r="B478" s="42"/>
      <c r="C478" s="42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3"/>
      <c r="W478" s="43"/>
      <c r="X478" s="43"/>
      <c r="Y478" s="43"/>
      <c r="Z478" s="43"/>
      <c r="AA478" s="44" t="str">
        <f>AVERAGE(B478:Z478)</f>
        <v>#DIV/0!</v>
      </c>
      <c r="AB478" s="31"/>
      <c r="AC478" s="2"/>
    </row>
    <row r="479">
      <c r="A479" s="45" t="s">
        <v>51</v>
      </c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7"/>
      <c r="AA479" s="46"/>
      <c r="AB479" s="39"/>
      <c r="AC479" s="2"/>
    </row>
    <row r="480">
      <c r="A480" s="47" t="s">
        <v>48</v>
      </c>
      <c r="B480" s="48"/>
      <c r="C480" s="49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50"/>
      <c r="W480" s="50"/>
      <c r="X480" s="50"/>
      <c r="Y480" s="50"/>
      <c r="Z480" s="50"/>
      <c r="AA480" s="51">
        <f t="shared" ref="AA480:AA481" si="167">SUM(B480:Z480)</f>
        <v>0</v>
      </c>
      <c r="AB480" s="31"/>
      <c r="AC480" s="2"/>
    </row>
    <row r="481">
      <c r="A481" s="47" t="s">
        <v>49</v>
      </c>
      <c r="B481" s="48"/>
      <c r="C481" s="49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50"/>
      <c r="W481" s="50"/>
      <c r="X481" s="50"/>
      <c r="Y481" s="50"/>
      <c r="Z481" s="50"/>
      <c r="AA481" s="51">
        <f t="shared" si="167"/>
        <v>0</v>
      </c>
      <c r="AB481" s="31"/>
      <c r="AC481" s="2"/>
    </row>
    <row r="482">
      <c r="A482" s="47" t="s">
        <v>50</v>
      </c>
      <c r="B482" s="49"/>
      <c r="C482" s="49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50"/>
      <c r="W482" s="50"/>
      <c r="X482" s="50"/>
      <c r="Y482" s="50"/>
      <c r="Z482" s="50"/>
      <c r="AA482" s="51" t="str">
        <f>AVERAGE(B482:Z482)</f>
        <v>#DIV/0!</v>
      </c>
      <c r="AB482" s="31"/>
      <c r="AC482" s="2"/>
    </row>
    <row r="483">
      <c r="A483" s="52" t="s">
        <v>53</v>
      </c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7"/>
      <c r="AA483" s="38"/>
      <c r="AB483" s="39"/>
      <c r="AC483" s="2"/>
    </row>
    <row r="484">
      <c r="A484" s="40" t="s">
        <v>48</v>
      </c>
      <c r="B484" s="41"/>
      <c r="C484" s="42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3"/>
      <c r="W484" s="43"/>
      <c r="X484" s="43"/>
      <c r="Y484" s="43"/>
      <c r="Z484" s="43"/>
      <c r="AA484" s="44">
        <f t="shared" ref="AA484:AA485" si="168">SUM(B484:Z484)</f>
        <v>0</v>
      </c>
      <c r="AB484" s="31"/>
      <c r="AC484" s="2"/>
    </row>
    <row r="485">
      <c r="A485" s="40" t="s">
        <v>49</v>
      </c>
      <c r="B485" s="41"/>
      <c r="C485" s="42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3"/>
      <c r="W485" s="43"/>
      <c r="X485" s="43"/>
      <c r="Y485" s="43"/>
      <c r="Z485" s="43"/>
      <c r="AA485" s="44">
        <f t="shared" si="168"/>
        <v>0</v>
      </c>
      <c r="AB485" s="31"/>
      <c r="AC485" s="2"/>
    </row>
    <row r="486">
      <c r="A486" s="53" t="s">
        <v>50</v>
      </c>
      <c r="B486" s="54"/>
      <c r="C486" s="54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6"/>
      <c r="W486" s="56"/>
      <c r="X486" s="56"/>
      <c r="Y486" s="56"/>
      <c r="Z486" s="56"/>
      <c r="AA486" s="57" t="str">
        <f>AVERAGE(B486:Z486)</f>
        <v>#DIV/0!</v>
      </c>
      <c r="AB486" s="58"/>
      <c r="AC486" s="2"/>
    </row>
    <row r="487">
      <c r="A487" s="9"/>
      <c r="B487" s="9"/>
      <c r="C487" s="9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71" t="s">
        <v>54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5" t="s">
        <v>37</v>
      </c>
      <c r="AB488" s="16" t="s">
        <v>38</v>
      </c>
      <c r="AC488" s="2"/>
    </row>
    <row r="489">
      <c r="A489" s="17" t="s">
        <v>39</v>
      </c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20">
        <f t="shared" ref="AA489:AA493" si="169">SUM(B489:Z489)</f>
        <v>0</v>
      </c>
      <c r="AB489" s="21" t="str">
        <f t="shared" ref="AB489:AB492" si="170">AA489/(COUNT(B489:Z489)*1)</f>
        <v>#DIV/0!</v>
      </c>
      <c r="AC489" s="2"/>
    </row>
    <row r="490">
      <c r="A490" s="17" t="s">
        <v>40</v>
      </c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20">
        <f t="shared" si="169"/>
        <v>0</v>
      </c>
      <c r="AB490" s="21" t="str">
        <f t="shared" si="170"/>
        <v>#DIV/0!</v>
      </c>
      <c r="AC490" s="2"/>
    </row>
    <row r="491">
      <c r="A491" s="17" t="s">
        <v>41</v>
      </c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20">
        <f t="shared" si="169"/>
        <v>0</v>
      </c>
      <c r="AB491" s="21" t="str">
        <f t="shared" si="170"/>
        <v>#DIV/0!</v>
      </c>
      <c r="AC491" s="2"/>
    </row>
    <row r="492">
      <c r="A492" s="17" t="s">
        <v>42</v>
      </c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20">
        <f t="shared" si="169"/>
        <v>0</v>
      </c>
      <c r="AB492" s="21" t="str">
        <f t="shared" si="170"/>
        <v>#DIV/0!</v>
      </c>
      <c r="AC492" s="2"/>
    </row>
    <row r="493">
      <c r="A493" s="17" t="s">
        <v>43</v>
      </c>
      <c r="B493" s="22">
        <f t="shared" ref="B493:Z493" si="171">SUM(B489:B492)</f>
        <v>0</v>
      </c>
      <c r="C493" s="22">
        <f t="shared" si="171"/>
        <v>0</v>
      </c>
      <c r="D493" s="22">
        <f t="shared" si="171"/>
        <v>0</v>
      </c>
      <c r="E493" s="22">
        <f t="shared" si="171"/>
        <v>0</v>
      </c>
      <c r="F493" s="22">
        <f t="shared" si="171"/>
        <v>0</v>
      </c>
      <c r="G493" s="22">
        <f t="shared" si="171"/>
        <v>0</v>
      </c>
      <c r="H493" s="22">
        <f t="shared" si="171"/>
        <v>0</v>
      </c>
      <c r="I493" s="22">
        <f t="shared" si="171"/>
        <v>0</v>
      </c>
      <c r="J493" s="22">
        <f t="shared" si="171"/>
        <v>0</v>
      </c>
      <c r="K493" s="22">
        <f t="shared" si="171"/>
        <v>0</v>
      </c>
      <c r="L493" s="22">
        <f t="shared" si="171"/>
        <v>0</v>
      </c>
      <c r="M493" s="22">
        <f t="shared" si="171"/>
        <v>0</v>
      </c>
      <c r="N493" s="22">
        <f t="shared" si="171"/>
        <v>0</v>
      </c>
      <c r="O493" s="22">
        <f t="shared" si="171"/>
        <v>0</v>
      </c>
      <c r="P493" s="22">
        <f t="shared" si="171"/>
        <v>0</v>
      </c>
      <c r="Q493" s="22">
        <f t="shared" si="171"/>
        <v>0</v>
      </c>
      <c r="R493" s="22">
        <f t="shared" si="171"/>
        <v>0</v>
      </c>
      <c r="S493" s="22">
        <f t="shared" si="171"/>
        <v>0</v>
      </c>
      <c r="T493" s="22">
        <f t="shared" si="171"/>
        <v>0</v>
      </c>
      <c r="U493" s="22">
        <f t="shared" si="171"/>
        <v>0</v>
      </c>
      <c r="V493" s="22">
        <f t="shared" si="171"/>
        <v>0</v>
      </c>
      <c r="W493" s="22">
        <f t="shared" si="171"/>
        <v>0</v>
      </c>
      <c r="X493" s="22">
        <f t="shared" si="171"/>
        <v>0</v>
      </c>
      <c r="Y493" s="22">
        <f t="shared" si="171"/>
        <v>0</v>
      </c>
      <c r="Z493" s="22">
        <f t="shared" si="171"/>
        <v>0</v>
      </c>
      <c r="AA493" s="20">
        <f t="shared" si="169"/>
        <v>0</v>
      </c>
      <c r="AB493" s="23"/>
      <c r="AC493" s="2"/>
    </row>
    <row r="494">
      <c r="A494" s="17" t="s">
        <v>38</v>
      </c>
      <c r="B494" s="24" t="str">
        <f t="shared" ref="B494:Z494" si="172">B493/(COUNT(B489:B492)*1)</f>
        <v>#DIV/0!</v>
      </c>
      <c r="C494" s="24" t="str">
        <f t="shared" si="172"/>
        <v>#DIV/0!</v>
      </c>
      <c r="D494" s="24" t="str">
        <f t="shared" si="172"/>
        <v>#DIV/0!</v>
      </c>
      <c r="E494" s="24" t="str">
        <f t="shared" si="172"/>
        <v>#DIV/0!</v>
      </c>
      <c r="F494" s="24" t="str">
        <f t="shared" si="172"/>
        <v>#DIV/0!</v>
      </c>
      <c r="G494" s="24" t="str">
        <f t="shared" si="172"/>
        <v>#DIV/0!</v>
      </c>
      <c r="H494" s="24" t="str">
        <f t="shared" si="172"/>
        <v>#DIV/0!</v>
      </c>
      <c r="I494" s="24" t="str">
        <f t="shared" si="172"/>
        <v>#DIV/0!</v>
      </c>
      <c r="J494" s="24" t="str">
        <f t="shared" si="172"/>
        <v>#DIV/0!</v>
      </c>
      <c r="K494" s="24" t="str">
        <f t="shared" si="172"/>
        <v>#DIV/0!</v>
      </c>
      <c r="L494" s="24" t="str">
        <f t="shared" si="172"/>
        <v>#DIV/0!</v>
      </c>
      <c r="M494" s="24" t="str">
        <f t="shared" si="172"/>
        <v>#DIV/0!</v>
      </c>
      <c r="N494" s="24" t="str">
        <f t="shared" si="172"/>
        <v>#DIV/0!</v>
      </c>
      <c r="O494" s="24" t="str">
        <f t="shared" si="172"/>
        <v>#DIV/0!</v>
      </c>
      <c r="P494" s="24" t="str">
        <f t="shared" si="172"/>
        <v>#DIV/0!</v>
      </c>
      <c r="Q494" s="24" t="str">
        <f t="shared" si="172"/>
        <v>#DIV/0!</v>
      </c>
      <c r="R494" s="24" t="str">
        <f t="shared" si="172"/>
        <v>#DIV/0!</v>
      </c>
      <c r="S494" s="24" t="str">
        <f t="shared" si="172"/>
        <v>#DIV/0!</v>
      </c>
      <c r="T494" s="24" t="str">
        <f t="shared" si="172"/>
        <v>#DIV/0!</v>
      </c>
      <c r="U494" s="24" t="str">
        <f t="shared" si="172"/>
        <v>#DIV/0!</v>
      </c>
      <c r="V494" s="24" t="str">
        <f t="shared" si="172"/>
        <v>#DIV/0!</v>
      </c>
      <c r="W494" s="24" t="str">
        <f t="shared" si="172"/>
        <v>#DIV/0!</v>
      </c>
      <c r="X494" s="24" t="str">
        <f t="shared" si="172"/>
        <v>#DIV/0!</v>
      </c>
      <c r="Y494" s="24" t="str">
        <f t="shared" si="172"/>
        <v>#DIV/0!</v>
      </c>
      <c r="Z494" s="24" t="str">
        <f t="shared" si="172"/>
        <v>#DIV/0!</v>
      </c>
      <c r="AA494" s="25"/>
      <c r="AB494" s="26" t="str">
        <f>SUM(AB489:AB492)/4</f>
        <v>#DIV/0!</v>
      </c>
      <c r="AC494" s="2"/>
    </row>
    <row r="495">
      <c r="A495" s="27" t="s">
        <v>44</v>
      </c>
      <c r="B495" s="28"/>
      <c r="C495" s="2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30">
        <f t="shared" ref="AA495:AA497" si="173">SUM(B495:Z495)</f>
        <v>0</v>
      </c>
      <c r="AB495" s="31"/>
      <c r="AC495" s="2"/>
    </row>
    <row r="496">
      <c r="A496" s="32" t="s">
        <v>45</v>
      </c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28"/>
      <c r="W496" s="28"/>
      <c r="X496" s="28"/>
      <c r="Y496" s="28"/>
      <c r="Z496" s="28"/>
      <c r="AA496" s="30">
        <f t="shared" si="173"/>
        <v>0</v>
      </c>
      <c r="AB496" s="31"/>
      <c r="AC496" s="9"/>
    </row>
    <row r="497">
      <c r="A497" s="34" t="s">
        <v>46</v>
      </c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28"/>
      <c r="W497" s="28"/>
      <c r="X497" s="28"/>
      <c r="Y497" s="28"/>
      <c r="Z497" s="28"/>
      <c r="AA497" s="30">
        <f t="shared" si="173"/>
        <v>0</v>
      </c>
      <c r="AB497" s="31"/>
      <c r="AC497" s="9"/>
    </row>
    <row r="498">
      <c r="A498" s="35" t="s">
        <v>47</v>
      </c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7"/>
      <c r="AA498" s="38"/>
      <c r="AB498" s="39"/>
      <c r="AC498" s="2"/>
    </row>
    <row r="499">
      <c r="A499" s="40" t="s">
        <v>48</v>
      </c>
      <c r="B499" s="41"/>
      <c r="C499" s="42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3"/>
      <c r="W499" s="43"/>
      <c r="X499" s="43"/>
      <c r="Y499" s="43"/>
      <c r="Z499" s="43"/>
      <c r="AA499" s="44">
        <f t="shared" ref="AA499:AA500" si="174">SUM(B499:Z499)</f>
        <v>0</v>
      </c>
      <c r="AB499" s="31"/>
      <c r="AC499" s="2"/>
    </row>
    <row r="500">
      <c r="A500" s="40" t="s">
        <v>49</v>
      </c>
      <c r="B500" s="41"/>
      <c r="C500" s="42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3"/>
      <c r="W500" s="43"/>
      <c r="X500" s="43"/>
      <c r="Y500" s="43"/>
      <c r="Z500" s="43"/>
      <c r="AA500" s="44">
        <f t="shared" si="174"/>
        <v>0</v>
      </c>
      <c r="AB500" s="31"/>
      <c r="AC500" s="2"/>
    </row>
    <row r="501">
      <c r="A501" s="40" t="s">
        <v>50</v>
      </c>
      <c r="B501" s="42"/>
      <c r="C501" s="42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3"/>
      <c r="W501" s="43"/>
      <c r="X501" s="43"/>
      <c r="Y501" s="43"/>
      <c r="Z501" s="43"/>
      <c r="AA501" s="44" t="str">
        <f>AVERAGE(B501:Z501)</f>
        <v>#DIV/0!</v>
      </c>
      <c r="AB501" s="31"/>
      <c r="AC501" s="2"/>
    </row>
    <row r="502">
      <c r="A502" s="45" t="s">
        <v>51</v>
      </c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7"/>
      <c r="AA502" s="46"/>
      <c r="AB502" s="39"/>
      <c r="AC502" s="2"/>
    </row>
    <row r="503">
      <c r="A503" s="47" t="s">
        <v>48</v>
      </c>
      <c r="B503" s="48"/>
      <c r="C503" s="49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50"/>
      <c r="W503" s="50"/>
      <c r="X503" s="50"/>
      <c r="Y503" s="50"/>
      <c r="Z503" s="50"/>
      <c r="AA503" s="51">
        <f t="shared" ref="AA503:AA504" si="175">SUM(B503:Z503)</f>
        <v>0</v>
      </c>
      <c r="AB503" s="31"/>
      <c r="AC503" s="2"/>
    </row>
    <row r="504">
      <c r="A504" s="47" t="s">
        <v>49</v>
      </c>
      <c r="B504" s="48"/>
      <c r="C504" s="49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50"/>
      <c r="W504" s="50"/>
      <c r="X504" s="50"/>
      <c r="Y504" s="50"/>
      <c r="Z504" s="50"/>
      <c r="AA504" s="51">
        <f t="shared" si="175"/>
        <v>0</v>
      </c>
      <c r="AB504" s="31"/>
      <c r="AC504" s="2"/>
    </row>
    <row r="505">
      <c r="A505" s="47" t="s">
        <v>50</v>
      </c>
      <c r="B505" s="49"/>
      <c r="C505" s="49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50"/>
      <c r="W505" s="50"/>
      <c r="X505" s="50"/>
      <c r="Y505" s="50"/>
      <c r="Z505" s="50"/>
      <c r="AA505" s="51" t="str">
        <f>AVERAGE(B505:Z505)</f>
        <v>#DIV/0!</v>
      </c>
      <c r="AB505" s="31"/>
      <c r="AC505" s="2"/>
    </row>
    <row r="506">
      <c r="A506" s="52" t="s">
        <v>53</v>
      </c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7"/>
      <c r="AA506" s="38"/>
      <c r="AB506" s="39"/>
      <c r="AC506" s="2"/>
    </row>
    <row r="507">
      <c r="A507" s="40" t="s">
        <v>48</v>
      </c>
      <c r="B507" s="41"/>
      <c r="C507" s="42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3"/>
      <c r="W507" s="43"/>
      <c r="X507" s="43"/>
      <c r="Y507" s="43"/>
      <c r="Z507" s="43"/>
      <c r="AA507" s="44">
        <f t="shared" ref="AA507:AA508" si="176">SUM(B507:Z507)</f>
        <v>0</v>
      </c>
      <c r="AB507" s="31"/>
      <c r="AC507" s="2"/>
    </row>
    <row r="508">
      <c r="A508" s="40" t="s">
        <v>49</v>
      </c>
      <c r="B508" s="41"/>
      <c r="C508" s="42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3"/>
      <c r="W508" s="43"/>
      <c r="X508" s="43"/>
      <c r="Y508" s="43"/>
      <c r="Z508" s="43"/>
      <c r="AA508" s="44">
        <f t="shared" si="176"/>
        <v>0</v>
      </c>
      <c r="AB508" s="31"/>
      <c r="AC508" s="2"/>
    </row>
    <row r="509">
      <c r="A509" s="53" t="s">
        <v>50</v>
      </c>
      <c r="B509" s="54"/>
      <c r="C509" s="54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6"/>
      <c r="W509" s="56"/>
      <c r="X509" s="56"/>
      <c r="Y509" s="56"/>
      <c r="Z509" s="56"/>
      <c r="AA509" s="57" t="str">
        <f>AVERAGE(B509:Z509)</f>
        <v>#DIV/0!</v>
      </c>
      <c r="AB509" s="58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9"/>
      <c r="AB511" s="9"/>
      <c r="AC511" s="2"/>
    </row>
    <row r="512" ht="15.75" customHeight="1">
      <c r="A512" s="72" t="s">
        <v>55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73" t="s">
        <v>56</v>
      </c>
      <c r="AB512" s="73" t="s">
        <v>57</v>
      </c>
      <c r="AC512" s="2"/>
    </row>
    <row r="513" ht="15.75" customHeight="1">
      <c r="A513" s="74" t="s">
        <v>39</v>
      </c>
      <c r="B513" s="75">
        <f t="shared" ref="B513:Z513" si="177">B6+B29+B52+B75+B98+B121+B144+B167+B190+B213+B236+B259+B282+B305+B328+B351+B374+B397+B420+B443+B466+B489</f>
        <v>14</v>
      </c>
      <c r="C513" s="75">
        <f t="shared" si="177"/>
        <v>13</v>
      </c>
      <c r="D513" s="75">
        <f t="shared" si="177"/>
        <v>12</v>
      </c>
      <c r="E513" s="75">
        <f t="shared" si="177"/>
        <v>10</v>
      </c>
      <c r="F513" s="75">
        <f t="shared" si="177"/>
        <v>7</v>
      </c>
      <c r="G513" s="75">
        <f t="shared" si="177"/>
        <v>6</v>
      </c>
      <c r="H513" s="75">
        <f t="shared" si="177"/>
        <v>7</v>
      </c>
      <c r="I513" s="75">
        <f t="shared" si="177"/>
        <v>5</v>
      </c>
      <c r="J513" s="75">
        <f t="shared" si="177"/>
        <v>5</v>
      </c>
      <c r="K513" s="75">
        <f t="shared" si="177"/>
        <v>5</v>
      </c>
      <c r="L513" s="75">
        <f t="shared" si="177"/>
        <v>5</v>
      </c>
      <c r="M513" s="75">
        <f t="shared" si="177"/>
        <v>5</v>
      </c>
      <c r="N513" s="75">
        <f t="shared" si="177"/>
        <v>8</v>
      </c>
      <c r="O513" s="75">
        <f t="shared" si="177"/>
        <v>14</v>
      </c>
      <c r="P513" s="75">
        <f t="shared" si="177"/>
        <v>13</v>
      </c>
      <c r="Q513" s="75">
        <f t="shared" si="177"/>
        <v>4</v>
      </c>
      <c r="R513" s="75">
        <f t="shared" si="177"/>
        <v>5</v>
      </c>
      <c r="S513" s="75">
        <f t="shared" si="177"/>
        <v>4</v>
      </c>
      <c r="T513" s="75">
        <f t="shared" si="177"/>
        <v>3</v>
      </c>
      <c r="U513" s="75">
        <f t="shared" si="177"/>
        <v>5</v>
      </c>
      <c r="V513" s="75">
        <f t="shared" si="177"/>
        <v>4</v>
      </c>
      <c r="W513" s="75">
        <f t="shared" si="177"/>
        <v>4</v>
      </c>
      <c r="X513" s="75">
        <f t="shared" si="177"/>
        <v>4</v>
      </c>
      <c r="Y513" s="75">
        <f t="shared" si="177"/>
        <v>1</v>
      </c>
      <c r="Z513" s="75">
        <f t="shared" si="177"/>
        <v>1</v>
      </c>
      <c r="AA513" s="76">
        <f t="shared" ref="AA513:AA521" si="179">SUM(B513:Z513)</f>
        <v>164</v>
      </c>
      <c r="AB513" s="77">
        <f t="shared" ref="AB513:AB516" si="180">AA513/(COUNT(B6:Z6,B29:Z29,B52:Z52,B75:Z75,B98:Z98,B121:Z121,B144:Z144,B167:Z167,B190:Z190,B213:Z213,B236:Z236,B259:Z259,B282:Z282,B305:Z305,B328:Z328,B351:Z351,B374:Z374,B397:Z397,B420:Z420,B443:Z443,B466:Z466,B489:Z489))</f>
        <v>0.501529052</v>
      </c>
      <c r="AC513" s="78" t="s">
        <v>39</v>
      </c>
    </row>
    <row r="514" ht="15.75" customHeight="1">
      <c r="A514" s="17" t="s">
        <v>40</v>
      </c>
      <c r="B514" s="20">
        <f t="shared" ref="B514:Z514" si="178">B7+B30+B53+B76+B99+B122+B145+B168+B191+B214+B237+B260+B283+B306+B329+B352+B375+B398+B421+B444+B467+B490</f>
        <v>13</v>
      </c>
      <c r="C514" s="20">
        <f t="shared" si="178"/>
        <v>13</v>
      </c>
      <c r="D514" s="20">
        <f t="shared" si="178"/>
        <v>14</v>
      </c>
      <c r="E514" s="20">
        <f t="shared" si="178"/>
        <v>14</v>
      </c>
      <c r="F514" s="20">
        <f t="shared" si="178"/>
        <v>13</v>
      </c>
      <c r="G514" s="20">
        <f t="shared" si="178"/>
        <v>12</v>
      </c>
      <c r="H514" s="20">
        <f t="shared" si="178"/>
        <v>12</v>
      </c>
      <c r="I514" s="20">
        <f t="shared" si="178"/>
        <v>11</v>
      </c>
      <c r="J514" s="20">
        <f t="shared" si="178"/>
        <v>11</v>
      </c>
      <c r="K514" s="20">
        <f t="shared" si="178"/>
        <v>10</v>
      </c>
      <c r="L514" s="20">
        <f t="shared" si="178"/>
        <v>12</v>
      </c>
      <c r="M514" s="20">
        <f t="shared" si="178"/>
        <v>10</v>
      </c>
      <c r="N514" s="20">
        <f t="shared" si="178"/>
        <v>11</v>
      </c>
      <c r="O514" s="20">
        <f t="shared" si="178"/>
        <v>12</v>
      </c>
      <c r="P514" s="20">
        <f t="shared" si="178"/>
        <v>14</v>
      </c>
      <c r="Q514" s="20">
        <f t="shared" si="178"/>
        <v>6</v>
      </c>
      <c r="R514" s="20">
        <f t="shared" si="178"/>
        <v>7</v>
      </c>
      <c r="S514" s="20">
        <f t="shared" si="178"/>
        <v>7</v>
      </c>
      <c r="T514" s="20">
        <f t="shared" si="178"/>
        <v>7</v>
      </c>
      <c r="U514" s="20">
        <f t="shared" si="178"/>
        <v>8</v>
      </c>
      <c r="V514" s="20">
        <f t="shared" si="178"/>
        <v>9</v>
      </c>
      <c r="W514" s="20">
        <f t="shared" si="178"/>
        <v>10</v>
      </c>
      <c r="X514" s="20">
        <f t="shared" si="178"/>
        <v>10</v>
      </c>
      <c r="Y514" s="20">
        <f t="shared" si="178"/>
        <v>3</v>
      </c>
      <c r="Z514" s="20">
        <f t="shared" si="178"/>
        <v>1</v>
      </c>
      <c r="AA514" s="79">
        <f t="shared" si="179"/>
        <v>250</v>
      </c>
      <c r="AB514" s="80">
        <f t="shared" si="180"/>
        <v>0.7645259939</v>
      </c>
      <c r="AC514" s="81" t="s">
        <v>40</v>
      </c>
    </row>
    <row r="515" ht="15.75" customHeight="1">
      <c r="A515" s="17" t="s">
        <v>41</v>
      </c>
      <c r="B515" s="20">
        <f t="shared" ref="B515:Z515" si="181">B8+B31+B54+B77+B100+B123+B146+B169+B192+B215+B238+B261+B284+B307+B330+B353+B376+B399+B422+B445+B468+B491</f>
        <v>14</v>
      </c>
      <c r="C515" s="20">
        <f t="shared" si="181"/>
        <v>12</v>
      </c>
      <c r="D515" s="20">
        <f t="shared" si="181"/>
        <v>11</v>
      </c>
      <c r="E515" s="20">
        <f t="shared" si="181"/>
        <v>11</v>
      </c>
      <c r="F515" s="20">
        <f t="shared" si="181"/>
        <v>9</v>
      </c>
      <c r="G515" s="20">
        <f t="shared" si="181"/>
        <v>9</v>
      </c>
      <c r="H515" s="20">
        <f t="shared" si="181"/>
        <v>7</v>
      </c>
      <c r="I515" s="20">
        <f t="shared" si="181"/>
        <v>7</v>
      </c>
      <c r="J515" s="20">
        <f t="shared" si="181"/>
        <v>8</v>
      </c>
      <c r="K515" s="20">
        <f t="shared" si="181"/>
        <v>7</v>
      </c>
      <c r="L515" s="20">
        <f t="shared" si="181"/>
        <v>6</v>
      </c>
      <c r="M515" s="20">
        <f t="shared" si="181"/>
        <v>5</v>
      </c>
      <c r="N515" s="20">
        <f t="shared" si="181"/>
        <v>7</v>
      </c>
      <c r="O515" s="20">
        <f t="shared" si="181"/>
        <v>14</v>
      </c>
      <c r="P515" s="20">
        <f t="shared" si="181"/>
        <v>11</v>
      </c>
      <c r="Q515" s="20">
        <f t="shared" si="181"/>
        <v>4</v>
      </c>
      <c r="R515" s="20">
        <f t="shared" si="181"/>
        <v>3</v>
      </c>
      <c r="S515" s="20">
        <f t="shared" si="181"/>
        <v>5</v>
      </c>
      <c r="T515" s="20">
        <f t="shared" si="181"/>
        <v>6</v>
      </c>
      <c r="U515" s="20">
        <f t="shared" si="181"/>
        <v>6</v>
      </c>
      <c r="V515" s="20">
        <f t="shared" si="181"/>
        <v>9</v>
      </c>
      <c r="W515" s="20">
        <f t="shared" si="181"/>
        <v>8</v>
      </c>
      <c r="X515" s="20">
        <f t="shared" si="181"/>
        <v>6</v>
      </c>
      <c r="Y515" s="20">
        <f t="shared" si="181"/>
        <v>1</v>
      </c>
      <c r="Z515" s="20">
        <f t="shared" si="181"/>
        <v>1</v>
      </c>
      <c r="AA515" s="79">
        <f t="shared" si="179"/>
        <v>187</v>
      </c>
      <c r="AB515" s="80">
        <f t="shared" si="180"/>
        <v>0.5736196319</v>
      </c>
      <c r="AC515" s="81" t="s">
        <v>41</v>
      </c>
    </row>
    <row r="516" ht="15.75" customHeight="1">
      <c r="A516" s="17" t="s">
        <v>42</v>
      </c>
      <c r="B516" s="20">
        <f t="shared" ref="B516:Z516" si="182">B9+B32+B55+B78+B101+B124+B147+B170+B193+B216+B239+B262+B285+B308+B331+B354+B377+B400+B423+B446+B469+B492</f>
        <v>14</v>
      </c>
      <c r="C516" s="20">
        <f t="shared" si="182"/>
        <v>14</v>
      </c>
      <c r="D516" s="20">
        <f t="shared" si="182"/>
        <v>14</v>
      </c>
      <c r="E516" s="20">
        <f t="shared" si="182"/>
        <v>14</v>
      </c>
      <c r="F516" s="20">
        <f t="shared" si="182"/>
        <v>14</v>
      </c>
      <c r="G516" s="20">
        <f t="shared" si="182"/>
        <v>12</v>
      </c>
      <c r="H516" s="20">
        <f t="shared" si="182"/>
        <v>13</v>
      </c>
      <c r="I516" s="20">
        <f t="shared" si="182"/>
        <v>13</v>
      </c>
      <c r="J516" s="20">
        <f t="shared" si="182"/>
        <v>11</v>
      </c>
      <c r="K516" s="20">
        <f t="shared" si="182"/>
        <v>8</v>
      </c>
      <c r="L516" s="20">
        <f t="shared" si="182"/>
        <v>10</v>
      </c>
      <c r="M516" s="20">
        <f t="shared" si="182"/>
        <v>10</v>
      </c>
      <c r="N516" s="20">
        <f t="shared" si="182"/>
        <v>11</v>
      </c>
      <c r="O516" s="20">
        <f t="shared" si="182"/>
        <v>12</v>
      </c>
      <c r="P516" s="20">
        <f t="shared" si="182"/>
        <v>14</v>
      </c>
      <c r="Q516" s="20">
        <f t="shared" si="182"/>
        <v>8</v>
      </c>
      <c r="R516" s="20">
        <f t="shared" si="182"/>
        <v>8</v>
      </c>
      <c r="S516" s="20">
        <f t="shared" si="182"/>
        <v>9</v>
      </c>
      <c r="T516" s="20">
        <f t="shared" si="182"/>
        <v>10</v>
      </c>
      <c r="U516" s="20">
        <f t="shared" si="182"/>
        <v>22</v>
      </c>
      <c r="V516" s="20">
        <f t="shared" si="182"/>
        <v>10</v>
      </c>
      <c r="W516" s="20">
        <f t="shared" si="182"/>
        <v>11</v>
      </c>
      <c r="X516" s="20">
        <f t="shared" si="182"/>
        <v>10</v>
      </c>
      <c r="Y516" s="20">
        <f t="shared" si="182"/>
        <v>3</v>
      </c>
      <c r="Z516" s="20">
        <f t="shared" si="182"/>
        <v>1</v>
      </c>
      <c r="AA516" s="79">
        <f t="shared" si="179"/>
        <v>276</v>
      </c>
      <c r="AB516" s="80">
        <f t="shared" si="180"/>
        <v>0.8440366972</v>
      </c>
      <c r="AC516" s="81" t="s">
        <v>42</v>
      </c>
    </row>
    <row r="517" ht="15.75" hidden="1" customHeight="1">
      <c r="A517" s="82"/>
      <c r="B517" s="20">
        <f t="shared" ref="B517:Z517" si="183">B513+B514+B515+B516</f>
        <v>55</v>
      </c>
      <c r="C517" s="20">
        <f t="shared" si="183"/>
        <v>52</v>
      </c>
      <c r="D517" s="20">
        <f t="shared" si="183"/>
        <v>51</v>
      </c>
      <c r="E517" s="20">
        <f t="shared" si="183"/>
        <v>49</v>
      </c>
      <c r="F517" s="20">
        <f t="shared" si="183"/>
        <v>43</v>
      </c>
      <c r="G517" s="20">
        <f t="shared" si="183"/>
        <v>39</v>
      </c>
      <c r="H517" s="20">
        <f t="shared" si="183"/>
        <v>39</v>
      </c>
      <c r="I517" s="20">
        <f t="shared" si="183"/>
        <v>36</v>
      </c>
      <c r="J517" s="20">
        <f t="shared" si="183"/>
        <v>35</v>
      </c>
      <c r="K517" s="20">
        <f t="shared" si="183"/>
        <v>30</v>
      </c>
      <c r="L517" s="20">
        <f t="shared" si="183"/>
        <v>33</v>
      </c>
      <c r="M517" s="20">
        <f t="shared" si="183"/>
        <v>30</v>
      </c>
      <c r="N517" s="20">
        <f t="shared" si="183"/>
        <v>37</v>
      </c>
      <c r="O517" s="20">
        <f t="shared" si="183"/>
        <v>52</v>
      </c>
      <c r="P517" s="20">
        <f t="shared" si="183"/>
        <v>52</v>
      </c>
      <c r="Q517" s="20">
        <f t="shared" si="183"/>
        <v>22</v>
      </c>
      <c r="R517" s="20">
        <f t="shared" si="183"/>
        <v>23</v>
      </c>
      <c r="S517" s="20">
        <f t="shared" si="183"/>
        <v>25</v>
      </c>
      <c r="T517" s="20">
        <f t="shared" si="183"/>
        <v>26</v>
      </c>
      <c r="U517" s="20">
        <f t="shared" si="183"/>
        <v>41</v>
      </c>
      <c r="V517" s="20">
        <f t="shared" si="183"/>
        <v>32</v>
      </c>
      <c r="W517" s="20">
        <f t="shared" si="183"/>
        <v>33</v>
      </c>
      <c r="X517" s="20">
        <f t="shared" si="183"/>
        <v>30</v>
      </c>
      <c r="Y517" s="20">
        <f t="shared" si="183"/>
        <v>8</v>
      </c>
      <c r="Z517" s="20">
        <f t="shared" si="183"/>
        <v>4</v>
      </c>
      <c r="AA517" s="79">
        <f t="shared" si="179"/>
        <v>877</v>
      </c>
      <c r="AB517" s="83"/>
      <c r="AC517" s="82"/>
    </row>
    <row r="518" ht="15.75" customHeight="1">
      <c r="A518" s="84" t="s">
        <v>58</v>
      </c>
      <c r="B518" s="85">
        <f t="shared" ref="B518:Z518" si="184">B517/(COUNT(B6:B9,B29:B32,B52:B55,B75:B78,B98:B101,B121:B124,B144:B147,B167:B170,B190:B193,B213:B216,B236:B239,B259:B262,B282:B285,B305:B308,B328:B331,B351:B354,B374:B377,B397:B400,B420:B423,B443:B446,B466:B469,B489:B492)*1)</f>
        <v>0.9821428571</v>
      </c>
      <c r="C518" s="85">
        <f t="shared" si="184"/>
        <v>0.9285714286</v>
      </c>
      <c r="D518" s="85">
        <f t="shared" si="184"/>
        <v>0.9107142857</v>
      </c>
      <c r="E518" s="85">
        <f t="shared" si="184"/>
        <v>0.875</v>
      </c>
      <c r="F518" s="85">
        <f t="shared" si="184"/>
        <v>0.7678571429</v>
      </c>
      <c r="G518" s="85">
        <f t="shared" si="184"/>
        <v>0.6964285714</v>
      </c>
      <c r="H518" s="85">
        <f t="shared" si="184"/>
        <v>0.6964285714</v>
      </c>
      <c r="I518" s="85">
        <f t="shared" si="184"/>
        <v>0.6428571429</v>
      </c>
      <c r="J518" s="85">
        <f t="shared" si="184"/>
        <v>0.625</v>
      </c>
      <c r="K518" s="85">
        <f t="shared" si="184"/>
        <v>0.5357142857</v>
      </c>
      <c r="L518" s="85">
        <f t="shared" si="184"/>
        <v>0.5892857143</v>
      </c>
      <c r="M518" s="85">
        <f t="shared" si="184"/>
        <v>0.5357142857</v>
      </c>
      <c r="N518" s="85">
        <f t="shared" si="184"/>
        <v>0.6607142857</v>
      </c>
      <c r="O518" s="85">
        <f t="shared" si="184"/>
        <v>0.9285714286</v>
      </c>
      <c r="P518" s="85">
        <f t="shared" si="184"/>
        <v>0.9285714286</v>
      </c>
      <c r="Q518" s="85">
        <f t="shared" si="184"/>
        <v>0.3928571429</v>
      </c>
      <c r="R518" s="85">
        <f t="shared" si="184"/>
        <v>0.4107142857</v>
      </c>
      <c r="S518" s="85">
        <f t="shared" si="184"/>
        <v>0.4545454545</v>
      </c>
      <c r="T518" s="85">
        <f t="shared" si="184"/>
        <v>0.4642857143</v>
      </c>
      <c r="U518" s="85">
        <f t="shared" si="184"/>
        <v>0.7321428571</v>
      </c>
      <c r="V518" s="85">
        <f t="shared" si="184"/>
        <v>0.5714285714</v>
      </c>
      <c r="W518" s="85">
        <f t="shared" si="184"/>
        <v>0.5892857143</v>
      </c>
      <c r="X518" s="85">
        <f t="shared" si="184"/>
        <v>0.5357142857</v>
      </c>
      <c r="Y518" s="85">
        <f t="shared" si="184"/>
        <v>0.5</v>
      </c>
      <c r="Z518" s="85">
        <f t="shared" si="184"/>
        <v>1</v>
      </c>
      <c r="AA518" s="86">
        <f t="shared" si="179"/>
        <v>16.95454545</v>
      </c>
      <c r="AB518" s="80">
        <f>SUM(AB513:AB516)/4</f>
        <v>0.6709278438</v>
      </c>
      <c r="AC518" s="87" t="s">
        <v>58</v>
      </c>
    </row>
    <row r="519">
      <c r="A519" s="27" t="s">
        <v>44</v>
      </c>
      <c r="B519" s="20">
        <f t="shared" ref="B519:Z519" si="185">B12+B35+B58+B81+B104+B127+B150+B173+B196+B219+B242+B265+B288+B311+B334+B357+B380+B403+B426+B449+B472+B495</f>
        <v>0</v>
      </c>
      <c r="C519" s="20">
        <f t="shared" si="185"/>
        <v>0</v>
      </c>
      <c r="D519" s="20">
        <f t="shared" si="185"/>
        <v>0</v>
      </c>
      <c r="E519" s="20">
        <f t="shared" si="185"/>
        <v>30</v>
      </c>
      <c r="F519" s="20">
        <f t="shared" si="185"/>
        <v>20</v>
      </c>
      <c r="G519" s="20">
        <f t="shared" si="185"/>
        <v>30</v>
      </c>
      <c r="H519" s="20">
        <f t="shared" si="185"/>
        <v>40</v>
      </c>
      <c r="I519" s="20">
        <f t="shared" si="185"/>
        <v>60</v>
      </c>
      <c r="J519" s="20">
        <f t="shared" si="185"/>
        <v>60</v>
      </c>
      <c r="K519" s="20">
        <f t="shared" si="185"/>
        <v>80</v>
      </c>
      <c r="L519" s="20">
        <f t="shared" si="185"/>
        <v>70</v>
      </c>
      <c r="M519" s="20">
        <f t="shared" si="185"/>
        <v>65</v>
      </c>
      <c r="N519" s="20">
        <f t="shared" si="185"/>
        <v>50</v>
      </c>
      <c r="O519" s="20">
        <f t="shared" si="185"/>
        <v>30</v>
      </c>
      <c r="P519" s="20">
        <f t="shared" si="185"/>
        <v>35</v>
      </c>
      <c r="Q519" s="20">
        <f t="shared" si="185"/>
        <v>40</v>
      </c>
      <c r="R519" s="20">
        <f t="shared" si="185"/>
        <v>60</v>
      </c>
      <c r="S519" s="20">
        <f t="shared" si="185"/>
        <v>80</v>
      </c>
      <c r="T519" s="20">
        <f t="shared" si="185"/>
        <v>80</v>
      </c>
      <c r="U519" s="20">
        <f t="shared" si="185"/>
        <v>100</v>
      </c>
      <c r="V519" s="20">
        <f t="shared" si="185"/>
        <v>100</v>
      </c>
      <c r="W519" s="20">
        <f t="shared" si="185"/>
        <v>40</v>
      </c>
      <c r="X519" s="20">
        <f t="shared" si="185"/>
        <v>40</v>
      </c>
      <c r="Y519" s="20">
        <f t="shared" si="185"/>
        <v>10</v>
      </c>
      <c r="Z519" s="20">
        <f t="shared" si="185"/>
        <v>0</v>
      </c>
      <c r="AA519" s="89">
        <f t="shared" si="179"/>
        <v>1120</v>
      </c>
      <c r="AB519" s="90" t="s">
        <v>59</v>
      </c>
      <c r="AC519" s="91"/>
    </row>
    <row r="520" ht="15.75" customHeight="1">
      <c r="A520" s="32" t="s">
        <v>45</v>
      </c>
      <c r="B520" s="20">
        <f t="shared" ref="B520:Z520" si="186">B13+B36+B59+B82+B105+B128+B151+B174+B197+B220+B243+B266+B289+B312+B335+B358+B381+B404+B427+B450+B473+B496</f>
        <v>0</v>
      </c>
      <c r="C520" s="20">
        <f t="shared" si="186"/>
        <v>0</v>
      </c>
      <c r="D520" s="20">
        <f t="shared" si="186"/>
        <v>0</v>
      </c>
      <c r="E520" s="20">
        <f t="shared" si="186"/>
        <v>0</v>
      </c>
      <c r="F520" s="20">
        <f t="shared" si="186"/>
        <v>0</v>
      </c>
      <c r="G520" s="20">
        <f t="shared" si="186"/>
        <v>11</v>
      </c>
      <c r="H520" s="20">
        <f t="shared" si="186"/>
        <v>7</v>
      </c>
      <c r="I520" s="20">
        <f t="shared" si="186"/>
        <v>8</v>
      </c>
      <c r="J520" s="20">
        <f t="shared" si="186"/>
        <v>10</v>
      </c>
      <c r="K520" s="20">
        <f t="shared" si="186"/>
        <v>8</v>
      </c>
      <c r="L520" s="20">
        <f t="shared" si="186"/>
        <v>9</v>
      </c>
      <c r="M520" s="20">
        <f t="shared" si="186"/>
        <v>10</v>
      </c>
      <c r="N520" s="20">
        <f t="shared" si="186"/>
        <v>0</v>
      </c>
      <c r="O520" s="20">
        <f t="shared" si="186"/>
        <v>0</v>
      </c>
      <c r="P520" s="20">
        <f t="shared" si="186"/>
        <v>0</v>
      </c>
      <c r="Q520" s="20">
        <f t="shared" si="186"/>
        <v>13</v>
      </c>
      <c r="R520" s="20">
        <f t="shared" si="186"/>
        <v>7</v>
      </c>
      <c r="S520" s="20">
        <f t="shared" si="186"/>
        <v>5</v>
      </c>
      <c r="T520" s="20">
        <f t="shared" si="186"/>
        <v>9</v>
      </c>
      <c r="U520" s="20">
        <f t="shared" si="186"/>
        <v>8</v>
      </c>
      <c r="V520" s="20">
        <f t="shared" si="186"/>
        <v>1</v>
      </c>
      <c r="W520" s="20">
        <f t="shared" si="186"/>
        <v>1</v>
      </c>
      <c r="X520" s="20">
        <f t="shared" si="186"/>
        <v>1</v>
      </c>
      <c r="Y520" s="20">
        <f t="shared" si="186"/>
        <v>1</v>
      </c>
      <c r="Z520" s="20">
        <f t="shared" si="186"/>
        <v>0</v>
      </c>
      <c r="AA520" s="89">
        <f t="shared" si="179"/>
        <v>109</v>
      </c>
      <c r="AB520" s="90" t="s">
        <v>59</v>
      </c>
      <c r="AC520" s="92"/>
    </row>
    <row r="521">
      <c r="A521" s="115" t="s">
        <v>46</v>
      </c>
      <c r="B521" s="20">
        <f t="shared" ref="B521:Z521" si="187">B14+B37+B60+B83+B106+B129+B152+B175+B198+B221+B244+B267+B290+B313+B336+B359+B382+B405+B428+B451+B474+B497</f>
        <v>0</v>
      </c>
      <c r="C521" s="20">
        <f t="shared" si="187"/>
        <v>0</v>
      </c>
      <c r="D521" s="20">
        <f t="shared" si="187"/>
        <v>0</v>
      </c>
      <c r="E521" s="20">
        <f t="shared" si="187"/>
        <v>0</v>
      </c>
      <c r="F521" s="20">
        <f t="shared" si="187"/>
        <v>0</v>
      </c>
      <c r="G521" s="20">
        <f t="shared" si="187"/>
        <v>0</v>
      </c>
      <c r="H521" s="20">
        <f t="shared" si="187"/>
        <v>0</v>
      </c>
      <c r="I521" s="20">
        <f t="shared" si="187"/>
        <v>0</v>
      </c>
      <c r="J521" s="20">
        <f t="shared" si="187"/>
        <v>0</v>
      </c>
      <c r="K521" s="20">
        <f t="shared" si="187"/>
        <v>0</v>
      </c>
      <c r="L521" s="20">
        <f t="shared" si="187"/>
        <v>0</v>
      </c>
      <c r="M521" s="20">
        <f t="shared" si="187"/>
        <v>0</v>
      </c>
      <c r="N521" s="20">
        <f t="shared" si="187"/>
        <v>0</v>
      </c>
      <c r="O521" s="20">
        <f t="shared" si="187"/>
        <v>0</v>
      </c>
      <c r="P521" s="20">
        <f t="shared" si="187"/>
        <v>0</v>
      </c>
      <c r="Q521" s="20">
        <f t="shared" si="187"/>
        <v>0</v>
      </c>
      <c r="R521" s="20">
        <f t="shared" si="187"/>
        <v>0</v>
      </c>
      <c r="S521" s="20">
        <f t="shared" si="187"/>
        <v>0</v>
      </c>
      <c r="T521" s="20">
        <f t="shared" si="187"/>
        <v>0</v>
      </c>
      <c r="U521" s="20">
        <f t="shared" si="187"/>
        <v>0</v>
      </c>
      <c r="V521" s="20">
        <f t="shared" si="187"/>
        <v>0</v>
      </c>
      <c r="W521" s="20">
        <f t="shared" si="187"/>
        <v>0</v>
      </c>
      <c r="X521" s="20">
        <f t="shared" si="187"/>
        <v>0</v>
      </c>
      <c r="Y521" s="20">
        <f t="shared" si="187"/>
        <v>0</v>
      </c>
      <c r="Z521" s="20">
        <f t="shared" si="187"/>
        <v>0</v>
      </c>
      <c r="AA521" s="89">
        <f t="shared" si="179"/>
        <v>0</v>
      </c>
      <c r="AB521" s="90" t="s">
        <v>59</v>
      </c>
      <c r="AC521" s="92"/>
    </row>
    <row r="522">
      <c r="A522" s="94" t="s">
        <v>47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95"/>
      <c r="AB522" s="96" t="s">
        <v>47</v>
      </c>
      <c r="AC522" s="95"/>
    </row>
    <row r="523" ht="15.75" customHeight="1">
      <c r="A523" s="97" t="s">
        <v>48</v>
      </c>
      <c r="B523" s="98">
        <f t="shared" ref="B523:Z523" si="188">B16+B39+B62+B85+B108+B131+B154+B177+B200+B223+B246+B269+B292+B315+B338+B361+B384+B407+B430+B453+B476+B499</f>
        <v>0</v>
      </c>
      <c r="C523" s="98">
        <f t="shared" si="188"/>
        <v>0</v>
      </c>
      <c r="D523" s="98">
        <f t="shared" si="188"/>
        <v>1</v>
      </c>
      <c r="E523" s="98">
        <f t="shared" si="188"/>
        <v>3</v>
      </c>
      <c r="F523" s="98">
        <f t="shared" si="188"/>
        <v>1</v>
      </c>
      <c r="G523" s="98">
        <f t="shared" si="188"/>
        <v>5</v>
      </c>
      <c r="H523" s="98">
        <f t="shared" si="188"/>
        <v>1</v>
      </c>
      <c r="I523" s="98">
        <f t="shared" si="188"/>
        <v>1</v>
      </c>
      <c r="J523" s="98">
        <f t="shared" si="188"/>
        <v>2</v>
      </c>
      <c r="K523" s="98">
        <f t="shared" si="188"/>
        <v>0</v>
      </c>
      <c r="L523" s="98">
        <f t="shared" si="188"/>
        <v>1</v>
      </c>
      <c r="M523" s="98">
        <f t="shared" si="188"/>
        <v>1</v>
      </c>
      <c r="N523" s="98">
        <f t="shared" si="188"/>
        <v>0</v>
      </c>
      <c r="O523" s="98">
        <f t="shared" si="188"/>
        <v>0</v>
      </c>
      <c r="P523" s="98">
        <f t="shared" si="188"/>
        <v>2</v>
      </c>
      <c r="Q523" s="98">
        <f t="shared" si="188"/>
        <v>5</v>
      </c>
      <c r="R523" s="98">
        <f t="shared" si="188"/>
        <v>1</v>
      </c>
      <c r="S523" s="98">
        <f t="shared" si="188"/>
        <v>1</v>
      </c>
      <c r="T523" s="98">
        <f t="shared" si="188"/>
        <v>0</v>
      </c>
      <c r="U523" s="98">
        <f t="shared" si="188"/>
        <v>1</v>
      </c>
      <c r="V523" s="98">
        <f t="shared" si="188"/>
        <v>0</v>
      </c>
      <c r="W523" s="98">
        <f t="shared" si="188"/>
        <v>0</v>
      </c>
      <c r="X523" s="98">
        <f t="shared" si="188"/>
        <v>0</v>
      </c>
      <c r="Y523" s="98">
        <f t="shared" si="188"/>
        <v>0</v>
      </c>
      <c r="Z523" s="98">
        <f t="shared" si="188"/>
        <v>0</v>
      </c>
      <c r="AA523" s="99">
        <f t="shared" ref="AA523:AA524" si="190">SUM(B523:Z523)</f>
        <v>26</v>
      </c>
      <c r="AB523" s="100" t="s">
        <v>60</v>
      </c>
      <c r="AC523" s="95"/>
    </row>
    <row r="524" ht="15.75" customHeight="1">
      <c r="A524" s="97" t="s">
        <v>49</v>
      </c>
      <c r="B524" s="98">
        <f t="shared" ref="B524:Z524" si="189">B17+B40+B63+B86+B109+B132+B155+B178+B201+B224+B247+B270+B293+B316+B339+B362+B385+B408+B431+B454+B477+B500</f>
        <v>0</v>
      </c>
      <c r="C524" s="98">
        <f t="shared" si="189"/>
        <v>0</v>
      </c>
      <c r="D524" s="98">
        <f t="shared" si="189"/>
        <v>20</v>
      </c>
      <c r="E524" s="98">
        <f t="shared" si="189"/>
        <v>70</v>
      </c>
      <c r="F524" s="98">
        <f t="shared" si="189"/>
        <v>60</v>
      </c>
      <c r="G524" s="98">
        <f t="shared" si="189"/>
        <v>140</v>
      </c>
      <c r="H524" s="98">
        <f t="shared" si="189"/>
        <v>160</v>
      </c>
      <c r="I524" s="98">
        <f t="shared" si="189"/>
        <v>140</v>
      </c>
      <c r="J524" s="98">
        <f t="shared" si="189"/>
        <v>160</v>
      </c>
      <c r="K524" s="98">
        <f t="shared" si="189"/>
        <v>135</v>
      </c>
      <c r="L524" s="98">
        <f t="shared" si="189"/>
        <v>140</v>
      </c>
      <c r="M524" s="98">
        <f t="shared" si="189"/>
        <v>130</v>
      </c>
      <c r="N524" s="98">
        <f t="shared" si="189"/>
        <v>35</v>
      </c>
      <c r="O524" s="98">
        <f t="shared" si="189"/>
        <v>15</v>
      </c>
      <c r="P524" s="98">
        <f t="shared" si="189"/>
        <v>55</v>
      </c>
      <c r="Q524" s="98">
        <f t="shared" si="189"/>
        <v>140</v>
      </c>
      <c r="R524" s="98">
        <f t="shared" si="189"/>
        <v>160</v>
      </c>
      <c r="S524" s="98">
        <f t="shared" si="189"/>
        <v>180</v>
      </c>
      <c r="T524" s="98">
        <f t="shared" si="189"/>
        <v>160</v>
      </c>
      <c r="U524" s="98">
        <f t="shared" si="189"/>
        <v>160</v>
      </c>
      <c r="V524" s="98">
        <f t="shared" si="189"/>
        <v>160</v>
      </c>
      <c r="W524" s="98">
        <f t="shared" si="189"/>
        <v>80</v>
      </c>
      <c r="X524" s="98">
        <f t="shared" si="189"/>
        <v>75</v>
      </c>
      <c r="Y524" s="98">
        <f t="shared" si="189"/>
        <v>20</v>
      </c>
      <c r="Z524" s="98">
        <f t="shared" si="189"/>
        <v>0</v>
      </c>
      <c r="AA524" s="99">
        <f t="shared" si="190"/>
        <v>2395</v>
      </c>
      <c r="AB524" s="100" t="s">
        <v>61</v>
      </c>
      <c r="AC524" s="95"/>
    </row>
    <row r="525" ht="15.75" customHeight="1">
      <c r="A525" s="101" t="s">
        <v>62</v>
      </c>
      <c r="B525" s="102">
        <f t="shared" ref="B525:Z525" si="191">SUM(B18,B41,B64,B87,B110,B133,B156,B179,B202,B225,B248,B271,B294,B317,B340,B363,B386,B409,B432,B455,B478,B501)</f>
        <v>0</v>
      </c>
      <c r="C525" s="102">
        <f t="shared" si="191"/>
        <v>0</v>
      </c>
      <c r="D525" s="102">
        <f t="shared" si="191"/>
        <v>1</v>
      </c>
      <c r="E525" s="102">
        <f t="shared" si="191"/>
        <v>3</v>
      </c>
      <c r="F525" s="102">
        <f t="shared" si="191"/>
        <v>1</v>
      </c>
      <c r="G525" s="102">
        <f t="shared" si="191"/>
        <v>5</v>
      </c>
      <c r="H525" s="102">
        <f t="shared" si="191"/>
        <v>1</v>
      </c>
      <c r="I525" s="102">
        <f t="shared" si="191"/>
        <v>1</v>
      </c>
      <c r="J525" s="102">
        <f t="shared" si="191"/>
        <v>2</v>
      </c>
      <c r="K525" s="102">
        <f t="shared" si="191"/>
        <v>0</v>
      </c>
      <c r="L525" s="102">
        <f t="shared" si="191"/>
        <v>1</v>
      </c>
      <c r="M525" s="102">
        <f t="shared" si="191"/>
        <v>1</v>
      </c>
      <c r="N525" s="102">
        <f t="shared" si="191"/>
        <v>0</v>
      </c>
      <c r="O525" s="102">
        <f t="shared" si="191"/>
        <v>0</v>
      </c>
      <c r="P525" s="102">
        <f t="shared" si="191"/>
        <v>2</v>
      </c>
      <c r="Q525" s="102">
        <f t="shared" si="191"/>
        <v>5</v>
      </c>
      <c r="R525" s="102">
        <f t="shared" si="191"/>
        <v>1</v>
      </c>
      <c r="S525" s="102">
        <f t="shared" si="191"/>
        <v>1</v>
      </c>
      <c r="T525" s="102">
        <f t="shared" si="191"/>
        <v>0</v>
      </c>
      <c r="U525" s="102">
        <f t="shared" si="191"/>
        <v>1</v>
      </c>
      <c r="V525" s="102">
        <f t="shared" si="191"/>
        <v>0</v>
      </c>
      <c r="W525" s="102">
        <f t="shared" si="191"/>
        <v>0</v>
      </c>
      <c r="X525" s="102">
        <f t="shared" si="191"/>
        <v>0</v>
      </c>
      <c r="Y525" s="102">
        <f t="shared" si="191"/>
        <v>0</v>
      </c>
      <c r="Z525" s="102">
        <f t="shared" si="191"/>
        <v>0</v>
      </c>
      <c r="AA525" s="103"/>
      <c r="AB525" s="104"/>
      <c r="AC525" s="105"/>
    </row>
    <row r="526" ht="15.75" customHeight="1">
      <c r="A526" s="106" t="s">
        <v>50</v>
      </c>
      <c r="B526" s="107" t="str">
        <f t="shared" ref="B526:Z526" si="192">B525/COUNT(B18,B41,B64,B87,B110,B133,B156,B179,B202,B225,B248,B271,B294,B317,B340,B363,B386,B409,B432,B455,B478,B501)</f>
        <v>#DIV/0!</v>
      </c>
      <c r="C526" s="107" t="str">
        <f t="shared" si="192"/>
        <v>#DIV/0!</v>
      </c>
      <c r="D526" s="107">
        <f t="shared" si="192"/>
        <v>1</v>
      </c>
      <c r="E526" s="107">
        <f t="shared" si="192"/>
        <v>1</v>
      </c>
      <c r="F526" s="107">
        <f t="shared" si="192"/>
        <v>1</v>
      </c>
      <c r="G526" s="107">
        <f t="shared" si="192"/>
        <v>1</v>
      </c>
      <c r="H526" s="107">
        <f t="shared" si="192"/>
        <v>1</v>
      </c>
      <c r="I526" s="107">
        <f t="shared" si="192"/>
        <v>1</v>
      </c>
      <c r="J526" s="107">
        <f t="shared" si="192"/>
        <v>1</v>
      </c>
      <c r="K526" s="107" t="str">
        <f t="shared" si="192"/>
        <v>#DIV/0!</v>
      </c>
      <c r="L526" s="107">
        <f t="shared" si="192"/>
        <v>1</v>
      </c>
      <c r="M526" s="107">
        <f t="shared" si="192"/>
        <v>1</v>
      </c>
      <c r="N526" s="107" t="str">
        <f t="shared" si="192"/>
        <v>#DIV/0!</v>
      </c>
      <c r="O526" s="107" t="str">
        <f t="shared" si="192"/>
        <v>#DIV/0!</v>
      </c>
      <c r="P526" s="107">
        <f t="shared" si="192"/>
        <v>1</v>
      </c>
      <c r="Q526" s="107">
        <f t="shared" si="192"/>
        <v>1</v>
      </c>
      <c r="R526" s="107">
        <f t="shared" si="192"/>
        <v>1</v>
      </c>
      <c r="S526" s="107">
        <f t="shared" si="192"/>
        <v>1</v>
      </c>
      <c r="T526" s="107" t="str">
        <f t="shared" si="192"/>
        <v>#DIV/0!</v>
      </c>
      <c r="U526" s="107">
        <f t="shared" si="192"/>
        <v>1</v>
      </c>
      <c r="V526" s="107" t="str">
        <f t="shared" si="192"/>
        <v>#DIV/0!</v>
      </c>
      <c r="W526" s="107" t="str">
        <f t="shared" si="192"/>
        <v>#DIV/0!</v>
      </c>
      <c r="X526" s="107" t="str">
        <f t="shared" si="192"/>
        <v>#DIV/0!</v>
      </c>
      <c r="Y526" s="107" t="str">
        <f t="shared" si="192"/>
        <v>#DIV/0!</v>
      </c>
      <c r="Z526" s="107" t="str">
        <f t="shared" si="192"/>
        <v>#DIV/0!</v>
      </c>
      <c r="AA526" s="108">
        <f>round(AVERAGEif(B526:Z526, "&gt;0"),0)</f>
        <v>1</v>
      </c>
      <c r="AB526" s="109" t="s">
        <v>63</v>
      </c>
      <c r="AC526" s="110"/>
    </row>
    <row r="527" ht="15.75" customHeight="1">
      <c r="A527" s="111" t="s">
        <v>51</v>
      </c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3"/>
      <c r="AB527" s="114" t="s">
        <v>51</v>
      </c>
      <c r="AC527" s="113"/>
    </row>
    <row r="528" ht="15.75" customHeight="1">
      <c r="A528" s="115" t="s">
        <v>48</v>
      </c>
      <c r="B528" s="20">
        <f t="shared" ref="B528:Z528" si="193">B20+B43+B66+B89+B112+B135+B158+B181+B204+B227+B250+B273+B296+B319+B342+B365+B388+B411+B434+B457+B480+B503</f>
        <v>0</v>
      </c>
      <c r="C528" s="20">
        <f t="shared" si="193"/>
        <v>0</v>
      </c>
      <c r="D528" s="20">
        <f t="shared" si="193"/>
        <v>0</v>
      </c>
      <c r="E528" s="20">
        <f t="shared" si="193"/>
        <v>0</v>
      </c>
      <c r="F528" s="20">
        <f t="shared" si="193"/>
        <v>0</v>
      </c>
      <c r="G528" s="20">
        <f t="shared" si="193"/>
        <v>0</v>
      </c>
      <c r="H528" s="20">
        <f t="shared" si="193"/>
        <v>0</v>
      </c>
      <c r="I528" s="20">
        <f t="shared" si="193"/>
        <v>0</v>
      </c>
      <c r="J528" s="20">
        <f t="shared" si="193"/>
        <v>0</v>
      </c>
      <c r="K528" s="20">
        <f t="shared" si="193"/>
        <v>0</v>
      </c>
      <c r="L528" s="20">
        <f t="shared" si="193"/>
        <v>0</v>
      </c>
      <c r="M528" s="20">
        <f t="shared" si="193"/>
        <v>0</v>
      </c>
      <c r="N528" s="20">
        <f t="shared" si="193"/>
        <v>0</v>
      </c>
      <c r="O528" s="20">
        <f t="shared" si="193"/>
        <v>0</v>
      </c>
      <c r="P528" s="20">
        <f t="shared" si="193"/>
        <v>0</v>
      </c>
      <c r="Q528" s="20">
        <f t="shared" si="193"/>
        <v>0</v>
      </c>
      <c r="R528" s="20">
        <f t="shared" si="193"/>
        <v>0</v>
      </c>
      <c r="S528" s="20">
        <f t="shared" si="193"/>
        <v>0</v>
      </c>
      <c r="T528" s="20">
        <f t="shared" si="193"/>
        <v>0</v>
      </c>
      <c r="U528" s="20">
        <f t="shared" si="193"/>
        <v>0</v>
      </c>
      <c r="V528" s="20">
        <f t="shared" si="193"/>
        <v>0</v>
      </c>
      <c r="W528" s="20">
        <f t="shared" si="193"/>
        <v>0</v>
      </c>
      <c r="X528" s="20">
        <f t="shared" si="193"/>
        <v>0</v>
      </c>
      <c r="Y528" s="20">
        <f t="shared" si="193"/>
        <v>0</v>
      </c>
      <c r="Z528" s="20">
        <f t="shared" si="193"/>
        <v>0</v>
      </c>
      <c r="AA528" s="116">
        <f t="shared" ref="AA528:AA529" si="195">SUM(B528:Z528)</f>
        <v>0</v>
      </c>
      <c r="AB528" s="114" t="s">
        <v>64</v>
      </c>
      <c r="AC528" s="113"/>
    </row>
    <row r="529" ht="15.75" customHeight="1">
      <c r="A529" s="115" t="s">
        <v>49</v>
      </c>
      <c r="B529" s="20">
        <f t="shared" ref="B529:Z529" si="194">B21+B44+B67+B90+B113+B136+B159+B182+B205+B228+B251+B274+B297+B320+B343+B366+B389+B412+B435+B458+B481+B504</f>
        <v>0</v>
      </c>
      <c r="C529" s="20">
        <f t="shared" si="194"/>
        <v>0</v>
      </c>
      <c r="D529" s="20">
        <f t="shared" si="194"/>
        <v>0</v>
      </c>
      <c r="E529" s="20">
        <f t="shared" si="194"/>
        <v>0</v>
      </c>
      <c r="F529" s="20">
        <f t="shared" si="194"/>
        <v>0</v>
      </c>
      <c r="G529" s="20">
        <f t="shared" si="194"/>
        <v>0</v>
      </c>
      <c r="H529" s="20">
        <f t="shared" si="194"/>
        <v>0</v>
      </c>
      <c r="I529" s="20">
        <f t="shared" si="194"/>
        <v>0</v>
      </c>
      <c r="J529" s="20">
        <f t="shared" si="194"/>
        <v>0</v>
      </c>
      <c r="K529" s="20">
        <f t="shared" si="194"/>
        <v>0</v>
      </c>
      <c r="L529" s="20">
        <f t="shared" si="194"/>
        <v>0</v>
      </c>
      <c r="M529" s="20">
        <f t="shared" si="194"/>
        <v>0</v>
      </c>
      <c r="N529" s="20">
        <f t="shared" si="194"/>
        <v>0</v>
      </c>
      <c r="O529" s="20">
        <f t="shared" si="194"/>
        <v>0</v>
      </c>
      <c r="P529" s="20">
        <f t="shared" si="194"/>
        <v>0</v>
      </c>
      <c r="Q529" s="20">
        <f t="shared" si="194"/>
        <v>0</v>
      </c>
      <c r="R529" s="20">
        <f t="shared" si="194"/>
        <v>0</v>
      </c>
      <c r="S529" s="20">
        <f t="shared" si="194"/>
        <v>0</v>
      </c>
      <c r="T529" s="20">
        <f t="shared" si="194"/>
        <v>0</v>
      </c>
      <c r="U529" s="20">
        <f t="shared" si="194"/>
        <v>0</v>
      </c>
      <c r="V529" s="20">
        <f t="shared" si="194"/>
        <v>0</v>
      </c>
      <c r="W529" s="20">
        <f t="shared" si="194"/>
        <v>0</v>
      </c>
      <c r="X529" s="20">
        <f t="shared" si="194"/>
        <v>0</v>
      </c>
      <c r="Y529" s="20">
        <f t="shared" si="194"/>
        <v>0</v>
      </c>
      <c r="Z529" s="20">
        <f t="shared" si="194"/>
        <v>0</v>
      </c>
      <c r="AA529" s="116">
        <f t="shared" si="195"/>
        <v>0</v>
      </c>
      <c r="AB529" s="114" t="s">
        <v>65</v>
      </c>
      <c r="AC529" s="113"/>
    </row>
    <row r="530" ht="15.75" customHeight="1">
      <c r="A530" s="101" t="s">
        <v>62</v>
      </c>
      <c r="B530" s="102">
        <f t="shared" ref="B530:Z530" si="196">sum(B22,B45,B68,B91,B114,B137,B160,B183,B206,B229,B252,B275,B298,B321,B344,B367,B390,B413,B436,B459,B482,B505)</f>
        <v>0</v>
      </c>
      <c r="C530" s="102">
        <f t="shared" si="196"/>
        <v>0</v>
      </c>
      <c r="D530" s="102">
        <f t="shared" si="196"/>
        <v>0</v>
      </c>
      <c r="E530" s="102">
        <f t="shared" si="196"/>
        <v>0</v>
      </c>
      <c r="F530" s="102">
        <f t="shared" si="196"/>
        <v>0</v>
      </c>
      <c r="G530" s="102">
        <f t="shared" si="196"/>
        <v>0</v>
      </c>
      <c r="H530" s="102">
        <f t="shared" si="196"/>
        <v>0</v>
      </c>
      <c r="I530" s="102">
        <f t="shared" si="196"/>
        <v>0</v>
      </c>
      <c r="J530" s="102">
        <f t="shared" si="196"/>
        <v>0</v>
      </c>
      <c r="K530" s="102">
        <f t="shared" si="196"/>
        <v>0</v>
      </c>
      <c r="L530" s="102">
        <f t="shared" si="196"/>
        <v>0</v>
      </c>
      <c r="M530" s="102">
        <f t="shared" si="196"/>
        <v>0</v>
      </c>
      <c r="N530" s="102">
        <f t="shared" si="196"/>
        <v>0</v>
      </c>
      <c r="O530" s="102">
        <f t="shared" si="196"/>
        <v>0</v>
      </c>
      <c r="P530" s="102">
        <f t="shared" si="196"/>
        <v>0</v>
      </c>
      <c r="Q530" s="102">
        <f t="shared" si="196"/>
        <v>0</v>
      </c>
      <c r="R530" s="102">
        <f t="shared" si="196"/>
        <v>0</v>
      </c>
      <c r="S530" s="102">
        <f t="shared" si="196"/>
        <v>0</v>
      </c>
      <c r="T530" s="102">
        <f t="shared" si="196"/>
        <v>0</v>
      </c>
      <c r="U530" s="102">
        <f t="shared" si="196"/>
        <v>0</v>
      </c>
      <c r="V530" s="102">
        <f t="shared" si="196"/>
        <v>0</v>
      </c>
      <c r="W530" s="102">
        <f t="shared" si="196"/>
        <v>0</v>
      </c>
      <c r="X530" s="102">
        <f t="shared" si="196"/>
        <v>0</v>
      </c>
      <c r="Y530" s="102">
        <f t="shared" si="196"/>
        <v>0</v>
      </c>
      <c r="Z530" s="102">
        <f t="shared" si="196"/>
        <v>0</v>
      </c>
      <c r="AA530" s="105"/>
      <c r="AB530" s="104"/>
      <c r="AC530" s="105"/>
    </row>
    <row r="531" ht="15.75" customHeight="1">
      <c r="A531" s="115" t="s">
        <v>50</v>
      </c>
      <c r="B531" s="20" t="str">
        <f t="shared" ref="B531:Z531" si="197">B530/count(B22,B45,B68,B91,B114,B137,B160,B183,B206,B229,B252,B275,B298,B321,B344,B367,B390,B413,B436,B459,B482,B505)</f>
        <v>#DIV/0!</v>
      </c>
      <c r="C531" s="20" t="str">
        <f t="shared" si="197"/>
        <v>#DIV/0!</v>
      </c>
      <c r="D531" s="20" t="str">
        <f t="shared" si="197"/>
        <v>#DIV/0!</v>
      </c>
      <c r="E531" s="20" t="str">
        <f t="shared" si="197"/>
        <v>#DIV/0!</v>
      </c>
      <c r="F531" s="20" t="str">
        <f t="shared" si="197"/>
        <v>#DIV/0!</v>
      </c>
      <c r="G531" s="20" t="str">
        <f t="shared" si="197"/>
        <v>#DIV/0!</v>
      </c>
      <c r="H531" s="20" t="str">
        <f t="shared" si="197"/>
        <v>#DIV/0!</v>
      </c>
      <c r="I531" s="20" t="str">
        <f t="shared" si="197"/>
        <v>#DIV/0!</v>
      </c>
      <c r="J531" s="20" t="str">
        <f t="shared" si="197"/>
        <v>#DIV/0!</v>
      </c>
      <c r="K531" s="20" t="str">
        <f t="shared" si="197"/>
        <v>#DIV/0!</v>
      </c>
      <c r="L531" s="20" t="str">
        <f t="shared" si="197"/>
        <v>#DIV/0!</v>
      </c>
      <c r="M531" s="20" t="str">
        <f t="shared" si="197"/>
        <v>#DIV/0!</v>
      </c>
      <c r="N531" s="20" t="str">
        <f t="shared" si="197"/>
        <v>#DIV/0!</v>
      </c>
      <c r="O531" s="20" t="str">
        <f t="shared" si="197"/>
        <v>#DIV/0!</v>
      </c>
      <c r="P531" s="20" t="str">
        <f t="shared" si="197"/>
        <v>#DIV/0!</v>
      </c>
      <c r="Q531" s="20" t="str">
        <f t="shared" si="197"/>
        <v>#DIV/0!</v>
      </c>
      <c r="R531" s="20" t="str">
        <f t="shared" si="197"/>
        <v>#DIV/0!</v>
      </c>
      <c r="S531" s="20" t="str">
        <f t="shared" si="197"/>
        <v>#DIV/0!</v>
      </c>
      <c r="T531" s="20" t="str">
        <f t="shared" si="197"/>
        <v>#DIV/0!</v>
      </c>
      <c r="U531" s="20" t="str">
        <f t="shared" si="197"/>
        <v>#DIV/0!</v>
      </c>
      <c r="V531" s="20" t="str">
        <f t="shared" si="197"/>
        <v>#DIV/0!</v>
      </c>
      <c r="W531" s="20" t="str">
        <f t="shared" si="197"/>
        <v>#DIV/0!</v>
      </c>
      <c r="X531" s="20" t="str">
        <f t="shared" si="197"/>
        <v>#DIV/0!</v>
      </c>
      <c r="Y531" s="20" t="str">
        <f t="shared" si="197"/>
        <v>#DIV/0!</v>
      </c>
      <c r="Z531" s="20" t="str">
        <f t="shared" si="197"/>
        <v>#DIV/0!</v>
      </c>
      <c r="AA531" s="116" t="str">
        <f>round(AVERAGEif(B531:Z531, "&gt;0"),0)</f>
        <v>#DIV/0!</v>
      </c>
      <c r="AB531" s="114" t="s">
        <v>63</v>
      </c>
      <c r="AC531" s="113"/>
    </row>
    <row r="532" ht="15.75" customHeight="1">
      <c r="A532" s="117" t="s">
        <v>53</v>
      </c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9"/>
      <c r="AB532" s="120" t="s">
        <v>53</v>
      </c>
      <c r="AC532" s="119"/>
    </row>
    <row r="533" ht="15.75" customHeight="1">
      <c r="A533" s="97" t="s">
        <v>48</v>
      </c>
      <c r="B533" s="98">
        <f t="shared" ref="B533:Z533" si="198">B24+B47+B70+B93+B116+B139+B162+B185+B208+B231+B254+B277+B300+B323+B346+B369+B392+B415+B438+B461+B484+B507</f>
        <v>0</v>
      </c>
      <c r="C533" s="98">
        <f t="shared" si="198"/>
        <v>0</v>
      </c>
      <c r="D533" s="98">
        <f t="shared" si="198"/>
        <v>0</v>
      </c>
      <c r="E533" s="98">
        <f t="shared" si="198"/>
        <v>0</v>
      </c>
      <c r="F533" s="98">
        <f t="shared" si="198"/>
        <v>0</v>
      </c>
      <c r="G533" s="98">
        <f t="shared" si="198"/>
        <v>0</v>
      </c>
      <c r="H533" s="98">
        <f t="shared" si="198"/>
        <v>0</v>
      </c>
      <c r="I533" s="98">
        <f t="shared" si="198"/>
        <v>0</v>
      </c>
      <c r="J533" s="98">
        <f t="shared" si="198"/>
        <v>0</v>
      </c>
      <c r="K533" s="98">
        <f t="shared" si="198"/>
        <v>0</v>
      </c>
      <c r="L533" s="98">
        <f t="shared" si="198"/>
        <v>0</v>
      </c>
      <c r="M533" s="98">
        <f t="shared" si="198"/>
        <v>0</v>
      </c>
      <c r="N533" s="98">
        <f t="shared" si="198"/>
        <v>0</v>
      </c>
      <c r="O533" s="98">
        <f t="shared" si="198"/>
        <v>0</v>
      </c>
      <c r="P533" s="98">
        <f t="shared" si="198"/>
        <v>0</v>
      </c>
      <c r="Q533" s="98">
        <f t="shared" si="198"/>
        <v>0</v>
      </c>
      <c r="R533" s="98">
        <f t="shared" si="198"/>
        <v>0</v>
      </c>
      <c r="S533" s="98">
        <f t="shared" si="198"/>
        <v>0</v>
      </c>
      <c r="T533" s="98">
        <f t="shared" si="198"/>
        <v>0</v>
      </c>
      <c r="U533" s="98">
        <f t="shared" si="198"/>
        <v>0</v>
      </c>
      <c r="V533" s="98">
        <f t="shared" si="198"/>
        <v>0</v>
      </c>
      <c r="W533" s="98">
        <f t="shared" si="198"/>
        <v>0</v>
      </c>
      <c r="X533" s="98">
        <f t="shared" si="198"/>
        <v>0</v>
      </c>
      <c r="Y533" s="98">
        <f t="shared" si="198"/>
        <v>0</v>
      </c>
      <c r="Z533" s="98">
        <f t="shared" si="198"/>
        <v>0</v>
      </c>
      <c r="AA533" s="121">
        <f t="shared" ref="AA533:AA534" si="200">SUM(B533:Z533)</f>
        <v>0</v>
      </c>
      <c r="AB533" s="120" t="s">
        <v>66</v>
      </c>
      <c r="AC533" s="119"/>
    </row>
    <row r="534" ht="15.75" customHeight="1">
      <c r="A534" s="97" t="s">
        <v>49</v>
      </c>
      <c r="B534" s="98">
        <f t="shared" ref="B534:Z534" si="199">B25+B48+B71+B94+B117+B140+B163+B186+B209+B232+B255+B278+B301+B324+B347+B370+B393+B416+B439+B462+B485+B508</f>
        <v>0</v>
      </c>
      <c r="C534" s="98">
        <f t="shared" si="199"/>
        <v>0</v>
      </c>
      <c r="D534" s="98">
        <f t="shared" si="199"/>
        <v>0</v>
      </c>
      <c r="E534" s="98">
        <f t="shared" si="199"/>
        <v>0</v>
      </c>
      <c r="F534" s="98">
        <f t="shared" si="199"/>
        <v>0</v>
      </c>
      <c r="G534" s="98">
        <f t="shared" si="199"/>
        <v>0</v>
      </c>
      <c r="H534" s="98">
        <f t="shared" si="199"/>
        <v>0</v>
      </c>
      <c r="I534" s="98">
        <f t="shared" si="199"/>
        <v>0</v>
      </c>
      <c r="J534" s="98">
        <f t="shared" si="199"/>
        <v>0</v>
      </c>
      <c r="K534" s="98">
        <f t="shared" si="199"/>
        <v>0</v>
      </c>
      <c r="L534" s="98">
        <f t="shared" si="199"/>
        <v>0</v>
      </c>
      <c r="M534" s="98">
        <f t="shared" si="199"/>
        <v>0</v>
      </c>
      <c r="N534" s="98">
        <f t="shared" si="199"/>
        <v>0</v>
      </c>
      <c r="O534" s="98">
        <f t="shared" si="199"/>
        <v>0</v>
      </c>
      <c r="P534" s="98">
        <f t="shared" si="199"/>
        <v>0</v>
      </c>
      <c r="Q534" s="98">
        <f t="shared" si="199"/>
        <v>0</v>
      </c>
      <c r="R534" s="98">
        <f t="shared" si="199"/>
        <v>0</v>
      </c>
      <c r="S534" s="98">
        <f t="shared" si="199"/>
        <v>0</v>
      </c>
      <c r="T534" s="98">
        <f t="shared" si="199"/>
        <v>0</v>
      </c>
      <c r="U534" s="98">
        <f t="shared" si="199"/>
        <v>0</v>
      </c>
      <c r="V534" s="98">
        <f t="shared" si="199"/>
        <v>0</v>
      </c>
      <c r="W534" s="98">
        <f t="shared" si="199"/>
        <v>0</v>
      </c>
      <c r="X534" s="98">
        <f t="shared" si="199"/>
        <v>0</v>
      </c>
      <c r="Y534" s="98">
        <f t="shared" si="199"/>
        <v>0</v>
      </c>
      <c r="Z534" s="98">
        <f t="shared" si="199"/>
        <v>0</v>
      </c>
      <c r="AA534" s="121">
        <f t="shared" si="200"/>
        <v>0</v>
      </c>
      <c r="AB534" s="120" t="s">
        <v>67</v>
      </c>
      <c r="AC534" s="119"/>
    </row>
    <row r="535" ht="15.75" customHeight="1">
      <c r="A535" s="122" t="s">
        <v>62</v>
      </c>
      <c r="B535" s="123">
        <f t="shared" ref="B535:Z535" si="201">sum(B26,B49,B72,B95,B118,B141,B164,B187,B210,B233,B256,B279,B302,B325,B348,B371,B394,B417,B440,B463,B486,B509)</f>
        <v>0</v>
      </c>
      <c r="C535" s="123">
        <f t="shared" si="201"/>
        <v>0</v>
      </c>
      <c r="D535" s="123">
        <f t="shared" si="201"/>
        <v>0</v>
      </c>
      <c r="E535" s="123">
        <f t="shared" si="201"/>
        <v>0</v>
      </c>
      <c r="F535" s="123">
        <f t="shared" si="201"/>
        <v>0</v>
      </c>
      <c r="G535" s="123">
        <f t="shared" si="201"/>
        <v>0</v>
      </c>
      <c r="H535" s="123">
        <f t="shared" si="201"/>
        <v>0</v>
      </c>
      <c r="I535" s="123">
        <f t="shared" si="201"/>
        <v>0</v>
      </c>
      <c r="J535" s="123">
        <f t="shared" si="201"/>
        <v>0</v>
      </c>
      <c r="K535" s="123">
        <f t="shared" si="201"/>
        <v>0</v>
      </c>
      <c r="L535" s="123">
        <f t="shared" si="201"/>
        <v>0</v>
      </c>
      <c r="M535" s="123">
        <f t="shared" si="201"/>
        <v>0</v>
      </c>
      <c r="N535" s="123">
        <f t="shared" si="201"/>
        <v>0</v>
      </c>
      <c r="O535" s="123">
        <f t="shared" si="201"/>
        <v>0</v>
      </c>
      <c r="P535" s="123">
        <f t="shared" si="201"/>
        <v>0</v>
      </c>
      <c r="Q535" s="123">
        <f t="shared" si="201"/>
        <v>0</v>
      </c>
      <c r="R535" s="123">
        <f t="shared" si="201"/>
        <v>0</v>
      </c>
      <c r="S535" s="123">
        <f t="shared" si="201"/>
        <v>0</v>
      </c>
      <c r="T535" s="123">
        <f t="shared" si="201"/>
        <v>0</v>
      </c>
      <c r="U535" s="123">
        <f t="shared" si="201"/>
        <v>0</v>
      </c>
      <c r="V535" s="123">
        <f t="shared" si="201"/>
        <v>0</v>
      </c>
      <c r="W535" s="123">
        <f t="shared" si="201"/>
        <v>0</v>
      </c>
      <c r="X535" s="123">
        <f t="shared" si="201"/>
        <v>0</v>
      </c>
      <c r="Y535" s="123">
        <f t="shared" si="201"/>
        <v>0</v>
      </c>
      <c r="Z535" s="123">
        <f t="shared" si="201"/>
        <v>0</v>
      </c>
      <c r="AA535" s="124"/>
      <c r="AB535" s="124"/>
      <c r="AC535" s="122"/>
    </row>
    <row r="536" ht="15.75" customHeight="1">
      <c r="A536" s="106" t="s">
        <v>50</v>
      </c>
      <c r="B536" s="107" t="str">
        <f t="shared" ref="B536:Z536" si="202">B535/count(B26,B49,B72,B95,B118,B141,B164,B187,B210,B233,B256,B279,B302,B325,B348,B371,B394,B417,B440,B463,B486,B509)</f>
        <v>#DIV/0!</v>
      </c>
      <c r="C536" s="107" t="str">
        <f t="shared" si="202"/>
        <v>#DIV/0!</v>
      </c>
      <c r="D536" s="107" t="str">
        <f t="shared" si="202"/>
        <v>#DIV/0!</v>
      </c>
      <c r="E536" s="107" t="str">
        <f t="shared" si="202"/>
        <v>#DIV/0!</v>
      </c>
      <c r="F536" s="107" t="str">
        <f t="shared" si="202"/>
        <v>#DIV/0!</v>
      </c>
      <c r="G536" s="107" t="str">
        <f t="shared" si="202"/>
        <v>#DIV/0!</v>
      </c>
      <c r="H536" s="107" t="str">
        <f t="shared" si="202"/>
        <v>#DIV/0!</v>
      </c>
      <c r="I536" s="107" t="str">
        <f t="shared" si="202"/>
        <v>#DIV/0!</v>
      </c>
      <c r="J536" s="107" t="str">
        <f t="shared" si="202"/>
        <v>#DIV/0!</v>
      </c>
      <c r="K536" s="107" t="str">
        <f t="shared" si="202"/>
        <v>#DIV/0!</v>
      </c>
      <c r="L536" s="107" t="str">
        <f t="shared" si="202"/>
        <v>#DIV/0!</v>
      </c>
      <c r="M536" s="107" t="str">
        <f t="shared" si="202"/>
        <v>#DIV/0!</v>
      </c>
      <c r="N536" s="107" t="str">
        <f t="shared" si="202"/>
        <v>#DIV/0!</v>
      </c>
      <c r="O536" s="107" t="str">
        <f t="shared" si="202"/>
        <v>#DIV/0!</v>
      </c>
      <c r="P536" s="107" t="str">
        <f t="shared" si="202"/>
        <v>#DIV/0!</v>
      </c>
      <c r="Q536" s="107" t="str">
        <f t="shared" si="202"/>
        <v>#DIV/0!</v>
      </c>
      <c r="R536" s="107" t="str">
        <f t="shared" si="202"/>
        <v>#DIV/0!</v>
      </c>
      <c r="S536" s="107" t="str">
        <f t="shared" si="202"/>
        <v>#DIV/0!</v>
      </c>
      <c r="T536" s="107" t="str">
        <f t="shared" si="202"/>
        <v>#DIV/0!</v>
      </c>
      <c r="U536" s="107" t="str">
        <f t="shared" si="202"/>
        <v>#DIV/0!</v>
      </c>
      <c r="V536" s="107" t="str">
        <f t="shared" si="202"/>
        <v>#DIV/0!</v>
      </c>
      <c r="W536" s="107" t="str">
        <f t="shared" si="202"/>
        <v>#DIV/0!</v>
      </c>
      <c r="X536" s="107" t="str">
        <f t="shared" si="202"/>
        <v>#DIV/0!</v>
      </c>
      <c r="Y536" s="107" t="str">
        <f t="shared" si="202"/>
        <v>#DIV/0!</v>
      </c>
      <c r="Z536" s="107" t="str">
        <f t="shared" si="202"/>
        <v>#DIV/0!</v>
      </c>
      <c r="AA536" s="125" t="str">
        <f>round(AVERAGEif(B536:Z536, "&gt;0"),0)</f>
        <v>#DIV/0!</v>
      </c>
      <c r="AB536" s="126" t="s">
        <v>63</v>
      </c>
      <c r="AC536" s="127"/>
    </row>
  </sheetData>
  <mergeCells count="78">
    <mergeCell ref="A222:Z222"/>
    <mergeCell ref="A226:Z226"/>
    <mergeCell ref="A230:Z230"/>
    <mergeCell ref="A245:Z245"/>
    <mergeCell ref="A249:Z249"/>
    <mergeCell ref="A253:Z253"/>
    <mergeCell ref="A268:Z268"/>
    <mergeCell ref="A272:Z272"/>
    <mergeCell ref="A276:Z276"/>
    <mergeCell ref="A291:Z291"/>
    <mergeCell ref="A295:Z295"/>
    <mergeCell ref="A299:Z299"/>
    <mergeCell ref="A314:Z314"/>
    <mergeCell ref="A318:Z318"/>
    <mergeCell ref="A322:Z322"/>
    <mergeCell ref="A337:Z337"/>
    <mergeCell ref="A341:Z341"/>
    <mergeCell ref="A345:Z345"/>
    <mergeCell ref="A360:Z360"/>
    <mergeCell ref="A364:Z364"/>
    <mergeCell ref="A368:Z368"/>
    <mergeCell ref="A383:Z383"/>
    <mergeCell ref="A387:Z387"/>
    <mergeCell ref="A391:Z391"/>
    <mergeCell ref="A406:Z406"/>
    <mergeCell ref="A410:Z410"/>
    <mergeCell ref="A414:Z414"/>
    <mergeCell ref="A429:Z429"/>
    <mergeCell ref="A483:Z483"/>
    <mergeCell ref="A498:Z498"/>
    <mergeCell ref="A502:Z502"/>
    <mergeCell ref="A506:Z506"/>
    <mergeCell ref="A433:Z433"/>
    <mergeCell ref="A437:Z437"/>
    <mergeCell ref="A452:Z452"/>
    <mergeCell ref="A456:Z456"/>
    <mergeCell ref="A460:Z460"/>
    <mergeCell ref="A475:Z475"/>
    <mergeCell ref="A479:Z479"/>
    <mergeCell ref="Q2:R2"/>
    <mergeCell ref="S2:T2"/>
    <mergeCell ref="U2:V2"/>
    <mergeCell ref="W2:Y2"/>
    <mergeCell ref="A1:AB1"/>
    <mergeCell ref="C2:D2"/>
    <mergeCell ref="E2:F2"/>
    <mergeCell ref="G2:H2"/>
    <mergeCell ref="I2:J2"/>
    <mergeCell ref="K2:L2"/>
    <mergeCell ref="M2:P2"/>
    <mergeCell ref="A4:AB4"/>
    <mergeCell ref="A15:Z15"/>
    <mergeCell ref="A19:Z19"/>
    <mergeCell ref="A23:Z23"/>
    <mergeCell ref="A38:Z38"/>
    <mergeCell ref="A42:Z42"/>
    <mergeCell ref="A46:Z46"/>
    <mergeCell ref="A61:Z61"/>
    <mergeCell ref="A65:Z65"/>
    <mergeCell ref="A69:Z69"/>
    <mergeCell ref="A84:Z84"/>
    <mergeCell ref="A88:Z88"/>
    <mergeCell ref="A92:Z92"/>
    <mergeCell ref="A107:Z107"/>
    <mergeCell ref="A111:Z111"/>
    <mergeCell ref="A115:Z115"/>
    <mergeCell ref="A130:Z130"/>
    <mergeCell ref="A134:Z134"/>
    <mergeCell ref="A138:Z138"/>
    <mergeCell ref="A153:Z153"/>
    <mergeCell ref="A157:Z157"/>
    <mergeCell ref="A161:Z161"/>
    <mergeCell ref="A176:Z176"/>
    <mergeCell ref="A180:Z180"/>
    <mergeCell ref="A184:Z184"/>
    <mergeCell ref="A199:Z199"/>
    <mergeCell ref="A203:Z203"/>
    <mergeCell ref="A207:Z20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5.71"/>
    <col customWidth="1" min="2" max="2" width="8.86"/>
    <col customWidth="1" min="3" max="4" width="5.86"/>
    <col customWidth="1" min="5" max="5" width="9.43"/>
    <col customWidth="1" min="6" max="14" width="5.86"/>
    <col customWidth="1" min="15" max="16" width="8.71"/>
    <col customWidth="1" min="17" max="17" width="6.43"/>
    <col customWidth="1" min="18" max="23" width="5.86"/>
    <col customWidth="1" min="24" max="24" width="12.71"/>
    <col customWidth="1" min="25" max="25" width="5.86"/>
    <col customWidth="1" min="26" max="26" width="9.57"/>
    <col customWidth="1" min="27" max="27" width="8.14"/>
    <col customWidth="1" min="28" max="28" width="9.14"/>
    <col customWidth="1" min="29" max="29" width="28.0"/>
  </cols>
  <sheetData>
    <row r="1">
      <c r="A1" s="143" t="s">
        <v>72</v>
      </c>
      <c r="AC1" s="144"/>
    </row>
    <row r="2">
      <c r="A2" s="145"/>
      <c r="B2" s="146"/>
      <c r="C2" s="147" t="s">
        <v>1</v>
      </c>
      <c r="D2" s="6"/>
      <c r="E2" s="147" t="s">
        <v>2</v>
      </c>
      <c r="F2" s="6"/>
      <c r="G2" s="147" t="s">
        <v>3</v>
      </c>
      <c r="H2" s="6"/>
      <c r="I2" s="147" t="s">
        <v>4</v>
      </c>
      <c r="J2" s="6"/>
      <c r="K2" s="147" t="s">
        <v>5</v>
      </c>
      <c r="L2" s="6"/>
      <c r="M2" s="147" t="s">
        <v>6</v>
      </c>
      <c r="N2" s="7"/>
      <c r="O2" s="7"/>
      <c r="P2" s="6"/>
      <c r="Q2" s="147" t="s">
        <v>7</v>
      </c>
      <c r="R2" s="6"/>
      <c r="S2" s="147" t="s">
        <v>8</v>
      </c>
      <c r="T2" s="6"/>
      <c r="U2" s="147" t="s">
        <v>9</v>
      </c>
      <c r="V2" s="6"/>
      <c r="W2" s="147" t="s">
        <v>1</v>
      </c>
      <c r="X2" s="7"/>
      <c r="Y2" s="6"/>
      <c r="Z2" s="148"/>
      <c r="AA2" s="145"/>
      <c r="AB2" s="145"/>
      <c r="AC2" s="149"/>
    </row>
    <row r="3">
      <c r="A3" s="145"/>
      <c r="B3" s="150" t="s">
        <v>10</v>
      </c>
      <c r="C3" s="150" t="s">
        <v>11</v>
      </c>
      <c r="D3" s="11" t="s">
        <v>12</v>
      </c>
      <c r="E3" s="150" t="s">
        <v>13</v>
      </c>
      <c r="F3" s="150" t="s">
        <v>14</v>
      </c>
      <c r="G3" s="150" t="s">
        <v>15</v>
      </c>
      <c r="H3" s="150" t="s">
        <v>16</v>
      </c>
      <c r="I3" s="150" t="s">
        <v>17</v>
      </c>
      <c r="J3" s="150" t="s">
        <v>18</v>
      </c>
      <c r="K3" s="150" t="s">
        <v>19</v>
      </c>
      <c r="L3" s="150" t="s">
        <v>20</v>
      </c>
      <c r="M3" s="150" t="s">
        <v>21</v>
      </c>
      <c r="N3" s="150" t="s">
        <v>22</v>
      </c>
      <c r="O3" s="150" t="s">
        <v>23</v>
      </c>
      <c r="P3" s="150" t="s">
        <v>24</v>
      </c>
      <c r="Q3" s="150" t="s">
        <v>25</v>
      </c>
      <c r="R3" s="150" t="s">
        <v>26</v>
      </c>
      <c r="S3" s="150" t="s">
        <v>27</v>
      </c>
      <c r="T3" s="150" t="s">
        <v>28</v>
      </c>
      <c r="U3" s="150" t="s">
        <v>29</v>
      </c>
      <c r="V3" s="150" t="s">
        <v>30</v>
      </c>
      <c r="W3" s="150" t="s">
        <v>31</v>
      </c>
      <c r="X3" s="150" t="s">
        <v>32</v>
      </c>
      <c r="Y3" s="150" t="s">
        <v>33</v>
      </c>
      <c r="Z3" s="150" t="s">
        <v>34</v>
      </c>
      <c r="AA3" s="145"/>
      <c r="AB3" s="145"/>
      <c r="AC3" s="149"/>
    </row>
    <row r="4">
      <c r="A4" s="145" t="s">
        <v>73</v>
      </c>
      <c r="AC4" s="149" t="s">
        <v>36</v>
      </c>
    </row>
    <row r="5">
      <c r="A5" s="151">
        <v>45931.0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" t="s">
        <v>37</v>
      </c>
      <c r="AB5" s="16" t="s">
        <v>38</v>
      </c>
      <c r="AC5" s="2"/>
    </row>
    <row r="6">
      <c r="A6" s="153" t="s">
        <v>39</v>
      </c>
      <c r="B6" s="154">
        <v>1.0</v>
      </c>
      <c r="C6" s="154">
        <v>1.0</v>
      </c>
      <c r="D6" s="154">
        <v>1.0</v>
      </c>
      <c r="E6" s="154">
        <v>1.0</v>
      </c>
      <c r="F6" s="154">
        <v>0.0</v>
      </c>
      <c r="G6" s="154">
        <v>1.0</v>
      </c>
      <c r="H6" s="154">
        <v>1.0</v>
      </c>
      <c r="I6" s="154">
        <v>0.0</v>
      </c>
      <c r="J6" s="154">
        <v>0.0</v>
      </c>
      <c r="K6" s="154">
        <v>0.0</v>
      </c>
      <c r="L6" s="154">
        <v>1.0</v>
      </c>
      <c r="M6" s="154">
        <v>1.0</v>
      </c>
      <c r="N6" s="154">
        <v>1.0</v>
      </c>
      <c r="O6" s="154">
        <v>1.0</v>
      </c>
      <c r="P6" s="154">
        <v>1.0</v>
      </c>
      <c r="Q6" s="154">
        <v>1.0</v>
      </c>
      <c r="R6" s="154">
        <v>0.0</v>
      </c>
      <c r="S6" s="154">
        <v>0.0</v>
      </c>
      <c r="T6" s="154">
        <v>1.0</v>
      </c>
      <c r="U6" s="154">
        <v>1.0</v>
      </c>
      <c r="V6" s="154">
        <v>1.0</v>
      </c>
      <c r="W6" s="154">
        <v>1.0</v>
      </c>
      <c r="X6" s="154">
        <v>1.0</v>
      </c>
      <c r="Y6" s="154">
        <v>1.0</v>
      </c>
      <c r="Z6" s="154">
        <v>1.0</v>
      </c>
      <c r="AA6" s="20">
        <f t="shared" ref="AA6:AA10" si="1">SUM(B6:Z6)</f>
        <v>19</v>
      </c>
      <c r="AB6" s="21">
        <f t="shared" ref="AB6:AB9" si="2">AA6/(COUNT(B6:Z6)*1)</f>
        <v>0.76</v>
      </c>
      <c r="AC6" s="2"/>
    </row>
    <row r="7">
      <c r="A7" s="153" t="s">
        <v>40</v>
      </c>
      <c r="B7" s="154">
        <v>1.0</v>
      </c>
      <c r="C7" s="154">
        <v>1.0</v>
      </c>
      <c r="D7" s="154">
        <v>1.0</v>
      </c>
      <c r="E7" s="154">
        <v>0.0</v>
      </c>
      <c r="F7" s="154">
        <v>1.0</v>
      </c>
      <c r="G7" s="154">
        <v>1.0</v>
      </c>
      <c r="H7" s="154">
        <v>1.0</v>
      </c>
      <c r="I7" s="154">
        <v>1.0</v>
      </c>
      <c r="J7" s="154">
        <v>1.0</v>
      </c>
      <c r="K7" s="154">
        <v>1.0</v>
      </c>
      <c r="L7" s="154">
        <v>1.0</v>
      </c>
      <c r="M7" s="154">
        <v>1.0</v>
      </c>
      <c r="N7" s="154">
        <v>1.0</v>
      </c>
      <c r="O7" s="154">
        <v>1.0</v>
      </c>
      <c r="P7" s="154">
        <v>1.0</v>
      </c>
      <c r="Q7" s="154">
        <v>1.0</v>
      </c>
      <c r="R7" s="154">
        <v>1.0</v>
      </c>
      <c r="S7" s="154">
        <v>1.0</v>
      </c>
      <c r="T7" s="154">
        <v>1.0</v>
      </c>
      <c r="U7" s="154">
        <v>1.0</v>
      </c>
      <c r="V7" s="154">
        <v>1.0</v>
      </c>
      <c r="W7" s="154">
        <v>1.0</v>
      </c>
      <c r="X7" s="154">
        <v>1.0</v>
      </c>
      <c r="Y7" s="154">
        <v>1.0</v>
      </c>
      <c r="Z7" s="154">
        <v>1.0</v>
      </c>
      <c r="AA7" s="20">
        <f t="shared" si="1"/>
        <v>24</v>
      </c>
      <c r="AB7" s="21">
        <f t="shared" si="2"/>
        <v>0.96</v>
      </c>
      <c r="AC7" s="2"/>
    </row>
    <row r="8">
      <c r="A8" s="153" t="s">
        <v>41</v>
      </c>
      <c r="B8" s="154">
        <v>1.0</v>
      </c>
      <c r="C8" s="154">
        <v>1.0</v>
      </c>
      <c r="D8" s="154">
        <v>1.0</v>
      </c>
      <c r="E8" s="154">
        <v>1.0</v>
      </c>
      <c r="F8" s="154">
        <v>0.0</v>
      </c>
      <c r="G8" s="154">
        <v>1.0</v>
      </c>
      <c r="H8" s="154">
        <v>1.0</v>
      </c>
      <c r="I8" s="154">
        <v>1.0</v>
      </c>
      <c r="J8" s="154">
        <v>1.0</v>
      </c>
      <c r="K8" s="154">
        <v>1.0</v>
      </c>
      <c r="L8" s="154">
        <v>1.0</v>
      </c>
      <c r="M8" s="154">
        <v>1.0</v>
      </c>
      <c r="N8" s="154">
        <v>1.0</v>
      </c>
      <c r="O8" s="154">
        <v>1.0</v>
      </c>
      <c r="P8" s="154">
        <v>1.0</v>
      </c>
      <c r="Q8" s="154">
        <v>1.0</v>
      </c>
      <c r="R8" s="154">
        <v>0.0</v>
      </c>
      <c r="S8" s="154">
        <v>0.0</v>
      </c>
      <c r="T8" s="154">
        <v>1.0</v>
      </c>
      <c r="U8" s="154">
        <v>1.0</v>
      </c>
      <c r="V8" s="154">
        <v>1.0</v>
      </c>
      <c r="W8" s="154">
        <v>1.0</v>
      </c>
      <c r="X8" s="154">
        <v>1.0</v>
      </c>
      <c r="Y8" s="154">
        <v>1.0</v>
      </c>
      <c r="Z8" s="154">
        <v>1.0</v>
      </c>
      <c r="AA8" s="20">
        <f t="shared" si="1"/>
        <v>22</v>
      </c>
      <c r="AB8" s="21">
        <f t="shared" si="2"/>
        <v>0.88</v>
      </c>
      <c r="AC8" s="2"/>
    </row>
    <row r="9">
      <c r="A9" s="153" t="s">
        <v>42</v>
      </c>
      <c r="B9" s="154">
        <v>1.0</v>
      </c>
      <c r="C9" s="154">
        <v>1.0</v>
      </c>
      <c r="D9" s="154">
        <v>1.0</v>
      </c>
      <c r="E9" s="154">
        <v>1.0</v>
      </c>
      <c r="F9" s="154">
        <v>1.0</v>
      </c>
      <c r="G9" s="154">
        <v>1.0</v>
      </c>
      <c r="H9" s="154">
        <v>1.0</v>
      </c>
      <c r="I9" s="154">
        <v>1.0</v>
      </c>
      <c r="J9" s="154">
        <v>1.0</v>
      </c>
      <c r="K9" s="154">
        <v>1.0</v>
      </c>
      <c r="L9" s="154">
        <v>1.0</v>
      </c>
      <c r="M9" s="154">
        <v>1.0</v>
      </c>
      <c r="N9" s="154">
        <v>1.0</v>
      </c>
      <c r="O9" s="154">
        <v>1.0</v>
      </c>
      <c r="P9" s="154">
        <v>1.0</v>
      </c>
      <c r="Q9" s="154">
        <v>1.0</v>
      </c>
      <c r="R9" s="154">
        <v>0.0</v>
      </c>
      <c r="S9" s="154">
        <v>0.0</v>
      </c>
      <c r="T9" s="154">
        <v>1.0</v>
      </c>
      <c r="U9" s="154">
        <v>1.0</v>
      </c>
      <c r="V9" s="154">
        <v>1.0</v>
      </c>
      <c r="W9" s="154">
        <v>1.0</v>
      </c>
      <c r="X9" s="154">
        <v>1.0</v>
      </c>
      <c r="Y9" s="154">
        <v>1.0</v>
      </c>
      <c r="Z9" s="154">
        <v>1.0</v>
      </c>
      <c r="AA9" s="20">
        <f t="shared" si="1"/>
        <v>23</v>
      </c>
      <c r="AB9" s="21">
        <f t="shared" si="2"/>
        <v>0.92</v>
      </c>
      <c r="AC9" s="2"/>
    </row>
    <row r="10">
      <c r="A10" s="153" t="s">
        <v>43</v>
      </c>
      <c r="B10" s="155">
        <f t="shared" ref="B10:Z10" si="3">SUM(B6:B9)</f>
        <v>4</v>
      </c>
      <c r="C10" s="155">
        <f t="shared" si="3"/>
        <v>4</v>
      </c>
      <c r="D10" s="155">
        <f t="shared" si="3"/>
        <v>4</v>
      </c>
      <c r="E10" s="155">
        <f t="shared" si="3"/>
        <v>3</v>
      </c>
      <c r="F10" s="155">
        <f t="shared" si="3"/>
        <v>2</v>
      </c>
      <c r="G10" s="155">
        <f t="shared" si="3"/>
        <v>4</v>
      </c>
      <c r="H10" s="155">
        <f t="shared" si="3"/>
        <v>4</v>
      </c>
      <c r="I10" s="155">
        <f t="shared" si="3"/>
        <v>3</v>
      </c>
      <c r="J10" s="155">
        <f t="shared" si="3"/>
        <v>3</v>
      </c>
      <c r="K10" s="155">
        <f t="shared" si="3"/>
        <v>3</v>
      </c>
      <c r="L10" s="155">
        <f t="shared" si="3"/>
        <v>4</v>
      </c>
      <c r="M10" s="155">
        <f t="shared" si="3"/>
        <v>4</v>
      </c>
      <c r="N10" s="155">
        <f t="shared" si="3"/>
        <v>4</v>
      </c>
      <c r="O10" s="155">
        <f t="shared" si="3"/>
        <v>4</v>
      </c>
      <c r="P10" s="155">
        <f t="shared" si="3"/>
        <v>4</v>
      </c>
      <c r="Q10" s="155">
        <f t="shared" si="3"/>
        <v>4</v>
      </c>
      <c r="R10" s="155">
        <f t="shared" si="3"/>
        <v>1</v>
      </c>
      <c r="S10" s="155">
        <f t="shared" si="3"/>
        <v>1</v>
      </c>
      <c r="T10" s="155">
        <f t="shared" si="3"/>
        <v>4</v>
      </c>
      <c r="U10" s="155">
        <f t="shared" si="3"/>
        <v>4</v>
      </c>
      <c r="V10" s="155">
        <f t="shared" si="3"/>
        <v>4</v>
      </c>
      <c r="W10" s="155">
        <f t="shared" si="3"/>
        <v>4</v>
      </c>
      <c r="X10" s="155">
        <f t="shared" si="3"/>
        <v>4</v>
      </c>
      <c r="Y10" s="155">
        <f t="shared" si="3"/>
        <v>4</v>
      </c>
      <c r="Z10" s="155">
        <f t="shared" si="3"/>
        <v>4</v>
      </c>
      <c r="AA10" s="20">
        <f t="shared" si="1"/>
        <v>88</v>
      </c>
      <c r="AB10" s="23"/>
      <c r="AC10" s="2"/>
    </row>
    <row r="11">
      <c r="A11" s="153" t="s">
        <v>38</v>
      </c>
      <c r="B11" s="156">
        <f t="shared" ref="B11:Z11" si="4">B10/(COUNT(B6:B9)*1)</f>
        <v>1</v>
      </c>
      <c r="C11" s="156">
        <f t="shared" si="4"/>
        <v>1</v>
      </c>
      <c r="D11" s="156">
        <f t="shared" si="4"/>
        <v>1</v>
      </c>
      <c r="E11" s="156">
        <f t="shared" si="4"/>
        <v>0.75</v>
      </c>
      <c r="F11" s="156">
        <f t="shared" si="4"/>
        <v>0.5</v>
      </c>
      <c r="G11" s="156">
        <f t="shared" si="4"/>
        <v>1</v>
      </c>
      <c r="H11" s="156">
        <f t="shared" si="4"/>
        <v>1</v>
      </c>
      <c r="I11" s="156">
        <f t="shared" si="4"/>
        <v>0.75</v>
      </c>
      <c r="J11" s="156">
        <f t="shared" si="4"/>
        <v>0.75</v>
      </c>
      <c r="K11" s="156">
        <f t="shared" si="4"/>
        <v>0.75</v>
      </c>
      <c r="L11" s="156">
        <f t="shared" si="4"/>
        <v>1</v>
      </c>
      <c r="M11" s="156">
        <f t="shared" si="4"/>
        <v>1</v>
      </c>
      <c r="N11" s="156">
        <f t="shared" si="4"/>
        <v>1</v>
      </c>
      <c r="O11" s="156">
        <f t="shared" si="4"/>
        <v>1</v>
      </c>
      <c r="P11" s="156">
        <f t="shared" si="4"/>
        <v>1</v>
      </c>
      <c r="Q11" s="156">
        <f t="shared" si="4"/>
        <v>1</v>
      </c>
      <c r="R11" s="156">
        <f t="shared" si="4"/>
        <v>0.25</v>
      </c>
      <c r="S11" s="156">
        <f t="shared" si="4"/>
        <v>0.25</v>
      </c>
      <c r="T11" s="156">
        <f t="shared" si="4"/>
        <v>1</v>
      </c>
      <c r="U11" s="156">
        <f t="shared" si="4"/>
        <v>1</v>
      </c>
      <c r="V11" s="156">
        <f t="shared" si="4"/>
        <v>1</v>
      </c>
      <c r="W11" s="156">
        <f t="shared" si="4"/>
        <v>1</v>
      </c>
      <c r="X11" s="156">
        <f t="shared" si="4"/>
        <v>1</v>
      </c>
      <c r="Y11" s="156">
        <f t="shared" si="4"/>
        <v>1</v>
      </c>
      <c r="Z11" s="156">
        <f t="shared" si="4"/>
        <v>1</v>
      </c>
      <c r="AA11" s="25"/>
      <c r="AB11" s="26">
        <f>SUM(AB6:AB9)/4</f>
        <v>0.88</v>
      </c>
      <c r="AC11" s="2"/>
    </row>
    <row r="12">
      <c r="A12" s="157" t="s">
        <v>74</v>
      </c>
      <c r="B12" s="158"/>
      <c r="C12" s="159"/>
      <c r="D12" s="158"/>
      <c r="E12" s="159">
        <v>20.0</v>
      </c>
      <c r="F12" s="158"/>
      <c r="G12" s="158"/>
      <c r="H12" s="158"/>
      <c r="I12" s="159">
        <v>20.0</v>
      </c>
      <c r="J12" s="159">
        <v>20.0</v>
      </c>
      <c r="K12" s="159">
        <v>20.0</v>
      </c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30">
        <f t="shared" ref="AA12:AA14" si="5">SUM(B12:Z12)</f>
        <v>80</v>
      </c>
      <c r="AB12" s="31"/>
      <c r="AC12" s="2"/>
    </row>
    <row r="13">
      <c r="A13" s="160" t="s">
        <v>45</v>
      </c>
      <c r="B13" s="161"/>
      <c r="C13" s="161"/>
      <c r="D13" s="161"/>
      <c r="E13" s="162"/>
      <c r="F13" s="161"/>
      <c r="G13" s="161"/>
      <c r="H13" s="161"/>
      <c r="I13" s="162"/>
      <c r="J13" s="162"/>
      <c r="K13" s="162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58"/>
      <c r="W13" s="158"/>
      <c r="X13" s="158"/>
      <c r="Y13" s="158"/>
      <c r="Z13" s="158"/>
      <c r="AA13" s="30">
        <f t="shared" si="5"/>
        <v>0</v>
      </c>
      <c r="AB13" s="31"/>
      <c r="AC13" s="9"/>
    </row>
    <row r="14">
      <c r="A14" s="160" t="s">
        <v>46</v>
      </c>
      <c r="B14" s="161"/>
      <c r="C14" s="161"/>
      <c r="D14" s="161"/>
      <c r="E14" s="162"/>
      <c r="F14" s="161"/>
      <c r="G14" s="161"/>
      <c r="H14" s="161"/>
      <c r="I14" s="162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58"/>
      <c r="W14" s="158"/>
      <c r="X14" s="158"/>
      <c r="Y14" s="158"/>
      <c r="Z14" s="158"/>
      <c r="AA14" s="30">
        <f t="shared" si="5"/>
        <v>0</v>
      </c>
      <c r="AB14" s="31"/>
      <c r="AC14" s="9"/>
    </row>
    <row r="15">
      <c r="A15" s="163" t="s">
        <v>47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8"/>
      <c r="AB15" s="39"/>
      <c r="AC15" s="2"/>
    </row>
    <row r="16">
      <c r="A16" s="164" t="s">
        <v>48</v>
      </c>
      <c r="B16" s="165"/>
      <c r="C16" s="166"/>
      <c r="D16" s="165"/>
      <c r="E16" s="166">
        <v>1.0</v>
      </c>
      <c r="F16" s="165"/>
      <c r="G16" s="165"/>
      <c r="H16" s="165"/>
      <c r="I16" s="166">
        <v>1.0</v>
      </c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7"/>
      <c r="W16" s="167"/>
      <c r="X16" s="167"/>
      <c r="Y16" s="167"/>
      <c r="Z16" s="167"/>
      <c r="AA16" s="44">
        <f t="shared" ref="AA16:AA17" si="6">SUM(B16:Z16)</f>
        <v>2</v>
      </c>
      <c r="AB16" s="31"/>
      <c r="AC16" s="2"/>
    </row>
    <row r="17">
      <c r="A17" s="164" t="s">
        <v>49</v>
      </c>
      <c r="B17" s="165"/>
      <c r="C17" s="166"/>
      <c r="D17" s="165"/>
      <c r="E17" s="166">
        <v>20.0</v>
      </c>
      <c r="F17" s="165"/>
      <c r="G17" s="165"/>
      <c r="H17" s="165"/>
      <c r="I17" s="166">
        <v>20.0</v>
      </c>
      <c r="J17" s="166">
        <v>20.0</v>
      </c>
      <c r="K17" s="166">
        <v>20.0</v>
      </c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7"/>
      <c r="W17" s="167"/>
      <c r="X17" s="167"/>
      <c r="Y17" s="167"/>
      <c r="Z17" s="167"/>
      <c r="AA17" s="44">
        <f t="shared" si="6"/>
        <v>80</v>
      </c>
      <c r="AB17" s="31"/>
      <c r="AC17" s="2"/>
    </row>
    <row r="18">
      <c r="A18" s="164" t="s">
        <v>50</v>
      </c>
      <c r="B18" s="166"/>
      <c r="C18" s="166"/>
      <c r="D18" s="165"/>
      <c r="E18" s="166">
        <v>1.0</v>
      </c>
      <c r="F18" s="165"/>
      <c r="G18" s="165"/>
      <c r="H18" s="165"/>
      <c r="I18" s="166">
        <v>1.0</v>
      </c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7"/>
      <c r="W18" s="167"/>
      <c r="X18" s="167"/>
      <c r="Y18" s="167"/>
      <c r="Z18" s="167"/>
      <c r="AA18" s="44">
        <f>AVERAGE(B18:Z18)</f>
        <v>1</v>
      </c>
      <c r="AB18" s="31"/>
      <c r="AC18" s="2"/>
    </row>
    <row r="19">
      <c r="A19" s="168" t="s">
        <v>51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7"/>
      <c r="AA19" s="46"/>
      <c r="AB19" s="39"/>
      <c r="AC19" s="2"/>
    </row>
    <row r="20">
      <c r="A20" s="169" t="s">
        <v>48</v>
      </c>
      <c r="B20" s="170"/>
      <c r="C20" s="154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1"/>
      <c r="W20" s="171"/>
      <c r="X20" s="171"/>
      <c r="Y20" s="171"/>
      <c r="Z20" s="171"/>
      <c r="AA20" s="51">
        <f t="shared" ref="AA20:AA21" si="7">SUM(B20:Z20)</f>
        <v>0</v>
      </c>
      <c r="AB20" s="31"/>
      <c r="AC20" s="2"/>
    </row>
    <row r="21">
      <c r="A21" s="169" t="s">
        <v>49</v>
      </c>
      <c r="B21" s="170"/>
      <c r="C21" s="154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1"/>
      <c r="W21" s="171"/>
      <c r="X21" s="171"/>
      <c r="Y21" s="171"/>
      <c r="Z21" s="171"/>
      <c r="AA21" s="51">
        <f t="shared" si="7"/>
        <v>0</v>
      </c>
      <c r="AB21" s="31"/>
      <c r="AC21" s="2"/>
    </row>
    <row r="22">
      <c r="A22" s="169" t="s">
        <v>52</v>
      </c>
      <c r="B22" s="154"/>
      <c r="C22" s="154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1"/>
      <c r="W22" s="171"/>
      <c r="X22" s="171"/>
      <c r="Y22" s="171"/>
      <c r="Z22" s="171"/>
      <c r="AA22" s="51" t="str">
        <f>AVERAGE(B22:Z22)</f>
        <v>#DIV/0!</v>
      </c>
      <c r="AB22" s="31"/>
      <c r="AC22" s="2"/>
    </row>
    <row r="23">
      <c r="A23" s="163" t="s">
        <v>53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7"/>
      <c r="AA23" s="38"/>
      <c r="AB23" s="39"/>
      <c r="AC23" s="2"/>
    </row>
    <row r="24">
      <c r="A24" s="164" t="s">
        <v>48</v>
      </c>
      <c r="B24" s="165"/>
      <c r="C24" s="166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7"/>
      <c r="W24" s="167"/>
      <c r="X24" s="167"/>
      <c r="Y24" s="167"/>
      <c r="Z24" s="167"/>
      <c r="AA24" s="44">
        <f t="shared" ref="AA24:AA25" si="8">SUM(B24:Z24)</f>
        <v>0</v>
      </c>
      <c r="AB24" s="31"/>
      <c r="AC24" s="2"/>
    </row>
    <row r="25">
      <c r="A25" s="164" t="s">
        <v>49</v>
      </c>
      <c r="B25" s="165"/>
      <c r="C25" s="166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7"/>
      <c r="W25" s="167"/>
      <c r="X25" s="167"/>
      <c r="Y25" s="167"/>
      <c r="Z25" s="167"/>
      <c r="AA25" s="44">
        <f t="shared" si="8"/>
        <v>0</v>
      </c>
      <c r="AB25" s="31"/>
      <c r="AC25" s="2"/>
    </row>
    <row r="26">
      <c r="A26" s="172" t="s">
        <v>50</v>
      </c>
      <c r="B26" s="173"/>
      <c r="C26" s="173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5"/>
      <c r="W26" s="175"/>
      <c r="X26" s="175"/>
      <c r="Y26" s="175"/>
      <c r="Z26" s="175"/>
      <c r="AA26" s="57" t="str">
        <f>AVERAGE(B26:Z26)</f>
        <v>#DIV/0!</v>
      </c>
      <c r="AB26" s="58"/>
      <c r="AC26" s="2"/>
    </row>
    <row r="27">
      <c r="A27" s="176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59"/>
      <c r="AB27" s="59"/>
      <c r="AC27" s="2"/>
    </row>
    <row r="28">
      <c r="A28" s="151">
        <v>45933.0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" t="s">
        <v>37</v>
      </c>
      <c r="AB28" s="16" t="s">
        <v>38</v>
      </c>
      <c r="AC28" s="2"/>
    </row>
    <row r="29">
      <c r="A29" s="153" t="s">
        <v>39</v>
      </c>
      <c r="B29" s="154">
        <v>1.0</v>
      </c>
      <c r="C29" s="154">
        <v>1.0</v>
      </c>
      <c r="D29" s="154">
        <v>1.0</v>
      </c>
      <c r="E29" s="154">
        <v>1.0</v>
      </c>
      <c r="F29" s="154">
        <v>1.0</v>
      </c>
      <c r="G29" s="154">
        <v>1.0</v>
      </c>
      <c r="H29" s="154">
        <v>1.0</v>
      </c>
      <c r="I29" s="154">
        <v>1.0</v>
      </c>
      <c r="J29" s="154">
        <v>1.0</v>
      </c>
      <c r="K29" s="154">
        <v>1.0</v>
      </c>
      <c r="L29" s="154">
        <v>1.0</v>
      </c>
      <c r="M29" s="154">
        <v>1.0</v>
      </c>
      <c r="N29" s="154">
        <v>1.0</v>
      </c>
      <c r="O29" s="154">
        <v>1.0</v>
      </c>
      <c r="P29" s="154">
        <v>1.0</v>
      </c>
      <c r="Q29" s="154">
        <v>1.0</v>
      </c>
      <c r="R29" s="154">
        <v>1.0</v>
      </c>
      <c r="S29" s="154">
        <v>1.0</v>
      </c>
      <c r="T29" s="154">
        <v>1.0</v>
      </c>
      <c r="U29" s="154">
        <v>1.0</v>
      </c>
      <c r="V29" s="154">
        <v>1.0</v>
      </c>
      <c r="W29" s="154">
        <v>1.0</v>
      </c>
      <c r="X29" s="154">
        <v>1.0</v>
      </c>
      <c r="Y29" s="154">
        <v>1.0</v>
      </c>
      <c r="Z29" s="154">
        <v>1.0</v>
      </c>
      <c r="AA29" s="20">
        <f t="shared" ref="AA29:AA33" si="9">SUM(B29:Z29)</f>
        <v>25</v>
      </c>
      <c r="AB29" s="21">
        <f t="shared" ref="AB29:AB32" si="10">AA29/(COUNT(B29:Z29)*1)</f>
        <v>1</v>
      </c>
      <c r="AC29" s="2"/>
    </row>
    <row r="30">
      <c r="A30" s="153" t="s">
        <v>40</v>
      </c>
      <c r="B30" s="154">
        <v>1.0</v>
      </c>
      <c r="C30" s="154">
        <v>1.0</v>
      </c>
      <c r="D30" s="154">
        <v>1.0</v>
      </c>
      <c r="E30" s="154">
        <v>1.0</v>
      </c>
      <c r="F30" s="154">
        <v>1.0</v>
      </c>
      <c r="G30" s="154">
        <v>1.0</v>
      </c>
      <c r="H30" s="154">
        <v>1.0</v>
      </c>
      <c r="I30" s="154">
        <v>1.0</v>
      </c>
      <c r="J30" s="154">
        <v>1.0</v>
      </c>
      <c r="K30" s="154">
        <v>1.0</v>
      </c>
      <c r="L30" s="154">
        <v>1.0</v>
      </c>
      <c r="M30" s="154">
        <v>1.0</v>
      </c>
      <c r="N30" s="154">
        <v>1.0</v>
      </c>
      <c r="O30" s="154">
        <v>1.0</v>
      </c>
      <c r="P30" s="154">
        <v>1.0</v>
      </c>
      <c r="Q30" s="154">
        <v>1.0</v>
      </c>
      <c r="R30" s="154">
        <v>1.0</v>
      </c>
      <c r="S30" s="154">
        <v>1.0</v>
      </c>
      <c r="T30" s="154">
        <v>1.0</v>
      </c>
      <c r="U30" s="154">
        <v>1.0</v>
      </c>
      <c r="V30" s="154">
        <v>1.0</v>
      </c>
      <c r="W30" s="154">
        <v>0.0</v>
      </c>
      <c r="X30" s="154">
        <v>0.0</v>
      </c>
      <c r="Y30" s="154">
        <v>0.0</v>
      </c>
      <c r="Z30" s="154">
        <v>0.0</v>
      </c>
      <c r="AA30" s="20">
        <f t="shared" si="9"/>
        <v>21</v>
      </c>
      <c r="AB30" s="21">
        <f t="shared" si="10"/>
        <v>0.84</v>
      </c>
      <c r="AC30" s="2"/>
    </row>
    <row r="31">
      <c r="A31" s="153" t="s">
        <v>41</v>
      </c>
      <c r="B31" s="154">
        <v>0.0</v>
      </c>
      <c r="C31" s="154">
        <v>0.0</v>
      </c>
      <c r="D31" s="154">
        <v>0.0</v>
      </c>
      <c r="E31" s="154">
        <v>1.0</v>
      </c>
      <c r="F31" s="154">
        <v>1.0</v>
      </c>
      <c r="G31" s="154">
        <v>1.0</v>
      </c>
      <c r="H31" s="154">
        <v>1.0</v>
      </c>
      <c r="I31" s="154">
        <v>0.0</v>
      </c>
      <c r="J31" s="154">
        <v>1.0</v>
      </c>
      <c r="K31" s="154">
        <v>1.0</v>
      </c>
      <c r="L31" s="154">
        <v>1.0</v>
      </c>
      <c r="M31" s="154">
        <v>1.0</v>
      </c>
      <c r="N31" s="154">
        <v>1.0</v>
      </c>
      <c r="O31" s="154">
        <v>1.0</v>
      </c>
      <c r="P31" s="154">
        <v>0.0</v>
      </c>
      <c r="Q31" s="154">
        <v>1.0</v>
      </c>
      <c r="R31" s="154">
        <v>1.0</v>
      </c>
      <c r="S31" s="154">
        <v>1.0</v>
      </c>
      <c r="T31" s="154">
        <v>0.0</v>
      </c>
      <c r="U31" s="154">
        <v>0.0</v>
      </c>
      <c r="V31" s="154">
        <v>1.0</v>
      </c>
      <c r="W31" s="154">
        <v>1.0</v>
      </c>
      <c r="X31" s="154">
        <v>1.0</v>
      </c>
      <c r="Y31" s="154">
        <v>1.0</v>
      </c>
      <c r="Z31" s="154">
        <v>1.0</v>
      </c>
      <c r="AA31" s="20">
        <f t="shared" si="9"/>
        <v>18</v>
      </c>
      <c r="AB31" s="21">
        <f t="shared" si="10"/>
        <v>0.72</v>
      </c>
      <c r="AC31" s="2"/>
    </row>
    <row r="32">
      <c r="A32" s="153" t="s">
        <v>42</v>
      </c>
      <c r="B32" s="154">
        <v>1.0</v>
      </c>
      <c r="C32" s="154">
        <v>1.0</v>
      </c>
      <c r="D32" s="154">
        <v>1.0</v>
      </c>
      <c r="E32" s="154">
        <v>1.0</v>
      </c>
      <c r="F32" s="154">
        <v>1.0</v>
      </c>
      <c r="G32" s="154">
        <v>1.0</v>
      </c>
      <c r="H32" s="154">
        <v>1.0</v>
      </c>
      <c r="I32" s="154">
        <v>1.0</v>
      </c>
      <c r="J32" s="154">
        <v>0.0</v>
      </c>
      <c r="K32" s="154">
        <v>1.0</v>
      </c>
      <c r="L32" s="154">
        <v>1.0</v>
      </c>
      <c r="M32" s="154">
        <v>1.0</v>
      </c>
      <c r="N32" s="154">
        <v>1.0</v>
      </c>
      <c r="O32" s="154">
        <v>1.0</v>
      </c>
      <c r="P32" s="154">
        <v>0.0</v>
      </c>
      <c r="Q32" s="154">
        <v>1.0</v>
      </c>
      <c r="R32" s="154">
        <v>1.0</v>
      </c>
      <c r="S32" s="154">
        <v>1.0</v>
      </c>
      <c r="T32" s="154">
        <v>1.0</v>
      </c>
      <c r="U32" s="154">
        <v>1.0</v>
      </c>
      <c r="V32" s="154">
        <v>1.0</v>
      </c>
      <c r="W32" s="154">
        <v>1.0</v>
      </c>
      <c r="X32" s="154">
        <v>1.0</v>
      </c>
      <c r="Y32" s="154">
        <v>1.0</v>
      </c>
      <c r="Z32" s="154">
        <v>1.0</v>
      </c>
      <c r="AA32" s="20">
        <f t="shared" si="9"/>
        <v>23</v>
      </c>
      <c r="AB32" s="21">
        <f t="shared" si="10"/>
        <v>0.92</v>
      </c>
      <c r="AC32" s="2"/>
    </row>
    <row r="33">
      <c r="A33" s="153" t="s">
        <v>43</v>
      </c>
      <c r="B33" s="155">
        <f t="shared" ref="B33:Z33" si="11">SUM(B29:B32)</f>
        <v>3</v>
      </c>
      <c r="C33" s="155">
        <f t="shared" si="11"/>
        <v>3</v>
      </c>
      <c r="D33" s="155">
        <f t="shared" si="11"/>
        <v>3</v>
      </c>
      <c r="E33" s="155">
        <f t="shared" si="11"/>
        <v>4</v>
      </c>
      <c r="F33" s="155">
        <f t="shared" si="11"/>
        <v>4</v>
      </c>
      <c r="G33" s="155">
        <f t="shared" si="11"/>
        <v>4</v>
      </c>
      <c r="H33" s="155">
        <f t="shared" si="11"/>
        <v>4</v>
      </c>
      <c r="I33" s="155">
        <f t="shared" si="11"/>
        <v>3</v>
      </c>
      <c r="J33" s="155">
        <f t="shared" si="11"/>
        <v>3</v>
      </c>
      <c r="K33" s="155">
        <f t="shared" si="11"/>
        <v>4</v>
      </c>
      <c r="L33" s="155">
        <f t="shared" si="11"/>
        <v>4</v>
      </c>
      <c r="M33" s="155">
        <f t="shared" si="11"/>
        <v>4</v>
      </c>
      <c r="N33" s="155">
        <f t="shared" si="11"/>
        <v>4</v>
      </c>
      <c r="O33" s="155">
        <f t="shared" si="11"/>
        <v>4</v>
      </c>
      <c r="P33" s="155">
        <f t="shared" si="11"/>
        <v>2</v>
      </c>
      <c r="Q33" s="155">
        <f t="shared" si="11"/>
        <v>4</v>
      </c>
      <c r="R33" s="155">
        <f t="shared" si="11"/>
        <v>4</v>
      </c>
      <c r="S33" s="155">
        <f t="shared" si="11"/>
        <v>4</v>
      </c>
      <c r="T33" s="155">
        <f t="shared" si="11"/>
        <v>3</v>
      </c>
      <c r="U33" s="155">
        <f t="shared" si="11"/>
        <v>3</v>
      </c>
      <c r="V33" s="155">
        <f t="shared" si="11"/>
        <v>4</v>
      </c>
      <c r="W33" s="155">
        <f t="shared" si="11"/>
        <v>3</v>
      </c>
      <c r="X33" s="155">
        <f t="shared" si="11"/>
        <v>3</v>
      </c>
      <c r="Y33" s="155">
        <f t="shared" si="11"/>
        <v>3</v>
      </c>
      <c r="Z33" s="155">
        <f t="shared" si="11"/>
        <v>3</v>
      </c>
      <c r="AA33" s="20">
        <f t="shared" si="9"/>
        <v>87</v>
      </c>
      <c r="AB33" s="23"/>
      <c r="AC33" s="2"/>
    </row>
    <row r="34">
      <c r="A34" s="153" t="s">
        <v>38</v>
      </c>
      <c r="B34" s="156">
        <f t="shared" ref="B34:Z34" si="12">B33/(COUNT(B29:B32)*1)</f>
        <v>0.75</v>
      </c>
      <c r="C34" s="156">
        <f t="shared" si="12"/>
        <v>0.75</v>
      </c>
      <c r="D34" s="156">
        <f t="shared" si="12"/>
        <v>0.75</v>
      </c>
      <c r="E34" s="156">
        <f t="shared" si="12"/>
        <v>1</v>
      </c>
      <c r="F34" s="156">
        <f t="shared" si="12"/>
        <v>1</v>
      </c>
      <c r="G34" s="156">
        <f t="shared" si="12"/>
        <v>1</v>
      </c>
      <c r="H34" s="156">
        <f t="shared" si="12"/>
        <v>1</v>
      </c>
      <c r="I34" s="156">
        <f t="shared" si="12"/>
        <v>0.75</v>
      </c>
      <c r="J34" s="156">
        <f t="shared" si="12"/>
        <v>0.75</v>
      </c>
      <c r="K34" s="156">
        <f t="shared" si="12"/>
        <v>1</v>
      </c>
      <c r="L34" s="156">
        <f t="shared" si="12"/>
        <v>1</v>
      </c>
      <c r="M34" s="156">
        <f t="shared" si="12"/>
        <v>1</v>
      </c>
      <c r="N34" s="156">
        <f t="shared" si="12"/>
        <v>1</v>
      </c>
      <c r="O34" s="156">
        <f t="shared" si="12"/>
        <v>1</v>
      </c>
      <c r="P34" s="156">
        <f t="shared" si="12"/>
        <v>0.5</v>
      </c>
      <c r="Q34" s="156">
        <f t="shared" si="12"/>
        <v>1</v>
      </c>
      <c r="R34" s="156">
        <f t="shared" si="12"/>
        <v>1</v>
      </c>
      <c r="S34" s="156">
        <f t="shared" si="12"/>
        <v>1</v>
      </c>
      <c r="T34" s="156">
        <f t="shared" si="12"/>
        <v>0.75</v>
      </c>
      <c r="U34" s="156">
        <f t="shared" si="12"/>
        <v>0.75</v>
      </c>
      <c r="V34" s="156">
        <f t="shared" si="12"/>
        <v>1</v>
      </c>
      <c r="W34" s="156">
        <f t="shared" si="12"/>
        <v>0.75</v>
      </c>
      <c r="X34" s="156">
        <f t="shared" si="12"/>
        <v>0.75</v>
      </c>
      <c r="Y34" s="156">
        <f t="shared" si="12"/>
        <v>0.75</v>
      </c>
      <c r="Z34" s="156">
        <f t="shared" si="12"/>
        <v>0.75</v>
      </c>
      <c r="AA34" s="25"/>
      <c r="AB34" s="26">
        <f>SUM(AB29:AB32)/4</f>
        <v>0.87</v>
      </c>
      <c r="AC34" s="2"/>
    </row>
    <row r="35">
      <c r="A35" s="157" t="s">
        <v>74</v>
      </c>
      <c r="B35" s="158"/>
      <c r="C35" s="159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30">
        <f t="shared" ref="AA35:AA37" si="13">SUM(B35:Z35)</f>
        <v>0</v>
      </c>
      <c r="AB35" s="31"/>
      <c r="AC35" s="2"/>
    </row>
    <row r="36">
      <c r="A36" s="160" t="s">
        <v>45</v>
      </c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58"/>
      <c r="W36" s="158"/>
      <c r="X36" s="158"/>
      <c r="Y36" s="158"/>
      <c r="Z36" s="158"/>
      <c r="AA36" s="30">
        <f t="shared" si="13"/>
        <v>0</v>
      </c>
      <c r="AB36" s="31"/>
      <c r="AC36" s="9"/>
    </row>
    <row r="37">
      <c r="A37" s="160" t="s">
        <v>46</v>
      </c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58"/>
      <c r="W37" s="158"/>
      <c r="X37" s="158"/>
      <c r="Y37" s="158"/>
      <c r="Z37" s="158"/>
      <c r="AA37" s="30">
        <f t="shared" si="13"/>
        <v>0</v>
      </c>
      <c r="AB37" s="31"/>
      <c r="AC37" s="9"/>
    </row>
    <row r="38">
      <c r="A38" s="163" t="s">
        <v>47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7"/>
      <c r="AA38" s="38"/>
      <c r="AB38" s="39"/>
      <c r="AC38" s="2"/>
    </row>
    <row r="39">
      <c r="A39" s="164" t="s">
        <v>48</v>
      </c>
      <c r="B39" s="165"/>
      <c r="C39" s="166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7"/>
      <c r="W39" s="167"/>
      <c r="X39" s="167"/>
      <c r="Y39" s="167"/>
      <c r="Z39" s="167"/>
      <c r="AA39" s="44">
        <f t="shared" ref="AA39:AA40" si="14">SUM(B39:Z39)</f>
        <v>0</v>
      </c>
      <c r="AB39" s="31"/>
      <c r="AC39" s="2"/>
    </row>
    <row r="40">
      <c r="A40" s="164" t="s">
        <v>49</v>
      </c>
      <c r="B40" s="165"/>
      <c r="C40" s="166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7"/>
      <c r="W40" s="167"/>
      <c r="X40" s="167"/>
      <c r="Y40" s="167"/>
      <c r="Z40" s="167"/>
      <c r="AA40" s="44">
        <f t="shared" si="14"/>
        <v>0</v>
      </c>
      <c r="AB40" s="31"/>
      <c r="AC40" s="2"/>
    </row>
    <row r="41">
      <c r="A41" s="164" t="s">
        <v>50</v>
      </c>
      <c r="B41" s="166"/>
      <c r="C41" s="166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7"/>
      <c r="W41" s="167"/>
      <c r="X41" s="167"/>
      <c r="Y41" s="167"/>
      <c r="Z41" s="167"/>
      <c r="AA41" s="44" t="str">
        <f>AVERAGE(B41:Z41)</f>
        <v>#DIV/0!</v>
      </c>
      <c r="AB41" s="31"/>
      <c r="AC41" s="2"/>
    </row>
    <row r="42">
      <c r="A42" s="168" t="s">
        <v>51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7"/>
      <c r="AA42" s="46"/>
      <c r="AB42" s="39"/>
      <c r="AC42" s="2"/>
    </row>
    <row r="43">
      <c r="A43" s="169" t="s">
        <v>48</v>
      </c>
      <c r="B43" s="170"/>
      <c r="C43" s="154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1"/>
      <c r="W43" s="171"/>
      <c r="X43" s="171"/>
      <c r="Y43" s="171"/>
      <c r="Z43" s="171"/>
      <c r="AA43" s="51">
        <f t="shared" ref="AA43:AA44" si="15">SUM(B43:Z43)</f>
        <v>0</v>
      </c>
      <c r="AB43" s="31"/>
      <c r="AC43" s="2"/>
    </row>
    <row r="44">
      <c r="A44" s="169" t="s">
        <v>49</v>
      </c>
      <c r="B44" s="170"/>
      <c r="C44" s="154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1"/>
      <c r="W44" s="171"/>
      <c r="X44" s="171"/>
      <c r="Y44" s="171"/>
      <c r="Z44" s="171"/>
      <c r="AA44" s="51">
        <f t="shared" si="15"/>
        <v>0</v>
      </c>
      <c r="AB44" s="31"/>
      <c r="AC44" s="2"/>
    </row>
    <row r="45">
      <c r="A45" s="169" t="s">
        <v>50</v>
      </c>
      <c r="B45" s="154"/>
      <c r="C45" s="154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1"/>
      <c r="W45" s="171"/>
      <c r="X45" s="171"/>
      <c r="Y45" s="171"/>
      <c r="Z45" s="171"/>
      <c r="AA45" s="51" t="str">
        <f>AVERAGE(B45:Z45)</f>
        <v>#DIV/0!</v>
      </c>
      <c r="AB45" s="31"/>
      <c r="AC45" s="2"/>
    </row>
    <row r="46">
      <c r="A46" s="163" t="s">
        <v>53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7"/>
      <c r="AA46" s="38"/>
      <c r="AB46" s="39"/>
      <c r="AC46" s="2"/>
    </row>
    <row r="47">
      <c r="A47" s="164" t="s">
        <v>48</v>
      </c>
      <c r="B47" s="165"/>
      <c r="C47" s="166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7"/>
      <c r="W47" s="167"/>
      <c r="X47" s="167"/>
      <c r="Y47" s="167"/>
      <c r="Z47" s="167"/>
      <c r="AA47" s="44">
        <f t="shared" ref="AA47:AA48" si="16">SUM(B47:Z47)</f>
        <v>0</v>
      </c>
      <c r="AB47" s="31"/>
      <c r="AC47" s="2"/>
    </row>
    <row r="48">
      <c r="A48" s="164" t="s">
        <v>49</v>
      </c>
      <c r="B48" s="165"/>
      <c r="C48" s="166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7"/>
      <c r="W48" s="167"/>
      <c r="X48" s="167"/>
      <c r="Y48" s="167"/>
      <c r="Z48" s="167"/>
      <c r="AA48" s="44">
        <f t="shared" si="16"/>
        <v>0</v>
      </c>
      <c r="AB48" s="31"/>
      <c r="AC48" s="2"/>
    </row>
    <row r="49">
      <c r="A49" s="172" t="s">
        <v>50</v>
      </c>
      <c r="B49" s="173"/>
      <c r="C49" s="173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5"/>
      <c r="W49" s="175"/>
      <c r="X49" s="175"/>
      <c r="Y49" s="175"/>
      <c r="Z49" s="175"/>
      <c r="AA49" s="57" t="str">
        <f>AVERAGE(B49:Z49)</f>
        <v>#DIV/0!</v>
      </c>
      <c r="AB49" s="58"/>
      <c r="AC49" s="2"/>
    </row>
    <row r="50">
      <c r="A50" s="176"/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59"/>
      <c r="AB50" s="59"/>
      <c r="AC50" s="2"/>
    </row>
    <row r="51">
      <c r="A51" s="151">
        <v>45936.0</v>
      </c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" t="s">
        <v>37</v>
      </c>
      <c r="AB51" s="16" t="s">
        <v>38</v>
      </c>
      <c r="AC51" s="2"/>
    </row>
    <row r="52">
      <c r="A52" s="153" t="s">
        <v>39</v>
      </c>
      <c r="B52" s="154">
        <v>1.0</v>
      </c>
      <c r="C52" s="154">
        <v>1.0</v>
      </c>
      <c r="D52" s="154">
        <v>1.0</v>
      </c>
      <c r="E52" s="154">
        <v>1.0</v>
      </c>
      <c r="F52" s="154">
        <v>0.0</v>
      </c>
      <c r="G52" s="154">
        <v>0.0</v>
      </c>
      <c r="H52" s="154">
        <v>0.0</v>
      </c>
      <c r="I52" s="154">
        <v>0.0</v>
      </c>
      <c r="J52" s="154">
        <v>0.0</v>
      </c>
      <c r="K52" s="154">
        <v>0.0</v>
      </c>
      <c r="L52" s="154">
        <v>0.0</v>
      </c>
      <c r="M52" s="154">
        <v>0.0</v>
      </c>
      <c r="N52" s="154">
        <v>0.0</v>
      </c>
      <c r="O52" s="154">
        <v>1.0</v>
      </c>
      <c r="P52" s="154">
        <v>1.0</v>
      </c>
      <c r="Q52" s="154">
        <v>1.0</v>
      </c>
      <c r="R52" s="154">
        <v>0.0</v>
      </c>
      <c r="S52" s="154">
        <v>0.0</v>
      </c>
      <c r="T52" s="154">
        <v>0.0</v>
      </c>
      <c r="U52" s="154">
        <v>0.0</v>
      </c>
      <c r="V52" s="154">
        <v>0.0</v>
      </c>
      <c r="W52" s="154">
        <v>1.0</v>
      </c>
      <c r="X52" s="154">
        <v>1.0</v>
      </c>
      <c r="Y52" s="154">
        <v>1.0</v>
      </c>
      <c r="Z52" s="154">
        <v>1.0</v>
      </c>
      <c r="AA52" s="20">
        <f t="shared" ref="AA52:AA56" si="17">SUM(B52:Z52)</f>
        <v>11</v>
      </c>
      <c r="AB52" s="21">
        <f t="shared" ref="AB52:AB55" si="18">AA52/(COUNT(B52:Z52)*1)</f>
        <v>0.44</v>
      </c>
      <c r="AC52" s="2"/>
    </row>
    <row r="53">
      <c r="A53" s="153" t="s">
        <v>40</v>
      </c>
      <c r="B53" s="154">
        <v>1.0</v>
      </c>
      <c r="C53" s="154">
        <v>1.0</v>
      </c>
      <c r="D53" s="154">
        <v>1.0</v>
      </c>
      <c r="E53" s="154">
        <v>1.0</v>
      </c>
      <c r="F53" s="154">
        <v>1.0</v>
      </c>
      <c r="G53" s="154">
        <v>1.0</v>
      </c>
      <c r="H53" s="154">
        <v>1.0</v>
      </c>
      <c r="I53" s="154">
        <v>1.0</v>
      </c>
      <c r="J53" s="154">
        <v>1.0</v>
      </c>
      <c r="K53" s="154">
        <v>1.0</v>
      </c>
      <c r="L53" s="154">
        <v>1.0</v>
      </c>
      <c r="M53" s="154">
        <v>1.0</v>
      </c>
      <c r="N53" s="154">
        <v>1.0</v>
      </c>
      <c r="O53" s="154">
        <v>1.0</v>
      </c>
      <c r="P53" s="154">
        <v>1.0</v>
      </c>
      <c r="Q53" s="154">
        <v>1.0</v>
      </c>
      <c r="R53" s="154">
        <v>1.0</v>
      </c>
      <c r="S53" s="154">
        <v>1.0</v>
      </c>
      <c r="T53" s="154">
        <v>1.0</v>
      </c>
      <c r="U53" s="154">
        <v>1.0</v>
      </c>
      <c r="V53" s="154">
        <v>1.0</v>
      </c>
      <c r="W53" s="154">
        <v>1.0</v>
      </c>
      <c r="X53" s="154">
        <v>1.0</v>
      </c>
      <c r="Y53" s="154">
        <v>1.0</v>
      </c>
      <c r="Z53" s="154">
        <v>1.0</v>
      </c>
      <c r="AA53" s="20">
        <f t="shared" si="17"/>
        <v>25</v>
      </c>
      <c r="AB53" s="21">
        <f t="shared" si="18"/>
        <v>1</v>
      </c>
      <c r="AC53" s="2"/>
    </row>
    <row r="54">
      <c r="A54" s="153" t="s">
        <v>41</v>
      </c>
      <c r="B54" s="154">
        <v>1.0</v>
      </c>
      <c r="C54" s="154">
        <v>1.0</v>
      </c>
      <c r="D54" s="154">
        <v>1.0</v>
      </c>
      <c r="E54" s="154">
        <v>1.0</v>
      </c>
      <c r="F54" s="154">
        <v>1.0</v>
      </c>
      <c r="G54" s="154">
        <v>1.0</v>
      </c>
      <c r="H54" s="154">
        <v>1.0</v>
      </c>
      <c r="I54" s="154">
        <v>1.0</v>
      </c>
      <c r="J54" s="154">
        <v>1.0</v>
      </c>
      <c r="K54" s="154">
        <v>0.0</v>
      </c>
      <c r="L54" s="154">
        <v>0.0</v>
      </c>
      <c r="M54" s="154">
        <v>0.0</v>
      </c>
      <c r="N54" s="154">
        <v>0.0</v>
      </c>
      <c r="O54" s="154">
        <v>1.0</v>
      </c>
      <c r="P54" s="154">
        <v>0.0</v>
      </c>
      <c r="Q54" s="154">
        <v>1.0</v>
      </c>
      <c r="R54" s="154">
        <v>1.0</v>
      </c>
      <c r="S54" s="154">
        <v>1.0</v>
      </c>
      <c r="T54" s="154">
        <v>1.0</v>
      </c>
      <c r="U54" s="154">
        <v>1.0</v>
      </c>
      <c r="V54" s="154">
        <v>1.0</v>
      </c>
      <c r="W54" s="154">
        <v>1.0</v>
      </c>
      <c r="X54" s="154">
        <v>1.0</v>
      </c>
      <c r="Y54" s="154">
        <v>1.0</v>
      </c>
      <c r="Z54" s="154">
        <v>1.0</v>
      </c>
      <c r="AA54" s="20">
        <f t="shared" si="17"/>
        <v>20</v>
      </c>
      <c r="AB54" s="21">
        <f t="shared" si="18"/>
        <v>0.8</v>
      </c>
      <c r="AC54" s="2"/>
    </row>
    <row r="55">
      <c r="A55" s="153" t="s">
        <v>42</v>
      </c>
      <c r="B55" s="154">
        <v>1.0</v>
      </c>
      <c r="C55" s="154">
        <v>1.0</v>
      </c>
      <c r="D55" s="154">
        <v>1.0</v>
      </c>
      <c r="E55" s="154">
        <v>0.0</v>
      </c>
      <c r="F55" s="154">
        <v>0.0</v>
      </c>
      <c r="G55" s="154">
        <v>0.0</v>
      </c>
      <c r="H55" s="154">
        <v>0.0</v>
      </c>
      <c r="I55" s="154">
        <v>0.0</v>
      </c>
      <c r="J55" s="154">
        <v>0.0</v>
      </c>
      <c r="K55" s="154">
        <v>0.0</v>
      </c>
      <c r="L55" s="154">
        <v>0.0</v>
      </c>
      <c r="M55" s="154">
        <v>0.0</v>
      </c>
      <c r="N55" s="154">
        <v>0.0</v>
      </c>
      <c r="O55" s="154">
        <v>1.0</v>
      </c>
      <c r="P55" s="154">
        <v>1.0</v>
      </c>
      <c r="Q55" s="154">
        <v>1.0</v>
      </c>
      <c r="R55" s="154">
        <v>1.0</v>
      </c>
      <c r="S55" s="154">
        <v>1.0</v>
      </c>
      <c r="T55" s="154">
        <v>1.0</v>
      </c>
      <c r="U55" s="154">
        <v>1.0</v>
      </c>
      <c r="V55" s="154">
        <v>1.0</v>
      </c>
      <c r="W55" s="154">
        <v>1.0</v>
      </c>
      <c r="X55" s="154">
        <v>1.0</v>
      </c>
      <c r="Y55" s="154">
        <v>1.0</v>
      </c>
      <c r="Z55" s="154">
        <v>1.0</v>
      </c>
      <c r="AA55" s="20">
        <f t="shared" si="17"/>
        <v>15</v>
      </c>
      <c r="AB55" s="21">
        <f t="shared" si="18"/>
        <v>0.6</v>
      </c>
      <c r="AC55" s="2"/>
    </row>
    <row r="56">
      <c r="A56" s="153" t="s">
        <v>43</v>
      </c>
      <c r="B56" s="155">
        <f t="shared" ref="B56:Z56" si="19">SUM(B52:B55)</f>
        <v>4</v>
      </c>
      <c r="C56" s="155">
        <f t="shared" si="19"/>
        <v>4</v>
      </c>
      <c r="D56" s="155">
        <f t="shared" si="19"/>
        <v>4</v>
      </c>
      <c r="E56" s="155">
        <f t="shared" si="19"/>
        <v>3</v>
      </c>
      <c r="F56" s="155">
        <f t="shared" si="19"/>
        <v>2</v>
      </c>
      <c r="G56" s="155">
        <f t="shared" si="19"/>
        <v>2</v>
      </c>
      <c r="H56" s="155">
        <f t="shared" si="19"/>
        <v>2</v>
      </c>
      <c r="I56" s="155">
        <f t="shared" si="19"/>
        <v>2</v>
      </c>
      <c r="J56" s="155">
        <f t="shared" si="19"/>
        <v>2</v>
      </c>
      <c r="K56" s="155">
        <f t="shared" si="19"/>
        <v>1</v>
      </c>
      <c r="L56" s="155">
        <f t="shared" si="19"/>
        <v>1</v>
      </c>
      <c r="M56" s="155">
        <f t="shared" si="19"/>
        <v>1</v>
      </c>
      <c r="N56" s="155">
        <f t="shared" si="19"/>
        <v>1</v>
      </c>
      <c r="O56" s="155">
        <f t="shared" si="19"/>
        <v>4</v>
      </c>
      <c r="P56" s="155">
        <f t="shared" si="19"/>
        <v>3</v>
      </c>
      <c r="Q56" s="155">
        <f t="shared" si="19"/>
        <v>4</v>
      </c>
      <c r="R56" s="155">
        <f t="shared" si="19"/>
        <v>3</v>
      </c>
      <c r="S56" s="155">
        <f t="shared" si="19"/>
        <v>3</v>
      </c>
      <c r="T56" s="155">
        <f t="shared" si="19"/>
        <v>3</v>
      </c>
      <c r="U56" s="155">
        <f t="shared" si="19"/>
        <v>3</v>
      </c>
      <c r="V56" s="155">
        <f t="shared" si="19"/>
        <v>3</v>
      </c>
      <c r="W56" s="155">
        <f t="shared" si="19"/>
        <v>4</v>
      </c>
      <c r="X56" s="155">
        <f t="shared" si="19"/>
        <v>4</v>
      </c>
      <c r="Y56" s="155">
        <f t="shared" si="19"/>
        <v>4</v>
      </c>
      <c r="Z56" s="155">
        <f t="shared" si="19"/>
        <v>4</v>
      </c>
      <c r="AA56" s="20">
        <f t="shared" si="17"/>
        <v>71</v>
      </c>
      <c r="AB56" s="23"/>
      <c r="AC56" s="2"/>
    </row>
    <row r="57">
      <c r="A57" s="153" t="s">
        <v>38</v>
      </c>
      <c r="B57" s="156">
        <f t="shared" ref="B57:Z57" si="20">B56/(COUNT(B52:B55)*1)</f>
        <v>1</v>
      </c>
      <c r="C57" s="156">
        <f t="shared" si="20"/>
        <v>1</v>
      </c>
      <c r="D57" s="156">
        <f t="shared" si="20"/>
        <v>1</v>
      </c>
      <c r="E57" s="156">
        <f t="shared" si="20"/>
        <v>0.75</v>
      </c>
      <c r="F57" s="156">
        <f t="shared" si="20"/>
        <v>0.5</v>
      </c>
      <c r="G57" s="156">
        <f t="shared" si="20"/>
        <v>0.5</v>
      </c>
      <c r="H57" s="156">
        <f t="shared" si="20"/>
        <v>0.5</v>
      </c>
      <c r="I57" s="156">
        <f t="shared" si="20"/>
        <v>0.5</v>
      </c>
      <c r="J57" s="156">
        <f t="shared" si="20"/>
        <v>0.5</v>
      </c>
      <c r="K57" s="156">
        <f t="shared" si="20"/>
        <v>0.25</v>
      </c>
      <c r="L57" s="156">
        <f t="shared" si="20"/>
        <v>0.25</v>
      </c>
      <c r="M57" s="156">
        <f t="shared" si="20"/>
        <v>0.25</v>
      </c>
      <c r="N57" s="156">
        <f t="shared" si="20"/>
        <v>0.25</v>
      </c>
      <c r="O57" s="156">
        <f t="shared" si="20"/>
        <v>1</v>
      </c>
      <c r="P57" s="156">
        <f t="shared" si="20"/>
        <v>0.75</v>
      </c>
      <c r="Q57" s="156">
        <f t="shared" si="20"/>
        <v>1</v>
      </c>
      <c r="R57" s="156">
        <f t="shared" si="20"/>
        <v>0.75</v>
      </c>
      <c r="S57" s="156">
        <f t="shared" si="20"/>
        <v>0.75</v>
      </c>
      <c r="T57" s="156">
        <f t="shared" si="20"/>
        <v>0.75</v>
      </c>
      <c r="U57" s="156">
        <f t="shared" si="20"/>
        <v>0.75</v>
      </c>
      <c r="V57" s="156">
        <f t="shared" si="20"/>
        <v>0.75</v>
      </c>
      <c r="W57" s="156">
        <f t="shared" si="20"/>
        <v>1</v>
      </c>
      <c r="X57" s="156">
        <f t="shared" si="20"/>
        <v>1</v>
      </c>
      <c r="Y57" s="156">
        <f t="shared" si="20"/>
        <v>1</v>
      </c>
      <c r="Z57" s="156">
        <f t="shared" si="20"/>
        <v>1</v>
      </c>
      <c r="AA57" s="25"/>
      <c r="AB57" s="26">
        <f>SUM(AB52:AB55)/4</f>
        <v>0.71</v>
      </c>
      <c r="AC57" s="2"/>
    </row>
    <row r="58">
      <c r="A58" s="157" t="s">
        <v>74</v>
      </c>
      <c r="B58" s="158"/>
      <c r="C58" s="159"/>
      <c r="D58" s="158"/>
      <c r="E58" s="159">
        <v>20.0</v>
      </c>
      <c r="F58" s="159">
        <v>20.0</v>
      </c>
      <c r="G58" s="159">
        <v>20.0</v>
      </c>
      <c r="H58" s="159">
        <v>20.0</v>
      </c>
      <c r="I58" s="159">
        <v>20.0</v>
      </c>
      <c r="J58" s="159">
        <v>20.0</v>
      </c>
      <c r="K58" s="159">
        <v>20.0</v>
      </c>
      <c r="L58" s="159">
        <v>15.0</v>
      </c>
      <c r="M58" s="159">
        <v>15.0</v>
      </c>
      <c r="N58" s="158"/>
      <c r="O58" s="158"/>
      <c r="P58" s="158"/>
      <c r="Q58" s="158"/>
      <c r="R58" s="159">
        <v>20.0</v>
      </c>
      <c r="S58" s="159">
        <v>20.0</v>
      </c>
      <c r="T58" s="159">
        <v>20.0</v>
      </c>
      <c r="U58" s="159">
        <v>20.0</v>
      </c>
      <c r="V58" s="159">
        <v>20.0</v>
      </c>
      <c r="W58" s="158"/>
      <c r="X58" s="158"/>
      <c r="Y58" s="158"/>
      <c r="Z58" s="158"/>
      <c r="AA58" s="30">
        <f t="shared" ref="AA58:AA60" si="21">SUM(B58:Z58)</f>
        <v>270</v>
      </c>
      <c r="AB58" s="31"/>
      <c r="AC58" s="2"/>
    </row>
    <row r="59">
      <c r="A59" s="160" t="s">
        <v>45</v>
      </c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58"/>
      <c r="W59" s="158"/>
      <c r="X59" s="158"/>
      <c r="Y59" s="158"/>
      <c r="Z59" s="158"/>
      <c r="AA59" s="30">
        <f t="shared" si="21"/>
        <v>0</v>
      </c>
      <c r="AB59" s="31"/>
      <c r="AC59" s="9"/>
    </row>
    <row r="60">
      <c r="A60" s="160" t="s">
        <v>46</v>
      </c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58"/>
      <c r="W60" s="158"/>
      <c r="X60" s="158"/>
      <c r="Y60" s="158"/>
      <c r="Z60" s="158"/>
      <c r="AA60" s="30">
        <f t="shared" si="21"/>
        <v>0</v>
      </c>
      <c r="AB60" s="31"/>
      <c r="AC60" s="9"/>
    </row>
    <row r="61">
      <c r="A61" s="163" t="s">
        <v>47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7"/>
      <c r="AA61" s="38"/>
      <c r="AB61" s="39"/>
      <c r="AC61" s="2"/>
    </row>
    <row r="62">
      <c r="A62" s="164" t="s">
        <v>48</v>
      </c>
      <c r="B62" s="165"/>
      <c r="C62" s="166"/>
      <c r="D62" s="165"/>
      <c r="E62" s="166">
        <v>1.0</v>
      </c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6">
        <v>1.0</v>
      </c>
      <c r="S62" s="165"/>
      <c r="T62" s="165"/>
      <c r="U62" s="165"/>
      <c r="V62" s="167"/>
      <c r="W62" s="167"/>
      <c r="X62" s="167"/>
      <c r="Y62" s="167"/>
      <c r="Z62" s="167"/>
      <c r="AA62" s="44">
        <f t="shared" ref="AA62:AA63" si="22">SUM(B62:Z62)</f>
        <v>2</v>
      </c>
      <c r="AB62" s="31"/>
      <c r="AC62" s="2"/>
    </row>
    <row r="63">
      <c r="A63" s="164" t="s">
        <v>49</v>
      </c>
      <c r="B63" s="165"/>
      <c r="C63" s="166"/>
      <c r="D63" s="165"/>
      <c r="E63" s="166">
        <v>20.0</v>
      </c>
      <c r="F63" s="166">
        <v>20.0</v>
      </c>
      <c r="G63" s="166">
        <v>20.0</v>
      </c>
      <c r="H63" s="166">
        <v>20.0</v>
      </c>
      <c r="I63" s="166">
        <v>20.0</v>
      </c>
      <c r="J63" s="166">
        <v>20.0</v>
      </c>
      <c r="K63" s="166">
        <v>20.0</v>
      </c>
      <c r="L63" s="166">
        <v>15.0</v>
      </c>
      <c r="M63" s="166">
        <v>15.0</v>
      </c>
      <c r="N63" s="165"/>
      <c r="O63" s="165"/>
      <c r="P63" s="165"/>
      <c r="Q63" s="165"/>
      <c r="R63" s="166">
        <v>20.0</v>
      </c>
      <c r="S63" s="166">
        <v>20.0</v>
      </c>
      <c r="T63" s="166">
        <v>20.0</v>
      </c>
      <c r="U63" s="166">
        <v>20.0</v>
      </c>
      <c r="V63" s="178">
        <v>20.0</v>
      </c>
      <c r="W63" s="167"/>
      <c r="X63" s="167"/>
      <c r="Y63" s="167"/>
      <c r="Z63" s="167"/>
      <c r="AA63" s="44">
        <f t="shared" si="22"/>
        <v>270</v>
      </c>
      <c r="AB63" s="31"/>
      <c r="AC63" s="2"/>
    </row>
    <row r="64">
      <c r="A64" s="164" t="s">
        <v>50</v>
      </c>
      <c r="B64" s="166"/>
      <c r="C64" s="166"/>
      <c r="D64" s="165"/>
      <c r="E64" s="166">
        <v>1.0</v>
      </c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6">
        <v>1.0</v>
      </c>
      <c r="S64" s="165"/>
      <c r="T64" s="165"/>
      <c r="U64" s="165"/>
      <c r="V64" s="167"/>
      <c r="W64" s="167"/>
      <c r="X64" s="167"/>
      <c r="Y64" s="167"/>
      <c r="Z64" s="167"/>
      <c r="AA64" s="44">
        <f>AVERAGE(B64:Z64)</f>
        <v>1</v>
      </c>
      <c r="AB64" s="31"/>
      <c r="AC64" s="2"/>
    </row>
    <row r="65">
      <c r="A65" s="168" t="s">
        <v>51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7"/>
      <c r="AA65" s="46"/>
      <c r="AB65" s="39"/>
      <c r="AC65" s="2"/>
    </row>
    <row r="66">
      <c r="A66" s="169" t="s">
        <v>48</v>
      </c>
      <c r="B66" s="170"/>
      <c r="C66" s="154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1"/>
      <c r="W66" s="171"/>
      <c r="X66" s="171"/>
      <c r="Y66" s="171"/>
      <c r="Z66" s="171"/>
      <c r="AA66" s="51">
        <f t="shared" ref="AA66:AA67" si="23">SUM(B66:Z66)</f>
        <v>0</v>
      </c>
      <c r="AB66" s="31"/>
      <c r="AC66" s="2"/>
    </row>
    <row r="67">
      <c r="A67" s="169" t="s">
        <v>49</v>
      </c>
      <c r="B67" s="170"/>
      <c r="C67" s="154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1"/>
      <c r="W67" s="171"/>
      <c r="X67" s="171"/>
      <c r="Y67" s="171"/>
      <c r="Z67" s="171"/>
      <c r="AA67" s="51">
        <f t="shared" si="23"/>
        <v>0</v>
      </c>
      <c r="AB67" s="31"/>
      <c r="AC67" s="2"/>
    </row>
    <row r="68">
      <c r="A68" s="169" t="s">
        <v>50</v>
      </c>
      <c r="B68" s="154"/>
      <c r="C68" s="154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1"/>
      <c r="W68" s="171"/>
      <c r="X68" s="171"/>
      <c r="Y68" s="171"/>
      <c r="Z68" s="171"/>
      <c r="AA68" s="51" t="str">
        <f>AVERAGE(B68:Z68)</f>
        <v>#DIV/0!</v>
      </c>
      <c r="AB68" s="31"/>
      <c r="AC68" s="2"/>
    </row>
    <row r="69">
      <c r="A69" s="163" t="s">
        <v>53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7"/>
      <c r="AA69" s="38"/>
      <c r="AB69" s="39"/>
      <c r="AC69" s="2"/>
    </row>
    <row r="70">
      <c r="A70" s="164" t="s">
        <v>48</v>
      </c>
      <c r="B70" s="165"/>
      <c r="C70" s="166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7"/>
      <c r="W70" s="167"/>
      <c r="X70" s="167"/>
      <c r="Y70" s="167"/>
      <c r="Z70" s="167"/>
      <c r="AA70" s="44">
        <f t="shared" ref="AA70:AA71" si="24">SUM(B70:Z70)</f>
        <v>0</v>
      </c>
      <c r="AB70" s="31"/>
      <c r="AC70" s="2"/>
    </row>
    <row r="71">
      <c r="A71" s="164" t="s">
        <v>49</v>
      </c>
      <c r="B71" s="165"/>
      <c r="C71" s="166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7"/>
      <c r="W71" s="167"/>
      <c r="X71" s="167"/>
      <c r="Y71" s="167"/>
      <c r="Z71" s="167"/>
      <c r="AA71" s="44">
        <f t="shared" si="24"/>
        <v>0</v>
      </c>
      <c r="AB71" s="31"/>
      <c r="AC71" s="2"/>
    </row>
    <row r="72">
      <c r="A72" s="172" t="s">
        <v>50</v>
      </c>
      <c r="B72" s="173"/>
      <c r="C72" s="173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5"/>
      <c r="W72" s="175"/>
      <c r="X72" s="175"/>
      <c r="Y72" s="175"/>
      <c r="Z72" s="175"/>
      <c r="AA72" s="57" t="str">
        <f>AVERAGE(B72:Z72)</f>
        <v>#DIV/0!</v>
      </c>
      <c r="AB72" s="58"/>
      <c r="AC72" s="2"/>
    </row>
    <row r="73">
      <c r="A73" s="176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59"/>
      <c r="AB73" s="59"/>
      <c r="AC73" s="2"/>
    </row>
    <row r="74">
      <c r="A74" s="151">
        <v>45937.0</v>
      </c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" t="s">
        <v>37</v>
      </c>
      <c r="AB74" s="16" t="s">
        <v>38</v>
      </c>
      <c r="AC74" s="2"/>
    </row>
    <row r="75">
      <c r="A75" s="153" t="s">
        <v>39</v>
      </c>
      <c r="B75" s="154">
        <v>1.0</v>
      </c>
      <c r="C75" s="154">
        <v>1.0</v>
      </c>
      <c r="D75" s="154">
        <v>1.0</v>
      </c>
      <c r="E75" s="154">
        <v>0.0</v>
      </c>
      <c r="F75" s="154">
        <v>0.0</v>
      </c>
      <c r="G75" s="154">
        <v>0.0</v>
      </c>
      <c r="H75" s="154">
        <v>0.0</v>
      </c>
      <c r="I75" s="154">
        <v>0.0</v>
      </c>
      <c r="J75" s="154">
        <v>0.0</v>
      </c>
      <c r="K75" s="154">
        <v>0.0</v>
      </c>
      <c r="L75" s="154">
        <v>0.0</v>
      </c>
      <c r="M75" s="154">
        <v>0.0</v>
      </c>
      <c r="N75" s="154">
        <v>1.0</v>
      </c>
      <c r="O75" s="154">
        <v>1.0</v>
      </c>
      <c r="P75" s="154">
        <v>1.0</v>
      </c>
      <c r="Q75" s="154">
        <v>0.0</v>
      </c>
      <c r="R75" s="154">
        <v>0.0</v>
      </c>
      <c r="S75" s="154">
        <v>0.0</v>
      </c>
      <c r="T75" s="154">
        <v>0.0</v>
      </c>
      <c r="U75" s="154">
        <v>0.0</v>
      </c>
      <c r="V75" s="154">
        <v>0.0</v>
      </c>
      <c r="W75" s="154">
        <v>0.0</v>
      </c>
      <c r="X75" s="154">
        <v>0.0</v>
      </c>
      <c r="Y75" s="154">
        <v>0.0</v>
      </c>
      <c r="Z75" s="154">
        <v>0.0</v>
      </c>
      <c r="AA75" s="20">
        <f t="shared" ref="AA75:AA79" si="25">SUM(B75:Z75)</f>
        <v>6</v>
      </c>
      <c r="AB75" s="21">
        <f t="shared" ref="AB75:AB78" si="26">AA75/(COUNT(B75:Z75)*1)</f>
        <v>0.24</v>
      </c>
      <c r="AC75" s="2"/>
    </row>
    <row r="76">
      <c r="A76" s="153" t="s">
        <v>40</v>
      </c>
      <c r="B76" s="154">
        <v>1.0</v>
      </c>
      <c r="C76" s="154">
        <v>1.0</v>
      </c>
      <c r="D76" s="154">
        <v>1.0</v>
      </c>
      <c r="E76" s="154">
        <v>1.0</v>
      </c>
      <c r="F76" s="154">
        <v>1.0</v>
      </c>
      <c r="G76" s="154">
        <v>1.0</v>
      </c>
      <c r="H76" s="154">
        <v>1.0</v>
      </c>
      <c r="I76" s="154">
        <v>1.0</v>
      </c>
      <c r="J76" s="154">
        <v>1.0</v>
      </c>
      <c r="K76" s="154">
        <v>1.0</v>
      </c>
      <c r="L76" s="154">
        <v>1.0</v>
      </c>
      <c r="M76" s="154">
        <v>1.0</v>
      </c>
      <c r="N76" s="154">
        <v>1.0</v>
      </c>
      <c r="O76" s="154">
        <v>1.0</v>
      </c>
      <c r="P76" s="154">
        <v>1.0</v>
      </c>
      <c r="Q76" s="154">
        <v>1.0</v>
      </c>
      <c r="R76" s="154">
        <v>1.0</v>
      </c>
      <c r="S76" s="154">
        <v>1.0</v>
      </c>
      <c r="T76" s="154">
        <v>1.0</v>
      </c>
      <c r="U76" s="154">
        <v>1.0</v>
      </c>
      <c r="V76" s="154">
        <v>1.0</v>
      </c>
      <c r="W76" s="154">
        <v>1.0</v>
      </c>
      <c r="X76" s="154">
        <v>1.0</v>
      </c>
      <c r="Y76" s="154">
        <v>1.0</v>
      </c>
      <c r="Z76" s="154">
        <v>1.0</v>
      </c>
      <c r="AA76" s="20">
        <f t="shared" si="25"/>
        <v>25</v>
      </c>
      <c r="AB76" s="21">
        <f t="shared" si="26"/>
        <v>1</v>
      </c>
      <c r="AC76" s="2"/>
    </row>
    <row r="77">
      <c r="A77" s="153" t="s">
        <v>41</v>
      </c>
      <c r="B77" s="154">
        <v>1.0</v>
      </c>
      <c r="C77" s="154">
        <v>1.0</v>
      </c>
      <c r="D77" s="154">
        <v>1.0</v>
      </c>
      <c r="E77" s="154">
        <v>0.0</v>
      </c>
      <c r="F77" s="154">
        <v>0.0</v>
      </c>
      <c r="G77" s="154">
        <v>0.0</v>
      </c>
      <c r="H77" s="154">
        <v>0.0</v>
      </c>
      <c r="I77" s="154">
        <v>0.0</v>
      </c>
      <c r="J77" s="154">
        <v>0.0</v>
      </c>
      <c r="K77" s="154">
        <v>0.0</v>
      </c>
      <c r="L77" s="154">
        <v>0.0</v>
      </c>
      <c r="M77" s="154">
        <v>0.0</v>
      </c>
      <c r="N77" s="154">
        <v>0.0</v>
      </c>
      <c r="O77" s="154">
        <v>1.0</v>
      </c>
      <c r="P77" s="154">
        <v>1.0</v>
      </c>
      <c r="Q77" s="154">
        <v>1.0</v>
      </c>
      <c r="R77" s="154">
        <v>1.0</v>
      </c>
      <c r="S77" s="154">
        <v>1.0</v>
      </c>
      <c r="T77" s="154">
        <v>1.0</v>
      </c>
      <c r="U77" s="154">
        <v>1.0</v>
      </c>
      <c r="V77" s="154">
        <v>1.0</v>
      </c>
      <c r="W77" s="154">
        <v>1.0</v>
      </c>
      <c r="X77" s="154">
        <v>1.0</v>
      </c>
      <c r="Y77" s="154">
        <v>1.0</v>
      </c>
      <c r="Z77" s="154">
        <v>1.0</v>
      </c>
      <c r="AA77" s="20">
        <f t="shared" si="25"/>
        <v>15</v>
      </c>
      <c r="AB77" s="21">
        <f t="shared" si="26"/>
        <v>0.6</v>
      </c>
      <c r="AC77" s="2"/>
    </row>
    <row r="78">
      <c r="A78" s="153" t="s">
        <v>42</v>
      </c>
      <c r="B78" s="154">
        <v>1.0</v>
      </c>
      <c r="C78" s="154">
        <v>1.0</v>
      </c>
      <c r="D78" s="154">
        <v>1.0</v>
      </c>
      <c r="E78" s="154">
        <v>0.0</v>
      </c>
      <c r="F78" s="154">
        <v>0.0</v>
      </c>
      <c r="G78" s="154">
        <v>0.0</v>
      </c>
      <c r="H78" s="154">
        <v>0.0</v>
      </c>
      <c r="I78" s="154">
        <v>0.0</v>
      </c>
      <c r="J78" s="154">
        <v>0.0</v>
      </c>
      <c r="K78" s="154">
        <v>0.0</v>
      </c>
      <c r="L78" s="154">
        <v>0.0</v>
      </c>
      <c r="M78" s="154">
        <v>0.0</v>
      </c>
      <c r="N78" s="154">
        <v>1.0</v>
      </c>
      <c r="O78" s="154">
        <v>1.0</v>
      </c>
      <c r="P78" s="154">
        <v>1.0</v>
      </c>
      <c r="Q78" s="154">
        <v>0.0</v>
      </c>
      <c r="R78" s="154">
        <v>0.0</v>
      </c>
      <c r="S78" s="154">
        <v>0.0</v>
      </c>
      <c r="T78" s="154">
        <v>0.0</v>
      </c>
      <c r="U78" s="154">
        <v>0.0</v>
      </c>
      <c r="V78" s="154">
        <v>0.0</v>
      </c>
      <c r="W78" s="154">
        <v>0.0</v>
      </c>
      <c r="X78" s="154">
        <v>0.0</v>
      </c>
      <c r="Y78" s="154">
        <v>0.0</v>
      </c>
      <c r="Z78" s="154">
        <v>0.0</v>
      </c>
      <c r="AA78" s="20">
        <f t="shared" si="25"/>
        <v>6</v>
      </c>
      <c r="AB78" s="21">
        <f t="shared" si="26"/>
        <v>0.24</v>
      </c>
      <c r="AC78" s="2"/>
    </row>
    <row r="79">
      <c r="A79" s="153" t="s">
        <v>43</v>
      </c>
      <c r="B79" s="155">
        <f t="shared" ref="B79:Z79" si="27">SUM(B75:B78)</f>
        <v>4</v>
      </c>
      <c r="C79" s="155">
        <f t="shared" si="27"/>
        <v>4</v>
      </c>
      <c r="D79" s="155">
        <f t="shared" si="27"/>
        <v>4</v>
      </c>
      <c r="E79" s="155">
        <f t="shared" si="27"/>
        <v>1</v>
      </c>
      <c r="F79" s="155">
        <f t="shared" si="27"/>
        <v>1</v>
      </c>
      <c r="G79" s="155">
        <f t="shared" si="27"/>
        <v>1</v>
      </c>
      <c r="H79" s="155">
        <f t="shared" si="27"/>
        <v>1</v>
      </c>
      <c r="I79" s="155">
        <f t="shared" si="27"/>
        <v>1</v>
      </c>
      <c r="J79" s="155">
        <f t="shared" si="27"/>
        <v>1</v>
      </c>
      <c r="K79" s="155">
        <f t="shared" si="27"/>
        <v>1</v>
      </c>
      <c r="L79" s="155">
        <f t="shared" si="27"/>
        <v>1</v>
      </c>
      <c r="M79" s="155">
        <f t="shared" si="27"/>
        <v>1</v>
      </c>
      <c r="N79" s="155">
        <f t="shared" si="27"/>
        <v>3</v>
      </c>
      <c r="O79" s="155">
        <f t="shared" si="27"/>
        <v>4</v>
      </c>
      <c r="P79" s="155">
        <f t="shared" si="27"/>
        <v>4</v>
      </c>
      <c r="Q79" s="155">
        <f t="shared" si="27"/>
        <v>2</v>
      </c>
      <c r="R79" s="155">
        <f t="shared" si="27"/>
        <v>2</v>
      </c>
      <c r="S79" s="155">
        <f t="shared" si="27"/>
        <v>2</v>
      </c>
      <c r="T79" s="155">
        <f t="shared" si="27"/>
        <v>2</v>
      </c>
      <c r="U79" s="155">
        <f t="shared" si="27"/>
        <v>2</v>
      </c>
      <c r="V79" s="155">
        <f t="shared" si="27"/>
        <v>2</v>
      </c>
      <c r="W79" s="155">
        <f t="shared" si="27"/>
        <v>2</v>
      </c>
      <c r="X79" s="155">
        <f t="shared" si="27"/>
        <v>2</v>
      </c>
      <c r="Y79" s="155">
        <f t="shared" si="27"/>
        <v>2</v>
      </c>
      <c r="Z79" s="155">
        <f t="shared" si="27"/>
        <v>2</v>
      </c>
      <c r="AA79" s="20">
        <f t="shared" si="25"/>
        <v>52</v>
      </c>
      <c r="AB79" s="23"/>
      <c r="AC79" s="2"/>
    </row>
    <row r="80">
      <c r="A80" s="153" t="s">
        <v>38</v>
      </c>
      <c r="B80" s="156">
        <f t="shared" ref="B80:Z80" si="28">B79/(COUNT(B75:B78)*1)</f>
        <v>1</v>
      </c>
      <c r="C80" s="156">
        <f t="shared" si="28"/>
        <v>1</v>
      </c>
      <c r="D80" s="156">
        <f t="shared" si="28"/>
        <v>1</v>
      </c>
      <c r="E80" s="156">
        <f t="shared" si="28"/>
        <v>0.25</v>
      </c>
      <c r="F80" s="156">
        <f t="shared" si="28"/>
        <v>0.25</v>
      </c>
      <c r="G80" s="156">
        <f t="shared" si="28"/>
        <v>0.25</v>
      </c>
      <c r="H80" s="156">
        <f t="shared" si="28"/>
        <v>0.25</v>
      </c>
      <c r="I80" s="156">
        <f t="shared" si="28"/>
        <v>0.25</v>
      </c>
      <c r="J80" s="156">
        <f t="shared" si="28"/>
        <v>0.25</v>
      </c>
      <c r="K80" s="156">
        <f t="shared" si="28"/>
        <v>0.25</v>
      </c>
      <c r="L80" s="156">
        <f t="shared" si="28"/>
        <v>0.25</v>
      </c>
      <c r="M80" s="156">
        <f t="shared" si="28"/>
        <v>0.25</v>
      </c>
      <c r="N80" s="156">
        <f t="shared" si="28"/>
        <v>0.75</v>
      </c>
      <c r="O80" s="156">
        <f t="shared" si="28"/>
        <v>1</v>
      </c>
      <c r="P80" s="156">
        <f t="shared" si="28"/>
        <v>1</v>
      </c>
      <c r="Q80" s="156">
        <f t="shared" si="28"/>
        <v>0.5</v>
      </c>
      <c r="R80" s="156">
        <f t="shared" si="28"/>
        <v>0.5</v>
      </c>
      <c r="S80" s="156">
        <f t="shared" si="28"/>
        <v>0.5</v>
      </c>
      <c r="T80" s="156">
        <f t="shared" si="28"/>
        <v>0.5</v>
      </c>
      <c r="U80" s="156">
        <f t="shared" si="28"/>
        <v>0.5</v>
      </c>
      <c r="V80" s="156">
        <f t="shared" si="28"/>
        <v>0.5</v>
      </c>
      <c r="W80" s="156">
        <f t="shared" si="28"/>
        <v>0.5</v>
      </c>
      <c r="X80" s="156">
        <f t="shared" si="28"/>
        <v>0.5</v>
      </c>
      <c r="Y80" s="156">
        <f t="shared" si="28"/>
        <v>0.5</v>
      </c>
      <c r="Z80" s="156">
        <f t="shared" si="28"/>
        <v>0.5</v>
      </c>
      <c r="AA80" s="25"/>
      <c r="AB80" s="26">
        <f>SUM(AB75:AB78)/4</f>
        <v>0.52</v>
      </c>
      <c r="AC80" s="2"/>
    </row>
    <row r="81">
      <c r="A81" s="157" t="s">
        <v>74</v>
      </c>
      <c r="B81" s="158"/>
      <c r="C81" s="159"/>
      <c r="D81" s="158"/>
      <c r="E81" s="159">
        <v>20.0</v>
      </c>
      <c r="F81" s="159">
        <v>20.0</v>
      </c>
      <c r="G81" s="159">
        <v>20.0</v>
      </c>
      <c r="H81" s="159">
        <v>20.0</v>
      </c>
      <c r="I81" s="159">
        <v>20.0</v>
      </c>
      <c r="J81" s="159">
        <v>20.0</v>
      </c>
      <c r="K81" s="159">
        <v>20.0</v>
      </c>
      <c r="L81" s="159">
        <v>20.0</v>
      </c>
      <c r="M81" s="159">
        <v>20.0</v>
      </c>
      <c r="N81" s="158"/>
      <c r="O81" s="158"/>
      <c r="P81" s="158"/>
      <c r="Q81" s="158"/>
      <c r="R81" s="159">
        <v>20.0</v>
      </c>
      <c r="S81" s="159">
        <v>20.0</v>
      </c>
      <c r="T81" s="159">
        <v>20.0</v>
      </c>
      <c r="U81" s="159">
        <v>20.0</v>
      </c>
      <c r="V81" s="159">
        <v>20.0</v>
      </c>
      <c r="W81" s="159">
        <v>10.0</v>
      </c>
      <c r="X81" s="159">
        <v>10.0</v>
      </c>
      <c r="Y81" s="159">
        <v>10.0</v>
      </c>
      <c r="Z81" s="159">
        <v>5.0</v>
      </c>
      <c r="AA81" s="30">
        <f t="shared" ref="AA81:AA83" si="29">SUM(B81:Z81)</f>
        <v>315</v>
      </c>
      <c r="AB81" s="31"/>
      <c r="AC81" s="2"/>
    </row>
    <row r="82">
      <c r="A82" s="160" t="s">
        <v>45</v>
      </c>
      <c r="B82" s="161"/>
      <c r="C82" s="161"/>
      <c r="D82" s="161"/>
      <c r="E82" s="162"/>
      <c r="F82" s="162"/>
      <c r="G82" s="162"/>
      <c r="H82" s="162"/>
      <c r="I82" s="162"/>
      <c r="J82" s="162"/>
      <c r="K82" s="162"/>
      <c r="L82" s="162"/>
      <c r="M82" s="162"/>
      <c r="N82" s="161"/>
      <c r="O82" s="161"/>
      <c r="P82" s="161"/>
      <c r="Q82" s="161"/>
      <c r="R82" s="162"/>
      <c r="S82" s="162"/>
      <c r="T82" s="162"/>
      <c r="U82" s="162"/>
      <c r="V82" s="159"/>
      <c r="W82" s="159"/>
      <c r="X82" s="159"/>
      <c r="Y82" s="159"/>
      <c r="Z82" s="159"/>
      <c r="AA82" s="30">
        <f t="shared" si="29"/>
        <v>0</v>
      </c>
      <c r="AB82" s="31"/>
      <c r="AC82" s="9"/>
    </row>
    <row r="83">
      <c r="A83" s="160" t="s">
        <v>46</v>
      </c>
      <c r="B83" s="161"/>
      <c r="C83" s="161"/>
      <c r="D83" s="161"/>
      <c r="E83" s="162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2"/>
      <c r="S83" s="161"/>
      <c r="T83" s="161"/>
      <c r="U83" s="161"/>
      <c r="V83" s="158"/>
      <c r="W83" s="158"/>
      <c r="X83" s="158"/>
      <c r="Y83" s="158"/>
      <c r="Z83" s="158"/>
      <c r="AA83" s="30">
        <f t="shared" si="29"/>
        <v>0</v>
      </c>
      <c r="AB83" s="31"/>
      <c r="AC83" s="9"/>
    </row>
    <row r="84">
      <c r="A84" s="163" t="s">
        <v>47</v>
      </c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7"/>
      <c r="AA84" s="38"/>
      <c r="AB84" s="39"/>
      <c r="AC84" s="2"/>
    </row>
    <row r="85">
      <c r="A85" s="164" t="s">
        <v>48</v>
      </c>
      <c r="B85" s="165"/>
      <c r="C85" s="166"/>
      <c r="D85" s="165"/>
      <c r="E85" s="166">
        <v>1.0</v>
      </c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6">
        <v>1.0</v>
      </c>
      <c r="S85" s="165"/>
      <c r="T85" s="165"/>
      <c r="U85" s="165"/>
      <c r="V85" s="167"/>
      <c r="W85" s="167"/>
      <c r="X85" s="167"/>
      <c r="Y85" s="167"/>
      <c r="Z85" s="167"/>
      <c r="AA85" s="44">
        <f t="shared" ref="AA85:AA86" si="30">SUM(B85:Z85)</f>
        <v>2</v>
      </c>
      <c r="AB85" s="31"/>
      <c r="AC85" s="2"/>
    </row>
    <row r="86">
      <c r="A86" s="164" t="s">
        <v>49</v>
      </c>
      <c r="B86" s="165"/>
      <c r="C86" s="166"/>
      <c r="D86" s="165"/>
      <c r="E86" s="166">
        <v>20.0</v>
      </c>
      <c r="F86" s="166">
        <v>20.0</v>
      </c>
      <c r="G86" s="166">
        <v>20.0</v>
      </c>
      <c r="H86" s="166">
        <v>20.0</v>
      </c>
      <c r="I86" s="166">
        <v>20.0</v>
      </c>
      <c r="J86" s="166">
        <v>20.0</v>
      </c>
      <c r="K86" s="166">
        <v>20.0</v>
      </c>
      <c r="L86" s="166">
        <v>20.0</v>
      </c>
      <c r="M86" s="166">
        <v>20.0</v>
      </c>
      <c r="N86" s="165"/>
      <c r="O86" s="165"/>
      <c r="P86" s="165"/>
      <c r="Q86" s="165"/>
      <c r="R86" s="166">
        <v>20.0</v>
      </c>
      <c r="S86" s="166">
        <v>20.0</v>
      </c>
      <c r="T86" s="166">
        <v>20.0</v>
      </c>
      <c r="U86" s="166">
        <v>20.0</v>
      </c>
      <c r="V86" s="178">
        <v>20.0</v>
      </c>
      <c r="W86" s="178">
        <v>10.0</v>
      </c>
      <c r="X86" s="178">
        <v>10.0</v>
      </c>
      <c r="Y86" s="178">
        <v>10.0</v>
      </c>
      <c r="Z86" s="178">
        <v>5.0</v>
      </c>
      <c r="AA86" s="44">
        <f t="shared" si="30"/>
        <v>315</v>
      </c>
      <c r="AB86" s="31"/>
      <c r="AC86" s="2"/>
    </row>
    <row r="87">
      <c r="A87" s="164" t="s">
        <v>50</v>
      </c>
      <c r="B87" s="166"/>
      <c r="C87" s="166"/>
      <c r="D87" s="165"/>
      <c r="E87" s="166">
        <v>1.0</v>
      </c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6">
        <v>1.0</v>
      </c>
      <c r="S87" s="165"/>
      <c r="T87" s="165"/>
      <c r="U87" s="165"/>
      <c r="V87" s="167"/>
      <c r="W87" s="167"/>
      <c r="X87" s="167"/>
      <c r="Y87" s="167"/>
      <c r="Z87" s="167"/>
      <c r="AA87" s="44">
        <f>AVERAGE(B87:Z87)</f>
        <v>1</v>
      </c>
      <c r="AB87" s="31"/>
      <c r="AC87" s="2"/>
    </row>
    <row r="88">
      <c r="A88" s="168" t="s">
        <v>51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7"/>
      <c r="AA88" s="46"/>
      <c r="AB88" s="39"/>
      <c r="AC88" s="2"/>
    </row>
    <row r="89">
      <c r="A89" s="169" t="s">
        <v>48</v>
      </c>
      <c r="B89" s="170"/>
      <c r="C89" s="154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1"/>
      <c r="W89" s="171"/>
      <c r="X89" s="171"/>
      <c r="Y89" s="171"/>
      <c r="Z89" s="171"/>
      <c r="AA89" s="51">
        <f t="shared" ref="AA89:AA90" si="31">SUM(B89:Z89)</f>
        <v>0</v>
      </c>
      <c r="AB89" s="31"/>
      <c r="AC89" s="2"/>
    </row>
    <row r="90">
      <c r="A90" s="169" t="s">
        <v>49</v>
      </c>
      <c r="B90" s="170"/>
      <c r="C90" s="154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1"/>
      <c r="W90" s="171"/>
      <c r="X90" s="171"/>
      <c r="Y90" s="171"/>
      <c r="Z90" s="171"/>
      <c r="AA90" s="51">
        <f t="shared" si="31"/>
        <v>0</v>
      </c>
      <c r="AB90" s="31"/>
      <c r="AC90" s="2"/>
    </row>
    <row r="91">
      <c r="A91" s="169" t="s">
        <v>50</v>
      </c>
      <c r="B91" s="154"/>
      <c r="C91" s="154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1"/>
      <c r="W91" s="171"/>
      <c r="X91" s="171"/>
      <c r="Y91" s="171"/>
      <c r="Z91" s="171"/>
      <c r="AA91" s="51" t="str">
        <f>AVERAGE(B91:Z91)</f>
        <v>#DIV/0!</v>
      </c>
      <c r="AB91" s="31"/>
      <c r="AC91" s="2"/>
    </row>
    <row r="92">
      <c r="A92" s="163" t="s">
        <v>53</v>
      </c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7"/>
      <c r="AA92" s="38"/>
      <c r="AB92" s="39"/>
      <c r="AC92" s="2"/>
    </row>
    <row r="93">
      <c r="A93" s="164" t="s">
        <v>48</v>
      </c>
      <c r="B93" s="165"/>
      <c r="C93" s="166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7"/>
      <c r="W93" s="167"/>
      <c r="X93" s="167"/>
      <c r="Y93" s="167"/>
      <c r="Z93" s="167"/>
      <c r="AA93" s="44">
        <f t="shared" ref="AA93:AA94" si="32">SUM(B93:Z93)</f>
        <v>0</v>
      </c>
      <c r="AB93" s="31"/>
      <c r="AC93" s="2"/>
    </row>
    <row r="94">
      <c r="A94" s="164" t="s">
        <v>49</v>
      </c>
      <c r="B94" s="165"/>
      <c r="C94" s="166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7"/>
      <c r="W94" s="167"/>
      <c r="X94" s="167"/>
      <c r="Y94" s="167"/>
      <c r="Z94" s="167"/>
      <c r="AA94" s="44">
        <f t="shared" si="32"/>
        <v>0</v>
      </c>
      <c r="AB94" s="31"/>
      <c r="AC94" s="2"/>
    </row>
    <row r="95">
      <c r="A95" s="172" t="s">
        <v>50</v>
      </c>
      <c r="B95" s="173"/>
      <c r="C95" s="173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5"/>
      <c r="W95" s="175"/>
      <c r="X95" s="175"/>
      <c r="Y95" s="175"/>
      <c r="Z95" s="175"/>
      <c r="AA95" s="57" t="str">
        <f>AVERAGE(B95:Z95)</f>
        <v>#DIV/0!</v>
      </c>
      <c r="AB95" s="58"/>
      <c r="AC95" s="2"/>
    </row>
    <row r="96">
      <c r="A96" s="176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  <c r="AA96" s="59"/>
      <c r="AB96" s="59"/>
      <c r="AC96" s="2"/>
    </row>
    <row r="97">
      <c r="A97" s="151">
        <v>45938.0</v>
      </c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" t="s">
        <v>37</v>
      </c>
      <c r="AB97" s="16" t="s">
        <v>38</v>
      </c>
      <c r="AC97" s="2"/>
    </row>
    <row r="98">
      <c r="A98" s="153" t="s">
        <v>39</v>
      </c>
      <c r="B98" s="154">
        <v>1.0</v>
      </c>
      <c r="C98" s="154">
        <v>1.0</v>
      </c>
      <c r="D98" s="154">
        <v>1.0</v>
      </c>
      <c r="E98" s="154">
        <v>0.0</v>
      </c>
      <c r="F98" s="154">
        <v>0.0</v>
      </c>
      <c r="G98" s="154">
        <v>1.0</v>
      </c>
      <c r="H98" s="154">
        <v>1.0</v>
      </c>
      <c r="I98" s="154">
        <v>1.0</v>
      </c>
      <c r="J98" s="154">
        <v>1.0</v>
      </c>
      <c r="K98" s="154">
        <v>1.0</v>
      </c>
      <c r="L98" s="154">
        <v>1.0</v>
      </c>
      <c r="M98" s="154">
        <v>1.0</v>
      </c>
      <c r="N98" s="154">
        <v>1.0</v>
      </c>
      <c r="O98" s="154">
        <v>1.0</v>
      </c>
      <c r="P98" s="154">
        <v>1.0</v>
      </c>
      <c r="Q98" s="154">
        <v>0.0</v>
      </c>
      <c r="R98" s="154">
        <v>0.0</v>
      </c>
      <c r="S98" s="154">
        <v>0.0</v>
      </c>
      <c r="T98" s="154">
        <v>0.0</v>
      </c>
      <c r="U98" s="154">
        <v>1.0</v>
      </c>
      <c r="V98" s="154">
        <v>1.0</v>
      </c>
      <c r="W98" s="154">
        <v>1.0</v>
      </c>
      <c r="X98" s="154">
        <v>1.0</v>
      </c>
      <c r="Y98" s="154">
        <v>1.0</v>
      </c>
      <c r="Z98" s="154">
        <v>1.0</v>
      </c>
      <c r="AA98" s="20">
        <f t="shared" ref="AA98:AA102" si="33">SUM(B98:Z98)</f>
        <v>19</v>
      </c>
      <c r="AB98" s="21">
        <f t="shared" ref="AB98:AB101" si="34">AA98/(COUNT(B98:Z98)*1)</f>
        <v>0.76</v>
      </c>
      <c r="AC98" s="2"/>
    </row>
    <row r="99">
      <c r="A99" s="153" t="s">
        <v>40</v>
      </c>
      <c r="B99" s="154">
        <v>1.0</v>
      </c>
      <c r="C99" s="154">
        <v>1.0</v>
      </c>
      <c r="D99" s="154">
        <v>1.0</v>
      </c>
      <c r="E99" s="154">
        <v>1.0</v>
      </c>
      <c r="F99" s="154">
        <v>1.0</v>
      </c>
      <c r="G99" s="154">
        <v>1.0</v>
      </c>
      <c r="H99" s="154">
        <v>1.0</v>
      </c>
      <c r="I99" s="154">
        <v>1.0</v>
      </c>
      <c r="J99" s="154">
        <v>1.0</v>
      </c>
      <c r="K99" s="154">
        <v>1.0</v>
      </c>
      <c r="L99" s="154">
        <v>1.0</v>
      </c>
      <c r="M99" s="154">
        <v>1.0</v>
      </c>
      <c r="N99" s="154">
        <v>1.0</v>
      </c>
      <c r="O99" s="154">
        <v>1.0</v>
      </c>
      <c r="P99" s="154">
        <v>1.0</v>
      </c>
      <c r="Q99" s="154">
        <v>0.0</v>
      </c>
      <c r="R99" s="154">
        <v>1.0</v>
      </c>
      <c r="S99" s="154">
        <v>1.0</v>
      </c>
      <c r="T99" s="154">
        <v>1.0</v>
      </c>
      <c r="U99" s="154">
        <v>1.0</v>
      </c>
      <c r="V99" s="154">
        <v>1.0</v>
      </c>
      <c r="W99" s="154">
        <v>1.0</v>
      </c>
      <c r="X99" s="154">
        <v>1.0</v>
      </c>
      <c r="Y99" s="154">
        <v>1.0</v>
      </c>
      <c r="Z99" s="154">
        <v>1.0</v>
      </c>
      <c r="AA99" s="20">
        <f t="shared" si="33"/>
        <v>24</v>
      </c>
      <c r="AB99" s="21">
        <f t="shared" si="34"/>
        <v>0.96</v>
      </c>
      <c r="AC99" s="2"/>
    </row>
    <row r="100">
      <c r="A100" s="153" t="s">
        <v>41</v>
      </c>
      <c r="B100" s="154">
        <v>1.0</v>
      </c>
      <c r="C100" s="154">
        <v>1.0</v>
      </c>
      <c r="D100" s="154">
        <v>1.0</v>
      </c>
      <c r="E100" s="154">
        <v>0.0</v>
      </c>
      <c r="F100" s="154">
        <v>0.0</v>
      </c>
      <c r="G100" s="154">
        <v>1.0</v>
      </c>
      <c r="H100" s="154">
        <v>1.0</v>
      </c>
      <c r="I100" s="154">
        <v>1.0</v>
      </c>
      <c r="J100" s="154">
        <v>1.0</v>
      </c>
      <c r="K100" s="154">
        <v>1.0</v>
      </c>
      <c r="L100" s="154">
        <v>1.0</v>
      </c>
      <c r="M100" s="154">
        <v>1.0</v>
      </c>
      <c r="N100" s="154">
        <v>1.0</v>
      </c>
      <c r="O100" s="154">
        <v>1.0</v>
      </c>
      <c r="P100" s="154">
        <v>1.0</v>
      </c>
      <c r="Q100" s="154">
        <v>0.0</v>
      </c>
      <c r="R100" s="154">
        <v>1.0</v>
      </c>
      <c r="S100" s="154">
        <v>1.0</v>
      </c>
      <c r="T100" s="154">
        <v>0.0</v>
      </c>
      <c r="U100" s="154">
        <v>1.0</v>
      </c>
      <c r="V100" s="154">
        <v>1.0</v>
      </c>
      <c r="W100" s="154">
        <v>1.0</v>
      </c>
      <c r="X100" s="154">
        <v>1.0</v>
      </c>
      <c r="Y100" s="154">
        <v>1.0</v>
      </c>
      <c r="Z100" s="154">
        <v>1.0</v>
      </c>
      <c r="AA100" s="20">
        <f t="shared" si="33"/>
        <v>21</v>
      </c>
      <c r="AB100" s="21">
        <f t="shared" si="34"/>
        <v>0.84</v>
      </c>
      <c r="AC100" s="2"/>
    </row>
    <row r="101">
      <c r="A101" s="153" t="s">
        <v>42</v>
      </c>
      <c r="B101" s="154">
        <v>1.0</v>
      </c>
      <c r="C101" s="154">
        <v>1.0</v>
      </c>
      <c r="D101" s="154">
        <v>1.0</v>
      </c>
      <c r="E101" s="154">
        <v>0.0</v>
      </c>
      <c r="F101" s="154">
        <v>0.0</v>
      </c>
      <c r="G101" s="154">
        <v>1.0</v>
      </c>
      <c r="H101" s="154">
        <v>1.0</v>
      </c>
      <c r="I101" s="154">
        <v>1.0</v>
      </c>
      <c r="J101" s="154">
        <v>1.0</v>
      </c>
      <c r="K101" s="154">
        <v>1.0</v>
      </c>
      <c r="L101" s="154">
        <v>0.0</v>
      </c>
      <c r="M101" s="154">
        <v>1.0</v>
      </c>
      <c r="N101" s="154">
        <v>1.0</v>
      </c>
      <c r="O101" s="154">
        <v>1.0</v>
      </c>
      <c r="P101" s="154">
        <v>1.0</v>
      </c>
      <c r="Q101" s="154">
        <v>0.0</v>
      </c>
      <c r="R101" s="154">
        <v>0.0</v>
      </c>
      <c r="S101" s="154">
        <v>0.0</v>
      </c>
      <c r="T101" s="154">
        <v>0.0</v>
      </c>
      <c r="U101" s="154">
        <v>1.0</v>
      </c>
      <c r="V101" s="154">
        <v>1.0</v>
      </c>
      <c r="W101" s="154">
        <v>1.0</v>
      </c>
      <c r="X101" s="154">
        <v>1.0</v>
      </c>
      <c r="Y101" s="154">
        <v>1.0</v>
      </c>
      <c r="Z101" s="154">
        <v>1.0</v>
      </c>
      <c r="AA101" s="20">
        <f t="shared" si="33"/>
        <v>18</v>
      </c>
      <c r="AB101" s="21">
        <f t="shared" si="34"/>
        <v>0.72</v>
      </c>
      <c r="AC101" s="2"/>
    </row>
    <row r="102">
      <c r="A102" s="153" t="s">
        <v>43</v>
      </c>
      <c r="B102" s="155">
        <f t="shared" ref="B102:Z102" si="35">SUM(B98:B101)</f>
        <v>4</v>
      </c>
      <c r="C102" s="155">
        <f t="shared" si="35"/>
        <v>4</v>
      </c>
      <c r="D102" s="155">
        <f t="shared" si="35"/>
        <v>4</v>
      </c>
      <c r="E102" s="155">
        <f t="shared" si="35"/>
        <v>1</v>
      </c>
      <c r="F102" s="155">
        <f t="shared" si="35"/>
        <v>1</v>
      </c>
      <c r="G102" s="155">
        <f t="shared" si="35"/>
        <v>4</v>
      </c>
      <c r="H102" s="155">
        <f t="shared" si="35"/>
        <v>4</v>
      </c>
      <c r="I102" s="155">
        <f t="shared" si="35"/>
        <v>4</v>
      </c>
      <c r="J102" s="155">
        <f t="shared" si="35"/>
        <v>4</v>
      </c>
      <c r="K102" s="155">
        <f t="shared" si="35"/>
        <v>4</v>
      </c>
      <c r="L102" s="155">
        <f t="shared" si="35"/>
        <v>3</v>
      </c>
      <c r="M102" s="155">
        <f t="shared" si="35"/>
        <v>4</v>
      </c>
      <c r="N102" s="155">
        <f t="shared" si="35"/>
        <v>4</v>
      </c>
      <c r="O102" s="155">
        <f t="shared" si="35"/>
        <v>4</v>
      </c>
      <c r="P102" s="155">
        <f t="shared" si="35"/>
        <v>4</v>
      </c>
      <c r="Q102" s="155">
        <f t="shared" si="35"/>
        <v>0</v>
      </c>
      <c r="R102" s="155">
        <f t="shared" si="35"/>
        <v>2</v>
      </c>
      <c r="S102" s="155">
        <f t="shared" si="35"/>
        <v>2</v>
      </c>
      <c r="T102" s="155">
        <f t="shared" si="35"/>
        <v>1</v>
      </c>
      <c r="U102" s="155">
        <f t="shared" si="35"/>
        <v>4</v>
      </c>
      <c r="V102" s="155">
        <f t="shared" si="35"/>
        <v>4</v>
      </c>
      <c r="W102" s="155">
        <f t="shared" si="35"/>
        <v>4</v>
      </c>
      <c r="X102" s="155">
        <f t="shared" si="35"/>
        <v>4</v>
      </c>
      <c r="Y102" s="155">
        <f t="shared" si="35"/>
        <v>4</v>
      </c>
      <c r="Z102" s="155">
        <f t="shared" si="35"/>
        <v>4</v>
      </c>
      <c r="AA102" s="20">
        <f t="shared" si="33"/>
        <v>82</v>
      </c>
      <c r="AB102" s="23"/>
      <c r="AC102" s="2"/>
    </row>
    <row r="103">
      <c r="A103" s="153" t="s">
        <v>38</v>
      </c>
      <c r="B103" s="156">
        <f t="shared" ref="B103:Z103" si="36">B102/(COUNT(B98:B101)*1)</f>
        <v>1</v>
      </c>
      <c r="C103" s="156">
        <f t="shared" si="36"/>
        <v>1</v>
      </c>
      <c r="D103" s="156">
        <f t="shared" si="36"/>
        <v>1</v>
      </c>
      <c r="E103" s="156">
        <f t="shared" si="36"/>
        <v>0.25</v>
      </c>
      <c r="F103" s="156">
        <f t="shared" si="36"/>
        <v>0.25</v>
      </c>
      <c r="G103" s="156">
        <f t="shared" si="36"/>
        <v>1</v>
      </c>
      <c r="H103" s="156">
        <f t="shared" si="36"/>
        <v>1</v>
      </c>
      <c r="I103" s="156">
        <f t="shared" si="36"/>
        <v>1</v>
      </c>
      <c r="J103" s="156">
        <f t="shared" si="36"/>
        <v>1</v>
      </c>
      <c r="K103" s="156">
        <f t="shared" si="36"/>
        <v>1</v>
      </c>
      <c r="L103" s="156">
        <f t="shared" si="36"/>
        <v>0.75</v>
      </c>
      <c r="M103" s="156">
        <f t="shared" si="36"/>
        <v>1</v>
      </c>
      <c r="N103" s="156">
        <f t="shared" si="36"/>
        <v>1</v>
      </c>
      <c r="O103" s="156">
        <f t="shared" si="36"/>
        <v>1</v>
      </c>
      <c r="P103" s="156">
        <f t="shared" si="36"/>
        <v>1</v>
      </c>
      <c r="Q103" s="156">
        <f t="shared" si="36"/>
        <v>0</v>
      </c>
      <c r="R103" s="156">
        <f t="shared" si="36"/>
        <v>0.5</v>
      </c>
      <c r="S103" s="156">
        <f t="shared" si="36"/>
        <v>0.5</v>
      </c>
      <c r="T103" s="156">
        <f t="shared" si="36"/>
        <v>0.25</v>
      </c>
      <c r="U103" s="156">
        <f t="shared" si="36"/>
        <v>1</v>
      </c>
      <c r="V103" s="156">
        <f t="shared" si="36"/>
        <v>1</v>
      </c>
      <c r="W103" s="156">
        <f t="shared" si="36"/>
        <v>1</v>
      </c>
      <c r="X103" s="156">
        <f t="shared" si="36"/>
        <v>1</v>
      </c>
      <c r="Y103" s="156">
        <f t="shared" si="36"/>
        <v>1</v>
      </c>
      <c r="Z103" s="156">
        <f t="shared" si="36"/>
        <v>1</v>
      </c>
      <c r="AA103" s="25"/>
      <c r="AB103" s="26">
        <f>SUM(AB98:AB101)/4</f>
        <v>0.82</v>
      </c>
      <c r="AC103" s="2"/>
    </row>
    <row r="104">
      <c r="A104" s="157" t="s">
        <v>74</v>
      </c>
      <c r="B104" s="158"/>
      <c r="C104" s="159"/>
      <c r="D104" s="158"/>
      <c r="E104" s="159">
        <v>20.0</v>
      </c>
      <c r="F104" s="159">
        <v>20.0</v>
      </c>
      <c r="G104" s="158"/>
      <c r="H104" s="158"/>
      <c r="I104" s="158"/>
      <c r="J104" s="158"/>
      <c r="K104" s="158"/>
      <c r="L104" s="159"/>
      <c r="M104" s="158"/>
      <c r="N104" s="158"/>
      <c r="O104" s="158"/>
      <c r="P104" s="158"/>
      <c r="Q104" s="159">
        <v>20.0</v>
      </c>
      <c r="R104" s="159">
        <v>20.0</v>
      </c>
      <c r="S104" s="159">
        <v>20.0</v>
      </c>
      <c r="T104" s="159">
        <v>20.0</v>
      </c>
      <c r="U104" s="158"/>
      <c r="V104" s="158"/>
      <c r="W104" s="158"/>
      <c r="X104" s="158"/>
      <c r="Y104" s="158"/>
      <c r="Z104" s="158"/>
      <c r="AA104" s="30">
        <f t="shared" ref="AA104:AA106" si="37">SUM(B104:Z104)</f>
        <v>120</v>
      </c>
      <c r="AB104" s="31"/>
      <c r="AC104" s="2"/>
    </row>
    <row r="105">
      <c r="A105" s="160" t="s">
        <v>45</v>
      </c>
      <c r="B105" s="161"/>
      <c r="C105" s="161"/>
      <c r="D105" s="161"/>
      <c r="E105" s="162"/>
      <c r="F105" s="162"/>
      <c r="G105" s="161"/>
      <c r="H105" s="161"/>
      <c r="I105" s="161"/>
      <c r="J105" s="161"/>
      <c r="K105" s="161"/>
      <c r="L105" s="162"/>
      <c r="M105" s="161"/>
      <c r="N105" s="161"/>
      <c r="O105" s="161"/>
      <c r="P105" s="161"/>
      <c r="Q105" s="162"/>
      <c r="R105" s="162"/>
      <c r="S105" s="162"/>
      <c r="T105" s="162"/>
      <c r="U105" s="161"/>
      <c r="V105" s="158"/>
      <c r="W105" s="158"/>
      <c r="X105" s="158"/>
      <c r="Y105" s="158"/>
      <c r="Z105" s="158"/>
      <c r="AA105" s="30">
        <f t="shared" si="37"/>
        <v>0</v>
      </c>
      <c r="AB105" s="31"/>
      <c r="AC105" s="9"/>
    </row>
    <row r="106">
      <c r="A106" s="160" t="s">
        <v>46</v>
      </c>
      <c r="B106" s="161"/>
      <c r="C106" s="161"/>
      <c r="D106" s="161"/>
      <c r="E106" s="162"/>
      <c r="F106" s="161"/>
      <c r="G106" s="161"/>
      <c r="H106" s="161"/>
      <c r="I106" s="161"/>
      <c r="J106" s="161"/>
      <c r="K106" s="161"/>
      <c r="L106" s="162"/>
      <c r="M106" s="161"/>
      <c r="N106" s="161"/>
      <c r="O106" s="161"/>
      <c r="P106" s="161"/>
      <c r="Q106" s="162"/>
      <c r="R106" s="161"/>
      <c r="S106" s="161"/>
      <c r="T106" s="161"/>
      <c r="U106" s="161"/>
      <c r="V106" s="158"/>
      <c r="W106" s="158"/>
      <c r="X106" s="158"/>
      <c r="Y106" s="158"/>
      <c r="Z106" s="158"/>
      <c r="AA106" s="30">
        <f t="shared" si="37"/>
        <v>0</v>
      </c>
      <c r="AB106" s="31"/>
      <c r="AC106" s="9"/>
    </row>
    <row r="107">
      <c r="A107" s="163" t="s">
        <v>47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7"/>
      <c r="AA107" s="38"/>
      <c r="AB107" s="39"/>
      <c r="AC107" s="2"/>
    </row>
    <row r="108">
      <c r="A108" s="164" t="s">
        <v>48</v>
      </c>
      <c r="B108" s="165"/>
      <c r="C108" s="166"/>
      <c r="D108" s="165"/>
      <c r="E108" s="166">
        <v>1.0</v>
      </c>
      <c r="F108" s="165"/>
      <c r="G108" s="165"/>
      <c r="H108" s="165"/>
      <c r="I108" s="165"/>
      <c r="J108" s="165"/>
      <c r="K108" s="165"/>
      <c r="L108" s="166">
        <v>1.0</v>
      </c>
      <c r="M108" s="165"/>
      <c r="N108" s="165"/>
      <c r="O108" s="165"/>
      <c r="P108" s="165"/>
      <c r="Q108" s="166">
        <v>1.0</v>
      </c>
      <c r="R108" s="165"/>
      <c r="S108" s="165"/>
      <c r="T108" s="165"/>
      <c r="U108" s="165"/>
      <c r="V108" s="167"/>
      <c r="W108" s="167"/>
      <c r="X108" s="167"/>
      <c r="Y108" s="167"/>
      <c r="Z108" s="167"/>
      <c r="AA108" s="44">
        <f t="shared" ref="AA108:AA109" si="38">SUM(B108:Z108)</f>
        <v>3</v>
      </c>
      <c r="AB108" s="31"/>
      <c r="AC108" s="2"/>
    </row>
    <row r="109">
      <c r="A109" s="164" t="s">
        <v>49</v>
      </c>
      <c r="B109" s="165"/>
      <c r="C109" s="166"/>
      <c r="D109" s="165"/>
      <c r="E109" s="166">
        <v>20.0</v>
      </c>
      <c r="F109" s="166">
        <v>20.0</v>
      </c>
      <c r="G109" s="165"/>
      <c r="H109" s="165"/>
      <c r="I109" s="165"/>
      <c r="J109" s="165"/>
      <c r="K109" s="165"/>
      <c r="L109" s="166">
        <v>5.0</v>
      </c>
      <c r="M109" s="165"/>
      <c r="N109" s="165"/>
      <c r="O109" s="165"/>
      <c r="P109" s="165"/>
      <c r="Q109" s="166">
        <v>20.0</v>
      </c>
      <c r="R109" s="166">
        <v>20.0</v>
      </c>
      <c r="S109" s="166">
        <v>20.0</v>
      </c>
      <c r="T109" s="166">
        <v>20.0</v>
      </c>
      <c r="U109" s="165"/>
      <c r="V109" s="167"/>
      <c r="W109" s="167"/>
      <c r="X109" s="167"/>
      <c r="Y109" s="167"/>
      <c r="Z109" s="167"/>
      <c r="AA109" s="44">
        <f t="shared" si="38"/>
        <v>125</v>
      </c>
      <c r="AB109" s="31"/>
      <c r="AC109" s="2"/>
    </row>
    <row r="110">
      <c r="A110" s="164" t="s">
        <v>50</v>
      </c>
      <c r="B110" s="166"/>
      <c r="C110" s="166"/>
      <c r="D110" s="165"/>
      <c r="E110" s="166">
        <v>1.0</v>
      </c>
      <c r="F110" s="165"/>
      <c r="G110" s="165"/>
      <c r="H110" s="165"/>
      <c r="I110" s="165"/>
      <c r="J110" s="165"/>
      <c r="K110" s="165"/>
      <c r="L110" s="166">
        <v>1.0</v>
      </c>
      <c r="M110" s="165"/>
      <c r="N110" s="165"/>
      <c r="O110" s="165"/>
      <c r="P110" s="165"/>
      <c r="Q110" s="166">
        <v>1.0</v>
      </c>
      <c r="R110" s="165"/>
      <c r="S110" s="165"/>
      <c r="T110" s="165"/>
      <c r="U110" s="165"/>
      <c r="V110" s="167"/>
      <c r="W110" s="167"/>
      <c r="X110" s="167"/>
      <c r="Y110" s="167"/>
      <c r="Z110" s="167"/>
      <c r="AA110" s="44">
        <f>AVERAGE(B110:Z110)</f>
        <v>1</v>
      </c>
      <c r="AB110" s="31"/>
      <c r="AC110" s="2"/>
    </row>
    <row r="111">
      <c r="A111" s="168" t="s">
        <v>51</v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7"/>
      <c r="AA111" s="46"/>
      <c r="AB111" s="39"/>
      <c r="AC111" s="2"/>
    </row>
    <row r="112">
      <c r="A112" s="169" t="s">
        <v>48</v>
      </c>
      <c r="B112" s="170"/>
      <c r="C112" s="154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1"/>
      <c r="W112" s="171"/>
      <c r="X112" s="171"/>
      <c r="Y112" s="171"/>
      <c r="Z112" s="171"/>
      <c r="AA112" s="51">
        <f t="shared" ref="AA112:AA113" si="39">SUM(B112:Z112)</f>
        <v>0</v>
      </c>
      <c r="AB112" s="31"/>
      <c r="AC112" s="2"/>
    </row>
    <row r="113">
      <c r="A113" s="169" t="s">
        <v>49</v>
      </c>
      <c r="B113" s="170"/>
      <c r="C113" s="154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1"/>
      <c r="W113" s="171"/>
      <c r="X113" s="171"/>
      <c r="Y113" s="171"/>
      <c r="Z113" s="171"/>
      <c r="AA113" s="51">
        <f t="shared" si="39"/>
        <v>0</v>
      </c>
      <c r="AB113" s="31"/>
      <c r="AC113" s="2"/>
    </row>
    <row r="114">
      <c r="A114" s="169" t="s">
        <v>50</v>
      </c>
      <c r="B114" s="154"/>
      <c r="C114" s="154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1"/>
      <c r="W114" s="171"/>
      <c r="X114" s="171"/>
      <c r="Y114" s="171"/>
      <c r="Z114" s="171"/>
      <c r="AA114" s="51" t="str">
        <f>AVERAGE(B114:Z114)</f>
        <v>#DIV/0!</v>
      </c>
      <c r="AB114" s="31"/>
      <c r="AC114" s="2"/>
    </row>
    <row r="115">
      <c r="A115" s="163" t="s">
        <v>53</v>
      </c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7"/>
      <c r="AA115" s="38"/>
      <c r="AB115" s="39"/>
      <c r="AC115" s="2"/>
    </row>
    <row r="116">
      <c r="A116" s="164" t="s">
        <v>48</v>
      </c>
      <c r="B116" s="165"/>
      <c r="C116" s="166"/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7"/>
      <c r="W116" s="167"/>
      <c r="X116" s="167"/>
      <c r="Y116" s="167"/>
      <c r="Z116" s="167"/>
      <c r="AA116" s="44">
        <f t="shared" ref="AA116:AA117" si="40">SUM(B116:Z116)</f>
        <v>0</v>
      </c>
      <c r="AB116" s="31"/>
      <c r="AC116" s="2"/>
    </row>
    <row r="117">
      <c r="A117" s="164" t="s">
        <v>49</v>
      </c>
      <c r="B117" s="165"/>
      <c r="C117" s="166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7"/>
      <c r="W117" s="167"/>
      <c r="X117" s="167"/>
      <c r="Y117" s="167"/>
      <c r="Z117" s="167"/>
      <c r="AA117" s="44">
        <f t="shared" si="40"/>
        <v>0</v>
      </c>
      <c r="AB117" s="31"/>
      <c r="AC117" s="2"/>
    </row>
    <row r="118">
      <c r="A118" s="172" t="s">
        <v>50</v>
      </c>
      <c r="B118" s="173"/>
      <c r="C118" s="173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5"/>
      <c r="W118" s="175"/>
      <c r="X118" s="175"/>
      <c r="Y118" s="175"/>
      <c r="Z118" s="175"/>
      <c r="AA118" s="57" t="str">
        <f>AVERAGE(B118:Z118)</f>
        <v>#DIV/0!</v>
      </c>
      <c r="AB118" s="58"/>
      <c r="AC118" s="2"/>
    </row>
    <row r="119">
      <c r="A119" s="176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  <c r="AA119" s="59"/>
      <c r="AB119" s="59"/>
      <c r="AC119" s="2"/>
    </row>
    <row r="120">
      <c r="A120" s="151">
        <v>45939.0</v>
      </c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" t="s">
        <v>37</v>
      </c>
      <c r="AB120" s="16" t="s">
        <v>38</v>
      </c>
      <c r="AC120" s="2"/>
    </row>
    <row r="121">
      <c r="A121" s="153" t="s">
        <v>39</v>
      </c>
      <c r="B121" s="154">
        <v>1.0</v>
      </c>
      <c r="C121" s="154">
        <v>1.0</v>
      </c>
      <c r="D121" s="154">
        <v>1.0</v>
      </c>
      <c r="E121" s="154">
        <v>1.0</v>
      </c>
      <c r="F121" s="154">
        <v>1.0</v>
      </c>
      <c r="G121" s="154">
        <v>0.0</v>
      </c>
      <c r="H121" s="154">
        <v>0.0</v>
      </c>
      <c r="I121" s="154">
        <v>0.0</v>
      </c>
      <c r="J121" s="154">
        <v>0.0</v>
      </c>
      <c r="K121" s="154">
        <v>0.0</v>
      </c>
      <c r="L121" s="154">
        <v>0.0</v>
      </c>
      <c r="M121" s="154">
        <v>1.0</v>
      </c>
      <c r="N121" s="154">
        <v>1.0</v>
      </c>
      <c r="O121" s="154">
        <v>1.0</v>
      </c>
      <c r="P121" s="154">
        <v>1.0</v>
      </c>
      <c r="Q121" s="154">
        <v>1.0</v>
      </c>
      <c r="R121" s="154">
        <v>1.0</v>
      </c>
      <c r="S121" s="154">
        <v>1.0</v>
      </c>
      <c r="T121" s="154">
        <v>1.0</v>
      </c>
      <c r="U121" s="154">
        <v>1.0</v>
      </c>
      <c r="V121" s="154">
        <v>1.0</v>
      </c>
      <c r="W121" s="154">
        <v>1.0</v>
      </c>
      <c r="X121" s="154">
        <v>1.0</v>
      </c>
      <c r="Y121" s="154">
        <v>1.0</v>
      </c>
      <c r="Z121" s="154">
        <v>1.0</v>
      </c>
      <c r="AA121" s="20">
        <f t="shared" ref="AA121:AA125" si="41">SUM(B121:Z121)</f>
        <v>19</v>
      </c>
      <c r="AB121" s="21">
        <f t="shared" ref="AB121:AB124" si="42">AA121/(COUNT(B121:Z121)*1)</f>
        <v>0.76</v>
      </c>
      <c r="AC121" s="2"/>
    </row>
    <row r="122">
      <c r="A122" s="153" t="s">
        <v>40</v>
      </c>
      <c r="B122" s="154">
        <v>1.0</v>
      </c>
      <c r="C122" s="154">
        <v>1.0</v>
      </c>
      <c r="D122" s="154">
        <v>1.0</v>
      </c>
      <c r="E122" s="154">
        <v>1.0</v>
      </c>
      <c r="F122" s="154">
        <v>1.0</v>
      </c>
      <c r="G122" s="154">
        <v>1.0</v>
      </c>
      <c r="H122" s="154">
        <v>1.0</v>
      </c>
      <c r="I122" s="154">
        <v>1.0</v>
      </c>
      <c r="J122" s="154">
        <v>1.0</v>
      </c>
      <c r="K122" s="154">
        <v>1.0</v>
      </c>
      <c r="L122" s="154">
        <v>1.0</v>
      </c>
      <c r="M122" s="154">
        <v>1.0</v>
      </c>
      <c r="N122" s="154">
        <v>1.0</v>
      </c>
      <c r="O122" s="154">
        <v>1.0</v>
      </c>
      <c r="P122" s="154">
        <v>1.0</v>
      </c>
      <c r="Q122" s="154">
        <v>1.0</v>
      </c>
      <c r="R122" s="154">
        <v>1.0</v>
      </c>
      <c r="S122" s="154">
        <v>1.0</v>
      </c>
      <c r="T122" s="154">
        <v>1.0</v>
      </c>
      <c r="U122" s="154">
        <v>1.0</v>
      </c>
      <c r="V122" s="154">
        <v>1.0</v>
      </c>
      <c r="W122" s="154">
        <v>1.0</v>
      </c>
      <c r="X122" s="154">
        <v>1.0</v>
      </c>
      <c r="Y122" s="154">
        <v>1.0</v>
      </c>
      <c r="Z122" s="154">
        <v>1.0</v>
      </c>
      <c r="AA122" s="20">
        <f t="shared" si="41"/>
        <v>25</v>
      </c>
      <c r="AB122" s="21">
        <f t="shared" si="42"/>
        <v>1</v>
      </c>
      <c r="AC122" s="2"/>
    </row>
    <row r="123">
      <c r="A123" s="153" t="s">
        <v>41</v>
      </c>
      <c r="B123" s="154">
        <v>1.0</v>
      </c>
      <c r="C123" s="154">
        <v>1.0</v>
      </c>
      <c r="D123" s="154">
        <v>1.0</v>
      </c>
      <c r="E123" s="154">
        <v>0.0</v>
      </c>
      <c r="F123" s="154">
        <v>1.0</v>
      </c>
      <c r="G123" s="154">
        <v>0.0</v>
      </c>
      <c r="H123" s="154">
        <v>0.0</v>
      </c>
      <c r="I123" s="154">
        <v>0.0</v>
      </c>
      <c r="J123" s="154">
        <v>0.0</v>
      </c>
      <c r="K123" s="154">
        <v>0.0</v>
      </c>
      <c r="L123" s="154">
        <v>1.0</v>
      </c>
      <c r="M123" s="154">
        <v>1.0</v>
      </c>
      <c r="N123" s="154">
        <v>1.0</v>
      </c>
      <c r="O123" s="154">
        <v>1.0</v>
      </c>
      <c r="P123" s="154">
        <v>1.0</v>
      </c>
      <c r="Q123" s="154">
        <v>1.0</v>
      </c>
      <c r="R123" s="154">
        <v>1.0</v>
      </c>
      <c r="S123" s="154">
        <v>0.0</v>
      </c>
      <c r="T123" s="154">
        <v>1.0</v>
      </c>
      <c r="U123" s="154">
        <v>1.0</v>
      </c>
      <c r="V123" s="154">
        <v>1.0</v>
      </c>
      <c r="W123" s="154">
        <v>1.0</v>
      </c>
      <c r="X123" s="154">
        <v>1.0</v>
      </c>
      <c r="Y123" s="154">
        <v>1.0</v>
      </c>
      <c r="Z123" s="154">
        <v>1.0</v>
      </c>
      <c r="AA123" s="20">
        <f t="shared" si="41"/>
        <v>18</v>
      </c>
      <c r="AB123" s="21">
        <f t="shared" si="42"/>
        <v>0.72</v>
      </c>
      <c r="AC123" s="2"/>
    </row>
    <row r="124">
      <c r="A124" s="153" t="s">
        <v>42</v>
      </c>
      <c r="B124" s="154">
        <v>1.0</v>
      </c>
      <c r="C124" s="154">
        <v>1.0</v>
      </c>
      <c r="D124" s="154">
        <v>1.0</v>
      </c>
      <c r="E124" s="154">
        <v>1.0</v>
      </c>
      <c r="F124" s="154">
        <v>1.0</v>
      </c>
      <c r="G124" s="154">
        <v>1.0</v>
      </c>
      <c r="H124" s="154">
        <v>1.0</v>
      </c>
      <c r="I124" s="154">
        <v>1.0</v>
      </c>
      <c r="J124" s="154">
        <v>1.0</v>
      </c>
      <c r="K124" s="154">
        <v>1.0</v>
      </c>
      <c r="L124" s="154">
        <v>1.0</v>
      </c>
      <c r="M124" s="154">
        <v>1.0</v>
      </c>
      <c r="N124" s="154">
        <v>1.0</v>
      </c>
      <c r="O124" s="154">
        <v>1.0</v>
      </c>
      <c r="P124" s="154">
        <v>1.0</v>
      </c>
      <c r="Q124" s="154">
        <v>1.0</v>
      </c>
      <c r="R124" s="154">
        <v>1.0</v>
      </c>
      <c r="S124" s="154">
        <v>1.0</v>
      </c>
      <c r="T124" s="154">
        <v>1.0</v>
      </c>
      <c r="U124" s="154">
        <v>1.0</v>
      </c>
      <c r="V124" s="154">
        <v>1.0</v>
      </c>
      <c r="W124" s="154">
        <v>1.0</v>
      </c>
      <c r="X124" s="154">
        <v>1.0</v>
      </c>
      <c r="Y124" s="154">
        <v>1.0</v>
      </c>
      <c r="Z124" s="154">
        <v>1.0</v>
      </c>
      <c r="AA124" s="20">
        <f t="shared" si="41"/>
        <v>25</v>
      </c>
      <c r="AB124" s="21">
        <f t="shared" si="42"/>
        <v>1</v>
      </c>
      <c r="AC124" s="2"/>
    </row>
    <row r="125">
      <c r="A125" s="153" t="s">
        <v>43</v>
      </c>
      <c r="B125" s="155">
        <f t="shared" ref="B125:Z125" si="43">SUM(B121:B124)</f>
        <v>4</v>
      </c>
      <c r="C125" s="155">
        <f t="shared" si="43"/>
        <v>4</v>
      </c>
      <c r="D125" s="155">
        <f t="shared" si="43"/>
        <v>4</v>
      </c>
      <c r="E125" s="155">
        <f t="shared" si="43"/>
        <v>3</v>
      </c>
      <c r="F125" s="155">
        <f t="shared" si="43"/>
        <v>4</v>
      </c>
      <c r="G125" s="155">
        <f t="shared" si="43"/>
        <v>2</v>
      </c>
      <c r="H125" s="155">
        <f t="shared" si="43"/>
        <v>2</v>
      </c>
      <c r="I125" s="155">
        <f t="shared" si="43"/>
        <v>2</v>
      </c>
      <c r="J125" s="155">
        <f t="shared" si="43"/>
        <v>2</v>
      </c>
      <c r="K125" s="155">
        <f t="shared" si="43"/>
        <v>2</v>
      </c>
      <c r="L125" s="155">
        <f t="shared" si="43"/>
        <v>3</v>
      </c>
      <c r="M125" s="155">
        <f t="shared" si="43"/>
        <v>4</v>
      </c>
      <c r="N125" s="155">
        <f t="shared" si="43"/>
        <v>4</v>
      </c>
      <c r="O125" s="155">
        <f t="shared" si="43"/>
        <v>4</v>
      </c>
      <c r="P125" s="155">
        <f t="shared" si="43"/>
        <v>4</v>
      </c>
      <c r="Q125" s="155">
        <f t="shared" si="43"/>
        <v>4</v>
      </c>
      <c r="R125" s="155">
        <f t="shared" si="43"/>
        <v>4</v>
      </c>
      <c r="S125" s="155">
        <f t="shared" si="43"/>
        <v>3</v>
      </c>
      <c r="T125" s="155">
        <f t="shared" si="43"/>
        <v>4</v>
      </c>
      <c r="U125" s="155">
        <f t="shared" si="43"/>
        <v>4</v>
      </c>
      <c r="V125" s="155">
        <f t="shared" si="43"/>
        <v>4</v>
      </c>
      <c r="W125" s="155">
        <f t="shared" si="43"/>
        <v>4</v>
      </c>
      <c r="X125" s="155">
        <f t="shared" si="43"/>
        <v>4</v>
      </c>
      <c r="Y125" s="155">
        <f t="shared" si="43"/>
        <v>4</v>
      </c>
      <c r="Z125" s="155">
        <f t="shared" si="43"/>
        <v>4</v>
      </c>
      <c r="AA125" s="20">
        <f t="shared" si="41"/>
        <v>87</v>
      </c>
      <c r="AB125" s="23"/>
      <c r="AC125" s="2"/>
    </row>
    <row r="126">
      <c r="A126" s="153" t="s">
        <v>38</v>
      </c>
      <c r="B126" s="156">
        <f t="shared" ref="B126:Z126" si="44">B125/(COUNT(B121:B124)*1)</f>
        <v>1</v>
      </c>
      <c r="C126" s="156">
        <f t="shared" si="44"/>
        <v>1</v>
      </c>
      <c r="D126" s="156">
        <f t="shared" si="44"/>
        <v>1</v>
      </c>
      <c r="E126" s="156">
        <f t="shared" si="44"/>
        <v>0.75</v>
      </c>
      <c r="F126" s="156">
        <f t="shared" si="44"/>
        <v>1</v>
      </c>
      <c r="G126" s="156">
        <f t="shared" si="44"/>
        <v>0.5</v>
      </c>
      <c r="H126" s="156">
        <f t="shared" si="44"/>
        <v>0.5</v>
      </c>
      <c r="I126" s="156">
        <f t="shared" si="44"/>
        <v>0.5</v>
      </c>
      <c r="J126" s="156">
        <f t="shared" si="44"/>
        <v>0.5</v>
      </c>
      <c r="K126" s="156">
        <f t="shared" si="44"/>
        <v>0.5</v>
      </c>
      <c r="L126" s="156">
        <f t="shared" si="44"/>
        <v>0.75</v>
      </c>
      <c r="M126" s="156">
        <f t="shared" si="44"/>
        <v>1</v>
      </c>
      <c r="N126" s="156">
        <f t="shared" si="44"/>
        <v>1</v>
      </c>
      <c r="O126" s="156">
        <f t="shared" si="44"/>
        <v>1</v>
      </c>
      <c r="P126" s="156">
        <f t="shared" si="44"/>
        <v>1</v>
      </c>
      <c r="Q126" s="156">
        <f t="shared" si="44"/>
        <v>1</v>
      </c>
      <c r="R126" s="156">
        <f t="shared" si="44"/>
        <v>1</v>
      </c>
      <c r="S126" s="156">
        <f t="shared" si="44"/>
        <v>0.75</v>
      </c>
      <c r="T126" s="156">
        <f t="shared" si="44"/>
        <v>1</v>
      </c>
      <c r="U126" s="156">
        <f t="shared" si="44"/>
        <v>1</v>
      </c>
      <c r="V126" s="156">
        <f t="shared" si="44"/>
        <v>1</v>
      </c>
      <c r="W126" s="156">
        <f t="shared" si="44"/>
        <v>1</v>
      </c>
      <c r="X126" s="156">
        <f t="shared" si="44"/>
        <v>1</v>
      </c>
      <c r="Y126" s="156">
        <f t="shared" si="44"/>
        <v>1</v>
      </c>
      <c r="Z126" s="156">
        <f t="shared" si="44"/>
        <v>1</v>
      </c>
      <c r="AA126" s="25"/>
      <c r="AB126" s="26">
        <f>SUM(AB121:AB124)/4</f>
        <v>0.87</v>
      </c>
      <c r="AC126" s="2"/>
    </row>
    <row r="127">
      <c r="A127" s="157" t="s">
        <v>74</v>
      </c>
      <c r="B127" s="158"/>
      <c r="C127" s="159"/>
      <c r="D127" s="158"/>
      <c r="E127" s="158"/>
      <c r="F127" s="158"/>
      <c r="G127" s="159">
        <v>20.0</v>
      </c>
      <c r="H127" s="159">
        <v>20.0</v>
      </c>
      <c r="I127" s="159">
        <v>20.0</v>
      </c>
      <c r="J127" s="159">
        <v>20.0</v>
      </c>
      <c r="K127" s="159">
        <v>20.0</v>
      </c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30">
        <f t="shared" ref="AA127:AA129" si="45">SUM(B127:Z127)</f>
        <v>100</v>
      </c>
      <c r="AB127" s="31"/>
      <c r="AC127" s="2"/>
    </row>
    <row r="128">
      <c r="A128" s="160" t="s">
        <v>45</v>
      </c>
      <c r="B128" s="161"/>
      <c r="C128" s="161"/>
      <c r="D128" s="161"/>
      <c r="E128" s="161"/>
      <c r="F128" s="161"/>
      <c r="G128" s="162"/>
      <c r="H128" s="162"/>
      <c r="I128" s="162"/>
      <c r="J128" s="162"/>
      <c r="K128" s="162"/>
      <c r="L128" s="162"/>
      <c r="M128" s="161"/>
      <c r="N128" s="161"/>
      <c r="O128" s="161"/>
      <c r="P128" s="161"/>
      <c r="Q128" s="161"/>
      <c r="R128" s="161"/>
      <c r="S128" s="161"/>
      <c r="T128" s="161"/>
      <c r="U128" s="161"/>
      <c r="V128" s="158"/>
      <c r="W128" s="158"/>
      <c r="X128" s="158"/>
      <c r="Y128" s="158"/>
      <c r="Z128" s="158"/>
      <c r="AA128" s="30">
        <f t="shared" si="45"/>
        <v>0</v>
      </c>
      <c r="AB128" s="31"/>
      <c r="AC128" s="9"/>
    </row>
    <row r="129">
      <c r="A129" s="160" t="s">
        <v>46</v>
      </c>
      <c r="B129" s="161"/>
      <c r="C129" s="161"/>
      <c r="D129" s="161"/>
      <c r="E129" s="161"/>
      <c r="F129" s="161"/>
      <c r="G129" s="162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58"/>
      <c r="W129" s="158"/>
      <c r="X129" s="158"/>
      <c r="Y129" s="158"/>
      <c r="Z129" s="158"/>
      <c r="AA129" s="30">
        <f t="shared" si="45"/>
        <v>0</v>
      </c>
      <c r="AB129" s="31"/>
      <c r="AC129" s="9"/>
    </row>
    <row r="130">
      <c r="A130" s="163" t="s">
        <v>47</v>
      </c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7"/>
      <c r="AA130" s="38"/>
      <c r="AB130" s="39"/>
      <c r="AC130" s="2"/>
    </row>
    <row r="131">
      <c r="A131" s="164" t="s">
        <v>48</v>
      </c>
      <c r="B131" s="165"/>
      <c r="C131" s="166"/>
      <c r="D131" s="165"/>
      <c r="E131" s="165"/>
      <c r="F131" s="165"/>
      <c r="G131" s="166">
        <v>1.0</v>
      </c>
      <c r="H131" s="16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7"/>
      <c r="W131" s="167"/>
      <c r="X131" s="167"/>
      <c r="Y131" s="167"/>
      <c r="Z131" s="167"/>
      <c r="AA131" s="44">
        <f t="shared" ref="AA131:AA132" si="46">SUM(B131:Z131)</f>
        <v>1</v>
      </c>
      <c r="AB131" s="31"/>
      <c r="AC131" s="2"/>
    </row>
    <row r="132">
      <c r="A132" s="164" t="s">
        <v>49</v>
      </c>
      <c r="B132" s="165"/>
      <c r="C132" s="166"/>
      <c r="D132" s="165"/>
      <c r="E132" s="165"/>
      <c r="F132" s="165"/>
      <c r="G132" s="166">
        <v>20.0</v>
      </c>
      <c r="H132" s="166">
        <v>20.0</v>
      </c>
      <c r="I132" s="166">
        <v>20.0</v>
      </c>
      <c r="J132" s="166">
        <v>20.0</v>
      </c>
      <c r="K132" s="166">
        <v>20.0</v>
      </c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7"/>
      <c r="W132" s="167"/>
      <c r="X132" s="167"/>
      <c r="Y132" s="167"/>
      <c r="Z132" s="167"/>
      <c r="AA132" s="44">
        <f t="shared" si="46"/>
        <v>100</v>
      </c>
      <c r="AB132" s="31"/>
      <c r="AC132" s="2"/>
    </row>
    <row r="133">
      <c r="A133" s="164" t="s">
        <v>50</v>
      </c>
      <c r="B133" s="166"/>
      <c r="C133" s="166"/>
      <c r="D133" s="165"/>
      <c r="E133" s="165"/>
      <c r="F133" s="165"/>
      <c r="G133" s="166">
        <v>1.0</v>
      </c>
      <c r="H133" s="165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7"/>
      <c r="W133" s="167"/>
      <c r="X133" s="167"/>
      <c r="Y133" s="167"/>
      <c r="Z133" s="167"/>
      <c r="AA133" s="44">
        <f>AVERAGE(B133:Z133)</f>
        <v>1</v>
      </c>
      <c r="AB133" s="31"/>
      <c r="AC133" s="2"/>
    </row>
    <row r="134">
      <c r="A134" s="168" t="s">
        <v>51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7"/>
      <c r="AA134" s="46"/>
      <c r="AB134" s="39"/>
      <c r="AC134" s="2"/>
    </row>
    <row r="135">
      <c r="A135" s="169" t="s">
        <v>48</v>
      </c>
      <c r="B135" s="170"/>
      <c r="C135" s="154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1"/>
      <c r="W135" s="171"/>
      <c r="X135" s="171"/>
      <c r="Y135" s="171"/>
      <c r="Z135" s="171"/>
      <c r="AA135" s="51">
        <f t="shared" ref="AA135:AA136" si="47">SUM(B135:Z135)</f>
        <v>0</v>
      </c>
      <c r="AB135" s="31"/>
      <c r="AC135" s="2"/>
    </row>
    <row r="136">
      <c r="A136" s="169" t="s">
        <v>49</v>
      </c>
      <c r="B136" s="170"/>
      <c r="C136" s="154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1"/>
      <c r="W136" s="171"/>
      <c r="X136" s="171"/>
      <c r="Y136" s="171"/>
      <c r="Z136" s="171"/>
      <c r="AA136" s="51">
        <f t="shared" si="47"/>
        <v>0</v>
      </c>
      <c r="AB136" s="31"/>
      <c r="AC136" s="2"/>
    </row>
    <row r="137">
      <c r="A137" s="169" t="s">
        <v>50</v>
      </c>
      <c r="B137" s="154"/>
      <c r="C137" s="154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1"/>
      <c r="W137" s="171"/>
      <c r="X137" s="171"/>
      <c r="Y137" s="171"/>
      <c r="Z137" s="171"/>
      <c r="AA137" s="51" t="str">
        <f>AVERAGE(B137:Z137)</f>
        <v>#DIV/0!</v>
      </c>
      <c r="AB137" s="31"/>
      <c r="AC137" s="2"/>
    </row>
    <row r="138">
      <c r="A138" s="163" t="s">
        <v>53</v>
      </c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7"/>
      <c r="AA138" s="38"/>
      <c r="AB138" s="39"/>
      <c r="AC138" s="2"/>
    </row>
    <row r="139">
      <c r="A139" s="164" t="s">
        <v>48</v>
      </c>
      <c r="B139" s="165"/>
      <c r="C139" s="166"/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7"/>
      <c r="W139" s="167"/>
      <c r="X139" s="167"/>
      <c r="Y139" s="167"/>
      <c r="Z139" s="167"/>
      <c r="AA139" s="44">
        <f t="shared" ref="AA139:AA140" si="48">SUM(B139:Z139)</f>
        <v>0</v>
      </c>
      <c r="AB139" s="31"/>
      <c r="AC139" s="2"/>
    </row>
    <row r="140">
      <c r="A140" s="164" t="s">
        <v>49</v>
      </c>
      <c r="B140" s="165"/>
      <c r="C140" s="166"/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7"/>
      <c r="W140" s="167"/>
      <c r="X140" s="167"/>
      <c r="Y140" s="167"/>
      <c r="Z140" s="167"/>
      <c r="AA140" s="44">
        <f t="shared" si="48"/>
        <v>0</v>
      </c>
      <c r="AB140" s="31"/>
      <c r="AC140" s="2"/>
    </row>
    <row r="141">
      <c r="A141" s="172" t="s">
        <v>50</v>
      </c>
      <c r="B141" s="173"/>
      <c r="C141" s="173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5"/>
      <c r="W141" s="175"/>
      <c r="X141" s="175"/>
      <c r="Y141" s="175"/>
      <c r="Z141" s="175"/>
      <c r="AA141" s="57" t="str">
        <f>AVERAGE(B141:Z141)</f>
        <v>#DIV/0!</v>
      </c>
      <c r="AB141" s="58"/>
      <c r="AC141" s="2"/>
    </row>
    <row r="142">
      <c r="A142" s="176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  <c r="AA142" s="59"/>
      <c r="AB142" s="59"/>
      <c r="AC142" s="2"/>
    </row>
    <row r="143">
      <c r="A143" s="151">
        <v>45940.0</v>
      </c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" t="s">
        <v>37</v>
      </c>
      <c r="AB143" s="16" t="s">
        <v>38</v>
      </c>
      <c r="AC143" s="2"/>
    </row>
    <row r="144">
      <c r="A144" s="153" t="s">
        <v>39</v>
      </c>
      <c r="B144" s="154"/>
      <c r="C144" s="154"/>
      <c r="D144" s="154"/>
      <c r="E144" s="154">
        <v>1.0</v>
      </c>
      <c r="F144" s="154">
        <v>1.0</v>
      </c>
      <c r="G144" s="154">
        <v>0.0</v>
      </c>
      <c r="H144" s="154">
        <v>0.0</v>
      </c>
      <c r="I144" s="154">
        <v>0.0</v>
      </c>
      <c r="J144" s="154">
        <v>0.0</v>
      </c>
      <c r="K144" s="154">
        <v>0.0</v>
      </c>
      <c r="L144" s="154">
        <v>0.0</v>
      </c>
      <c r="M144" s="154">
        <v>0.0</v>
      </c>
      <c r="N144" s="154">
        <v>0.0</v>
      </c>
      <c r="O144" s="154">
        <v>1.0</v>
      </c>
      <c r="P144" s="154">
        <v>1.0</v>
      </c>
      <c r="Q144" s="154">
        <v>1.0</v>
      </c>
      <c r="R144" s="154">
        <v>1.0</v>
      </c>
      <c r="S144" s="154">
        <v>1.0</v>
      </c>
      <c r="T144" s="154">
        <v>1.0</v>
      </c>
      <c r="U144" s="154">
        <v>1.0</v>
      </c>
      <c r="V144" s="154">
        <v>1.0</v>
      </c>
      <c r="W144" s="154">
        <v>1.0</v>
      </c>
      <c r="X144" s="154">
        <v>1.0</v>
      </c>
      <c r="Y144" s="154">
        <v>1.0</v>
      </c>
      <c r="Z144" s="154">
        <v>1.0</v>
      </c>
      <c r="AA144" s="20">
        <f t="shared" ref="AA144:AA148" si="49">SUM(B144:Z144)</f>
        <v>14</v>
      </c>
      <c r="AB144" s="21">
        <f t="shared" ref="AB144:AB147" si="50">AA144/(COUNT(B144:Z144)*1)</f>
        <v>0.6363636364</v>
      </c>
      <c r="AC144" s="2"/>
    </row>
    <row r="145">
      <c r="A145" s="153" t="s">
        <v>40</v>
      </c>
      <c r="B145" s="154"/>
      <c r="C145" s="154"/>
      <c r="D145" s="154"/>
      <c r="E145" s="154">
        <v>1.0</v>
      </c>
      <c r="F145" s="154">
        <v>1.0</v>
      </c>
      <c r="G145" s="154">
        <v>1.0</v>
      </c>
      <c r="H145" s="154">
        <v>0.0</v>
      </c>
      <c r="I145" s="154">
        <v>0.0</v>
      </c>
      <c r="J145" s="154">
        <v>0.0</v>
      </c>
      <c r="K145" s="154">
        <v>1.0</v>
      </c>
      <c r="L145" s="154">
        <v>1.0</v>
      </c>
      <c r="M145" s="154">
        <v>1.0</v>
      </c>
      <c r="N145" s="154">
        <v>1.0</v>
      </c>
      <c r="O145" s="154">
        <v>1.0</v>
      </c>
      <c r="P145" s="154">
        <v>0.0</v>
      </c>
      <c r="Q145" s="154">
        <v>1.0</v>
      </c>
      <c r="R145" s="154">
        <v>1.0</v>
      </c>
      <c r="S145" s="154">
        <v>1.0</v>
      </c>
      <c r="T145" s="154">
        <v>1.0</v>
      </c>
      <c r="U145" s="154">
        <v>1.0</v>
      </c>
      <c r="V145" s="154">
        <v>1.0</v>
      </c>
      <c r="W145" s="154">
        <v>1.0</v>
      </c>
      <c r="X145" s="154">
        <v>1.0</v>
      </c>
      <c r="Y145" s="154">
        <v>1.0</v>
      </c>
      <c r="Z145" s="154">
        <v>1.0</v>
      </c>
      <c r="AA145" s="20">
        <f t="shared" si="49"/>
        <v>18</v>
      </c>
      <c r="AB145" s="21">
        <f t="shared" si="50"/>
        <v>0.8181818182</v>
      </c>
      <c r="AC145" s="2"/>
    </row>
    <row r="146">
      <c r="A146" s="153" t="s">
        <v>41</v>
      </c>
      <c r="B146" s="154"/>
      <c r="C146" s="154"/>
      <c r="D146" s="154"/>
      <c r="E146" s="154">
        <v>1.0</v>
      </c>
      <c r="F146" s="154">
        <v>1.0</v>
      </c>
      <c r="G146" s="154">
        <v>1.0</v>
      </c>
      <c r="H146" s="154">
        <v>0.0</v>
      </c>
      <c r="I146" s="154">
        <v>0.0</v>
      </c>
      <c r="J146" s="154">
        <v>1.0</v>
      </c>
      <c r="K146" s="154">
        <v>1.0</v>
      </c>
      <c r="L146" s="154">
        <v>1.0</v>
      </c>
      <c r="M146" s="154">
        <v>0.0</v>
      </c>
      <c r="N146" s="154">
        <v>0.0</v>
      </c>
      <c r="O146" s="154">
        <v>1.0</v>
      </c>
      <c r="P146" s="154">
        <v>0.0</v>
      </c>
      <c r="Q146" s="154">
        <v>1.0</v>
      </c>
      <c r="R146" s="154">
        <v>1.0</v>
      </c>
      <c r="S146" s="154">
        <v>1.0</v>
      </c>
      <c r="T146" s="154">
        <v>1.0</v>
      </c>
      <c r="U146" s="154">
        <v>1.0</v>
      </c>
      <c r="V146" s="154">
        <v>1.0</v>
      </c>
      <c r="W146" s="154">
        <v>1.0</v>
      </c>
      <c r="X146" s="154">
        <v>1.0</v>
      </c>
      <c r="Y146" s="154">
        <v>1.0</v>
      </c>
      <c r="Z146" s="154">
        <v>1.0</v>
      </c>
      <c r="AA146" s="20">
        <f t="shared" si="49"/>
        <v>17</v>
      </c>
      <c r="AB146" s="21">
        <f t="shared" si="50"/>
        <v>0.7727272727</v>
      </c>
      <c r="AC146" s="2"/>
    </row>
    <row r="147">
      <c r="A147" s="153" t="s">
        <v>42</v>
      </c>
      <c r="B147" s="154"/>
      <c r="C147" s="154"/>
      <c r="D147" s="154"/>
      <c r="E147" s="154">
        <v>1.0</v>
      </c>
      <c r="F147" s="154">
        <v>1.0</v>
      </c>
      <c r="G147" s="154">
        <v>0.0</v>
      </c>
      <c r="H147" s="154">
        <v>0.0</v>
      </c>
      <c r="I147" s="154">
        <v>0.0</v>
      </c>
      <c r="J147" s="154">
        <v>0.0</v>
      </c>
      <c r="K147" s="154">
        <v>1.0</v>
      </c>
      <c r="L147" s="154">
        <v>1.0</v>
      </c>
      <c r="M147" s="154">
        <v>0.0</v>
      </c>
      <c r="N147" s="154">
        <v>0.0</v>
      </c>
      <c r="O147" s="154">
        <v>1.0</v>
      </c>
      <c r="P147" s="154">
        <v>0.0</v>
      </c>
      <c r="Q147" s="154">
        <v>1.0</v>
      </c>
      <c r="R147" s="154">
        <v>1.0</v>
      </c>
      <c r="S147" s="154">
        <v>1.0</v>
      </c>
      <c r="T147" s="154">
        <v>1.0</v>
      </c>
      <c r="U147" s="154">
        <v>1.0</v>
      </c>
      <c r="V147" s="154">
        <v>1.0</v>
      </c>
      <c r="W147" s="154">
        <v>1.0</v>
      </c>
      <c r="X147" s="154">
        <v>1.0</v>
      </c>
      <c r="Y147" s="154">
        <v>1.0</v>
      </c>
      <c r="Z147" s="154">
        <v>1.0</v>
      </c>
      <c r="AA147" s="20">
        <f t="shared" si="49"/>
        <v>15</v>
      </c>
      <c r="AB147" s="21">
        <f t="shared" si="50"/>
        <v>0.6818181818</v>
      </c>
      <c r="AC147" s="2"/>
    </row>
    <row r="148">
      <c r="A148" s="153" t="s">
        <v>43</v>
      </c>
      <c r="B148" s="155">
        <f t="shared" ref="B148:Z148" si="51">SUM(B144:B147)</f>
        <v>0</v>
      </c>
      <c r="C148" s="155">
        <f t="shared" si="51"/>
        <v>0</v>
      </c>
      <c r="D148" s="155">
        <f t="shared" si="51"/>
        <v>0</v>
      </c>
      <c r="E148" s="155">
        <f t="shared" si="51"/>
        <v>4</v>
      </c>
      <c r="F148" s="155">
        <f t="shared" si="51"/>
        <v>4</v>
      </c>
      <c r="G148" s="155">
        <f t="shared" si="51"/>
        <v>2</v>
      </c>
      <c r="H148" s="155">
        <f t="shared" si="51"/>
        <v>0</v>
      </c>
      <c r="I148" s="155">
        <f t="shared" si="51"/>
        <v>0</v>
      </c>
      <c r="J148" s="155">
        <f t="shared" si="51"/>
        <v>1</v>
      </c>
      <c r="K148" s="155">
        <f t="shared" si="51"/>
        <v>3</v>
      </c>
      <c r="L148" s="155">
        <f t="shared" si="51"/>
        <v>3</v>
      </c>
      <c r="M148" s="155">
        <f t="shared" si="51"/>
        <v>1</v>
      </c>
      <c r="N148" s="155">
        <f t="shared" si="51"/>
        <v>1</v>
      </c>
      <c r="O148" s="155">
        <f t="shared" si="51"/>
        <v>4</v>
      </c>
      <c r="P148" s="155">
        <f t="shared" si="51"/>
        <v>1</v>
      </c>
      <c r="Q148" s="155">
        <f t="shared" si="51"/>
        <v>4</v>
      </c>
      <c r="R148" s="155">
        <f t="shared" si="51"/>
        <v>4</v>
      </c>
      <c r="S148" s="155">
        <f t="shared" si="51"/>
        <v>4</v>
      </c>
      <c r="T148" s="155">
        <f t="shared" si="51"/>
        <v>4</v>
      </c>
      <c r="U148" s="155">
        <f t="shared" si="51"/>
        <v>4</v>
      </c>
      <c r="V148" s="155">
        <f t="shared" si="51"/>
        <v>4</v>
      </c>
      <c r="W148" s="155">
        <f t="shared" si="51"/>
        <v>4</v>
      </c>
      <c r="X148" s="155">
        <f t="shared" si="51"/>
        <v>4</v>
      </c>
      <c r="Y148" s="155">
        <f t="shared" si="51"/>
        <v>4</v>
      </c>
      <c r="Z148" s="155">
        <f t="shared" si="51"/>
        <v>4</v>
      </c>
      <c r="AA148" s="20">
        <f t="shared" si="49"/>
        <v>64</v>
      </c>
      <c r="AB148" s="23"/>
      <c r="AC148" s="2"/>
    </row>
    <row r="149">
      <c r="A149" s="153" t="s">
        <v>38</v>
      </c>
      <c r="B149" s="156" t="str">
        <f t="shared" ref="B149:Z149" si="52">B148/(COUNT(B144:B147)*1)</f>
        <v>#DIV/0!</v>
      </c>
      <c r="C149" s="156" t="str">
        <f t="shared" si="52"/>
        <v>#DIV/0!</v>
      </c>
      <c r="D149" s="156" t="str">
        <f t="shared" si="52"/>
        <v>#DIV/0!</v>
      </c>
      <c r="E149" s="156">
        <f t="shared" si="52"/>
        <v>1</v>
      </c>
      <c r="F149" s="156">
        <f t="shared" si="52"/>
        <v>1</v>
      </c>
      <c r="G149" s="156">
        <f t="shared" si="52"/>
        <v>0.5</v>
      </c>
      <c r="H149" s="156">
        <f t="shared" si="52"/>
        <v>0</v>
      </c>
      <c r="I149" s="156">
        <f t="shared" si="52"/>
        <v>0</v>
      </c>
      <c r="J149" s="156">
        <f t="shared" si="52"/>
        <v>0.25</v>
      </c>
      <c r="K149" s="156">
        <f t="shared" si="52"/>
        <v>0.75</v>
      </c>
      <c r="L149" s="156">
        <f t="shared" si="52"/>
        <v>0.75</v>
      </c>
      <c r="M149" s="156">
        <f t="shared" si="52"/>
        <v>0.25</v>
      </c>
      <c r="N149" s="156">
        <f t="shared" si="52"/>
        <v>0.25</v>
      </c>
      <c r="O149" s="156">
        <f t="shared" si="52"/>
        <v>1</v>
      </c>
      <c r="P149" s="156">
        <f t="shared" si="52"/>
        <v>0.25</v>
      </c>
      <c r="Q149" s="156">
        <f t="shared" si="52"/>
        <v>1</v>
      </c>
      <c r="R149" s="156">
        <f t="shared" si="52"/>
        <v>1</v>
      </c>
      <c r="S149" s="156">
        <f t="shared" si="52"/>
        <v>1</v>
      </c>
      <c r="T149" s="156">
        <f t="shared" si="52"/>
        <v>1</v>
      </c>
      <c r="U149" s="156">
        <f t="shared" si="52"/>
        <v>1</v>
      </c>
      <c r="V149" s="156">
        <f t="shared" si="52"/>
        <v>1</v>
      </c>
      <c r="W149" s="156">
        <f t="shared" si="52"/>
        <v>1</v>
      </c>
      <c r="X149" s="156">
        <f t="shared" si="52"/>
        <v>1</v>
      </c>
      <c r="Y149" s="156">
        <f t="shared" si="52"/>
        <v>1</v>
      </c>
      <c r="Z149" s="156">
        <f t="shared" si="52"/>
        <v>1</v>
      </c>
      <c r="AA149" s="25"/>
      <c r="AB149" s="26">
        <f>SUM(AB144:AB147)/4</f>
        <v>0.7272727273</v>
      </c>
      <c r="AC149" s="2"/>
    </row>
    <row r="150">
      <c r="A150" s="157" t="s">
        <v>74</v>
      </c>
      <c r="B150" s="158"/>
      <c r="C150" s="159"/>
      <c r="D150" s="158"/>
      <c r="E150" s="158"/>
      <c r="F150" s="158"/>
      <c r="G150" s="159">
        <v>20.0</v>
      </c>
      <c r="H150" s="159">
        <v>20.0</v>
      </c>
      <c r="I150" s="159">
        <v>20.0</v>
      </c>
      <c r="J150" s="159">
        <v>20.0</v>
      </c>
      <c r="K150" s="159">
        <v>20.0</v>
      </c>
      <c r="L150" s="159">
        <v>20.0</v>
      </c>
      <c r="M150" s="159">
        <v>20.0</v>
      </c>
      <c r="N150" s="159">
        <v>20.0</v>
      </c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30">
        <f t="shared" ref="AA150:AA152" si="53">SUM(B150:Z150)</f>
        <v>160</v>
      </c>
      <c r="AB150" s="31"/>
      <c r="AC150" s="2"/>
    </row>
    <row r="151">
      <c r="A151" s="160" t="s">
        <v>45</v>
      </c>
      <c r="B151" s="161"/>
      <c r="C151" s="161"/>
      <c r="D151" s="161"/>
      <c r="E151" s="161"/>
      <c r="F151" s="161"/>
      <c r="G151" s="162"/>
      <c r="H151" s="162"/>
      <c r="I151" s="162"/>
      <c r="J151" s="162"/>
      <c r="K151" s="162"/>
      <c r="L151" s="162"/>
      <c r="M151" s="162"/>
      <c r="N151" s="162"/>
      <c r="O151" s="161"/>
      <c r="P151" s="161"/>
      <c r="Q151" s="161"/>
      <c r="R151" s="161"/>
      <c r="S151" s="161"/>
      <c r="T151" s="161"/>
      <c r="U151" s="161"/>
      <c r="V151" s="158"/>
      <c r="W151" s="158"/>
      <c r="X151" s="158"/>
      <c r="Y151" s="158"/>
      <c r="Z151" s="158"/>
      <c r="AA151" s="30">
        <f t="shared" si="53"/>
        <v>0</v>
      </c>
      <c r="AB151" s="31"/>
      <c r="AC151" s="9"/>
    </row>
    <row r="152">
      <c r="A152" s="160" t="s">
        <v>46</v>
      </c>
      <c r="B152" s="161"/>
      <c r="C152" s="161"/>
      <c r="D152" s="161"/>
      <c r="E152" s="161"/>
      <c r="F152" s="161"/>
      <c r="G152" s="162"/>
      <c r="H152" s="161"/>
      <c r="I152" s="161"/>
      <c r="J152" s="161"/>
      <c r="K152" s="161"/>
      <c r="L152" s="161"/>
      <c r="M152" s="161"/>
      <c r="N152" s="162"/>
      <c r="O152" s="161"/>
      <c r="P152" s="161"/>
      <c r="Q152" s="161"/>
      <c r="R152" s="161"/>
      <c r="S152" s="161"/>
      <c r="T152" s="161"/>
      <c r="U152" s="161"/>
      <c r="V152" s="158"/>
      <c r="W152" s="158"/>
      <c r="X152" s="158"/>
      <c r="Y152" s="158"/>
      <c r="Z152" s="158"/>
      <c r="AA152" s="30">
        <f t="shared" si="53"/>
        <v>0</v>
      </c>
      <c r="AB152" s="31"/>
      <c r="AC152" s="9"/>
    </row>
    <row r="153">
      <c r="A153" s="163" t="s">
        <v>47</v>
      </c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7"/>
      <c r="AA153" s="38"/>
      <c r="AB153" s="39"/>
      <c r="AC153" s="2"/>
    </row>
    <row r="154">
      <c r="A154" s="164" t="s">
        <v>48</v>
      </c>
      <c r="B154" s="165"/>
      <c r="C154" s="166"/>
      <c r="D154" s="165"/>
      <c r="E154" s="165"/>
      <c r="F154" s="165"/>
      <c r="G154" s="166">
        <v>1.0</v>
      </c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7"/>
      <c r="W154" s="167"/>
      <c r="X154" s="167"/>
      <c r="Y154" s="167"/>
      <c r="Z154" s="167"/>
      <c r="AA154" s="44">
        <f t="shared" ref="AA154:AA155" si="54">SUM(B154:Z154)</f>
        <v>1</v>
      </c>
      <c r="AB154" s="31"/>
      <c r="AC154" s="2"/>
    </row>
    <row r="155">
      <c r="A155" s="164" t="s">
        <v>49</v>
      </c>
      <c r="B155" s="165"/>
      <c r="C155" s="166"/>
      <c r="D155" s="165"/>
      <c r="E155" s="165"/>
      <c r="F155" s="165"/>
      <c r="G155" s="166">
        <v>20.0</v>
      </c>
      <c r="H155" s="166">
        <v>20.0</v>
      </c>
      <c r="I155" s="166">
        <v>20.0</v>
      </c>
      <c r="J155" s="166">
        <v>20.0</v>
      </c>
      <c r="K155" s="166">
        <v>20.0</v>
      </c>
      <c r="L155" s="166">
        <v>20.0</v>
      </c>
      <c r="M155" s="166">
        <v>20.0</v>
      </c>
      <c r="N155" s="166">
        <v>20.0</v>
      </c>
      <c r="O155" s="165"/>
      <c r="P155" s="165"/>
      <c r="Q155" s="165"/>
      <c r="R155" s="165"/>
      <c r="S155" s="165"/>
      <c r="T155" s="165"/>
      <c r="U155" s="165"/>
      <c r="V155" s="167"/>
      <c r="W155" s="167"/>
      <c r="X155" s="167"/>
      <c r="Y155" s="167"/>
      <c r="Z155" s="167"/>
      <c r="AA155" s="44">
        <f t="shared" si="54"/>
        <v>160</v>
      </c>
      <c r="AB155" s="31"/>
      <c r="AC155" s="2"/>
    </row>
    <row r="156">
      <c r="A156" s="164" t="s">
        <v>50</v>
      </c>
      <c r="B156" s="166"/>
      <c r="C156" s="166"/>
      <c r="D156" s="165"/>
      <c r="E156" s="165"/>
      <c r="F156" s="165"/>
      <c r="G156" s="166">
        <v>1.0</v>
      </c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7"/>
      <c r="W156" s="167"/>
      <c r="X156" s="167"/>
      <c r="Y156" s="167"/>
      <c r="Z156" s="167"/>
      <c r="AA156" s="44">
        <f>AVERAGE(B156:Z156)</f>
        <v>1</v>
      </c>
      <c r="AB156" s="31"/>
      <c r="AC156" s="2"/>
    </row>
    <row r="157">
      <c r="A157" s="168" t="s">
        <v>51</v>
      </c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7"/>
      <c r="AA157" s="46"/>
      <c r="AB157" s="39"/>
      <c r="AC157" s="2"/>
    </row>
    <row r="158">
      <c r="A158" s="169" t="s">
        <v>48</v>
      </c>
      <c r="B158" s="170"/>
      <c r="C158" s="154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1"/>
      <c r="W158" s="171"/>
      <c r="X158" s="171"/>
      <c r="Y158" s="171"/>
      <c r="Z158" s="171"/>
      <c r="AA158" s="51">
        <f t="shared" ref="AA158:AA159" si="55">SUM(B158:Z158)</f>
        <v>0</v>
      </c>
      <c r="AB158" s="31"/>
      <c r="AC158" s="2"/>
    </row>
    <row r="159">
      <c r="A159" s="169" t="s">
        <v>49</v>
      </c>
      <c r="B159" s="170"/>
      <c r="C159" s="154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0"/>
      <c r="V159" s="171"/>
      <c r="W159" s="171"/>
      <c r="X159" s="171"/>
      <c r="Y159" s="171"/>
      <c r="Z159" s="171"/>
      <c r="AA159" s="51">
        <f t="shared" si="55"/>
        <v>0</v>
      </c>
      <c r="AB159" s="31"/>
      <c r="AC159" s="2"/>
    </row>
    <row r="160">
      <c r="A160" s="169" t="s">
        <v>50</v>
      </c>
      <c r="B160" s="154"/>
      <c r="C160" s="154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0"/>
      <c r="V160" s="171"/>
      <c r="W160" s="171"/>
      <c r="X160" s="171"/>
      <c r="Y160" s="171"/>
      <c r="Z160" s="171"/>
      <c r="AA160" s="51" t="str">
        <f>AVERAGE(B160:Z160)</f>
        <v>#DIV/0!</v>
      </c>
      <c r="AB160" s="31"/>
      <c r="AC160" s="2"/>
    </row>
    <row r="161">
      <c r="A161" s="163" t="s">
        <v>53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7"/>
      <c r="AA161" s="38"/>
      <c r="AB161" s="39"/>
      <c r="AC161" s="2"/>
    </row>
    <row r="162">
      <c r="A162" s="164" t="s">
        <v>48</v>
      </c>
      <c r="B162" s="165"/>
      <c r="C162" s="166"/>
      <c r="D162" s="165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7"/>
      <c r="W162" s="167"/>
      <c r="X162" s="167"/>
      <c r="Y162" s="167"/>
      <c r="Z162" s="167"/>
      <c r="AA162" s="44">
        <f t="shared" ref="AA162:AA163" si="56">SUM(B162:Z162)</f>
        <v>0</v>
      </c>
      <c r="AB162" s="31"/>
      <c r="AC162" s="2"/>
    </row>
    <row r="163">
      <c r="A163" s="164" t="s">
        <v>49</v>
      </c>
      <c r="B163" s="165"/>
      <c r="C163" s="166"/>
      <c r="D163" s="165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7"/>
      <c r="W163" s="167"/>
      <c r="X163" s="167"/>
      <c r="Y163" s="167"/>
      <c r="Z163" s="167"/>
      <c r="AA163" s="44">
        <f t="shared" si="56"/>
        <v>0</v>
      </c>
      <c r="AB163" s="31"/>
      <c r="AC163" s="2"/>
    </row>
    <row r="164">
      <c r="A164" s="172" t="s">
        <v>50</v>
      </c>
      <c r="B164" s="173"/>
      <c r="C164" s="173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5"/>
      <c r="W164" s="175"/>
      <c r="X164" s="175"/>
      <c r="Y164" s="175"/>
      <c r="Z164" s="175"/>
      <c r="AA164" s="57" t="str">
        <f>AVERAGE(B164:Z164)</f>
        <v>#DIV/0!</v>
      </c>
      <c r="AB164" s="58"/>
      <c r="AC164" s="2"/>
    </row>
    <row r="165">
      <c r="A165" s="179"/>
      <c r="B165" s="180"/>
      <c r="C165" s="180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2"/>
      <c r="AB165" s="2"/>
      <c r="AC165" s="2"/>
    </row>
    <row r="166">
      <c r="A166" s="151">
        <v>45944.0</v>
      </c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" t="s">
        <v>37</v>
      </c>
      <c r="AB166" s="16" t="s">
        <v>38</v>
      </c>
      <c r="AC166" s="2"/>
    </row>
    <row r="167">
      <c r="A167" s="153" t="s">
        <v>39</v>
      </c>
      <c r="B167" s="154">
        <v>1.0</v>
      </c>
      <c r="C167" s="154">
        <v>1.0</v>
      </c>
      <c r="D167" s="154">
        <v>1.0</v>
      </c>
      <c r="E167" s="154">
        <v>1.0</v>
      </c>
      <c r="F167" s="154">
        <v>1.0</v>
      </c>
      <c r="G167" s="154">
        <v>1.0</v>
      </c>
      <c r="H167" s="154">
        <v>1.0</v>
      </c>
      <c r="I167" s="154">
        <v>1.0</v>
      </c>
      <c r="J167" s="154">
        <v>1.0</v>
      </c>
      <c r="K167" s="154">
        <v>1.0</v>
      </c>
      <c r="L167" s="154">
        <v>1.0</v>
      </c>
      <c r="M167" s="154">
        <v>1.0</v>
      </c>
      <c r="N167" s="154">
        <v>1.0</v>
      </c>
      <c r="O167" s="154">
        <v>1.0</v>
      </c>
      <c r="P167" s="154">
        <v>1.0</v>
      </c>
      <c r="Q167" s="154">
        <v>1.0</v>
      </c>
      <c r="R167" s="154">
        <v>0.0</v>
      </c>
      <c r="S167" s="154">
        <v>0.0</v>
      </c>
      <c r="T167" s="154">
        <v>1.0</v>
      </c>
      <c r="U167" s="154">
        <v>1.0</v>
      </c>
      <c r="V167" s="154">
        <v>1.0</v>
      </c>
      <c r="W167" s="154">
        <v>1.0</v>
      </c>
      <c r="X167" s="154">
        <v>1.0</v>
      </c>
      <c r="Y167" s="154">
        <v>1.0</v>
      </c>
      <c r="Z167" s="154">
        <v>1.0</v>
      </c>
      <c r="AA167" s="20">
        <f t="shared" ref="AA167:AA171" si="57">SUM(B167:Z167)</f>
        <v>23</v>
      </c>
      <c r="AB167" s="21">
        <f t="shared" ref="AB167:AB170" si="58">AA167/(COUNT(B167:Z167)*1)</f>
        <v>0.92</v>
      </c>
      <c r="AC167" s="2"/>
    </row>
    <row r="168">
      <c r="A168" s="153" t="s">
        <v>40</v>
      </c>
      <c r="B168" s="154">
        <v>1.0</v>
      </c>
      <c r="C168" s="154">
        <v>1.0</v>
      </c>
      <c r="D168" s="154">
        <v>1.0</v>
      </c>
      <c r="E168" s="154">
        <v>1.0</v>
      </c>
      <c r="F168" s="154">
        <v>1.0</v>
      </c>
      <c r="G168" s="154">
        <v>1.0</v>
      </c>
      <c r="H168" s="154">
        <v>1.0</v>
      </c>
      <c r="I168" s="154">
        <v>1.0</v>
      </c>
      <c r="J168" s="154">
        <v>1.0</v>
      </c>
      <c r="K168" s="154">
        <v>0.0</v>
      </c>
      <c r="L168" s="154">
        <v>1.0</v>
      </c>
      <c r="M168" s="154">
        <v>1.0</v>
      </c>
      <c r="N168" s="154">
        <v>1.0</v>
      </c>
      <c r="O168" s="154">
        <v>1.0</v>
      </c>
      <c r="P168" s="154">
        <v>1.0</v>
      </c>
      <c r="Q168" s="154">
        <v>1.0</v>
      </c>
      <c r="R168" s="154">
        <v>1.0</v>
      </c>
      <c r="S168" s="154">
        <v>1.0</v>
      </c>
      <c r="T168" s="154">
        <v>1.0</v>
      </c>
      <c r="U168" s="154">
        <v>1.0</v>
      </c>
      <c r="V168" s="154">
        <v>1.0</v>
      </c>
      <c r="W168" s="154">
        <v>1.0</v>
      </c>
      <c r="X168" s="154">
        <v>1.0</v>
      </c>
      <c r="Y168" s="154">
        <v>1.0</v>
      </c>
      <c r="Z168" s="154">
        <v>1.0</v>
      </c>
      <c r="AA168" s="20">
        <f t="shared" si="57"/>
        <v>24</v>
      </c>
      <c r="AB168" s="21">
        <f t="shared" si="58"/>
        <v>0.96</v>
      </c>
      <c r="AC168" s="2"/>
    </row>
    <row r="169">
      <c r="A169" s="153" t="s">
        <v>41</v>
      </c>
      <c r="B169" s="154">
        <v>1.0</v>
      </c>
      <c r="C169" s="154">
        <v>1.0</v>
      </c>
      <c r="D169" s="154">
        <v>1.0</v>
      </c>
      <c r="E169" s="154">
        <v>1.0</v>
      </c>
      <c r="F169" s="154">
        <v>1.0</v>
      </c>
      <c r="G169" s="154">
        <v>1.0</v>
      </c>
      <c r="H169" s="154">
        <v>1.0</v>
      </c>
      <c r="I169" s="154">
        <v>0.0</v>
      </c>
      <c r="J169" s="154">
        <v>1.0</v>
      </c>
      <c r="K169" s="154">
        <v>0.0</v>
      </c>
      <c r="L169" s="154">
        <v>1.0</v>
      </c>
      <c r="M169" s="154">
        <v>1.0</v>
      </c>
      <c r="N169" s="154">
        <v>1.0</v>
      </c>
      <c r="O169" s="154">
        <v>1.0</v>
      </c>
      <c r="P169" s="154">
        <v>1.0</v>
      </c>
      <c r="Q169" s="154">
        <v>1.0</v>
      </c>
      <c r="R169" s="154">
        <v>1.0</v>
      </c>
      <c r="S169" s="154">
        <v>1.0</v>
      </c>
      <c r="T169" s="154">
        <v>1.0</v>
      </c>
      <c r="U169" s="154">
        <v>0.0</v>
      </c>
      <c r="V169" s="154">
        <v>0.0</v>
      </c>
      <c r="W169" s="154">
        <v>1.0</v>
      </c>
      <c r="X169" s="154">
        <v>1.0</v>
      </c>
      <c r="Y169" s="154">
        <v>1.0</v>
      </c>
      <c r="Z169" s="154">
        <v>1.0</v>
      </c>
      <c r="AA169" s="20">
        <f t="shared" si="57"/>
        <v>21</v>
      </c>
      <c r="AB169" s="21">
        <f t="shared" si="58"/>
        <v>0.84</v>
      </c>
      <c r="AC169" s="2"/>
    </row>
    <row r="170">
      <c r="A170" s="153" t="s">
        <v>42</v>
      </c>
      <c r="B170" s="154">
        <v>1.0</v>
      </c>
      <c r="C170" s="154">
        <v>1.0</v>
      </c>
      <c r="D170" s="154">
        <v>1.0</v>
      </c>
      <c r="E170" s="154">
        <v>1.0</v>
      </c>
      <c r="F170" s="154">
        <v>1.0</v>
      </c>
      <c r="G170" s="154">
        <v>1.0</v>
      </c>
      <c r="H170" s="154">
        <v>1.0</v>
      </c>
      <c r="I170" s="154">
        <v>1.0</v>
      </c>
      <c r="J170" s="154">
        <v>1.0</v>
      </c>
      <c r="K170" s="154">
        <v>1.0</v>
      </c>
      <c r="L170" s="154">
        <v>1.0</v>
      </c>
      <c r="M170" s="154">
        <v>1.0</v>
      </c>
      <c r="N170" s="154">
        <v>1.0</v>
      </c>
      <c r="O170" s="154">
        <v>1.0</v>
      </c>
      <c r="P170" s="154">
        <v>1.0</v>
      </c>
      <c r="Q170" s="154">
        <v>1.0</v>
      </c>
      <c r="R170" s="154">
        <v>1.0</v>
      </c>
      <c r="S170" s="154">
        <v>0.0</v>
      </c>
      <c r="T170" s="154">
        <v>1.0</v>
      </c>
      <c r="U170" s="154">
        <v>0.0</v>
      </c>
      <c r="V170" s="154">
        <v>1.0</v>
      </c>
      <c r="W170" s="154">
        <v>1.0</v>
      </c>
      <c r="X170" s="154">
        <v>1.0</v>
      </c>
      <c r="Y170" s="154">
        <v>1.0</v>
      </c>
      <c r="Z170" s="154">
        <v>1.0</v>
      </c>
      <c r="AA170" s="20">
        <f t="shared" si="57"/>
        <v>23</v>
      </c>
      <c r="AB170" s="21">
        <f t="shared" si="58"/>
        <v>0.92</v>
      </c>
      <c r="AC170" s="2"/>
    </row>
    <row r="171">
      <c r="A171" s="153" t="s">
        <v>43</v>
      </c>
      <c r="B171" s="155">
        <f t="shared" ref="B171:Z171" si="59">SUM(B167:B170)</f>
        <v>4</v>
      </c>
      <c r="C171" s="155">
        <f t="shared" si="59"/>
        <v>4</v>
      </c>
      <c r="D171" s="155">
        <f t="shared" si="59"/>
        <v>4</v>
      </c>
      <c r="E171" s="155">
        <f t="shared" si="59"/>
        <v>4</v>
      </c>
      <c r="F171" s="155">
        <f t="shared" si="59"/>
        <v>4</v>
      </c>
      <c r="G171" s="155">
        <f t="shared" si="59"/>
        <v>4</v>
      </c>
      <c r="H171" s="155">
        <f t="shared" si="59"/>
        <v>4</v>
      </c>
      <c r="I171" s="155">
        <f t="shared" si="59"/>
        <v>3</v>
      </c>
      <c r="J171" s="155">
        <f t="shared" si="59"/>
        <v>4</v>
      </c>
      <c r="K171" s="155">
        <f t="shared" si="59"/>
        <v>2</v>
      </c>
      <c r="L171" s="155">
        <f t="shared" si="59"/>
        <v>4</v>
      </c>
      <c r="M171" s="155">
        <f t="shared" si="59"/>
        <v>4</v>
      </c>
      <c r="N171" s="155">
        <f t="shared" si="59"/>
        <v>4</v>
      </c>
      <c r="O171" s="155">
        <f t="shared" si="59"/>
        <v>4</v>
      </c>
      <c r="P171" s="155">
        <f t="shared" si="59"/>
        <v>4</v>
      </c>
      <c r="Q171" s="155">
        <f t="shared" si="59"/>
        <v>4</v>
      </c>
      <c r="R171" s="155">
        <f t="shared" si="59"/>
        <v>3</v>
      </c>
      <c r="S171" s="155">
        <f t="shared" si="59"/>
        <v>2</v>
      </c>
      <c r="T171" s="155">
        <f t="shared" si="59"/>
        <v>4</v>
      </c>
      <c r="U171" s="155">
        <f t="shared" si="59"/>
        <v>2</v>
      </c>
      <c r="V171" s="155">
        <f t="shared" si="59"/>
        <v>3</v>
      </c>
      <c r="W171" s="155">
        <f t="shared" si="59"/>
        <v>4</v>
      </c>
      <c r="X171" s="155">
        <f t="shared" si="59"/>
        <v>4</v>
      </c>
      <c r="Y171" s="155">
        <f t="shared" si="59"/>
        <v>4</v>
      </c>
      <c r="Z171" s="155">
        <f t="shared" si="59"/>
        <v>4</v>
      </c>
      <c r="AA171" s="20">
        <f t="shared" si="57"/>
        <v>91</v>
      </c>
      <c r="AB171" s="23"/>
      <c r="AC171" s="2"/>
    </row>
    <row r="172">
      <c r="A172" s="153" t="s">
        <v>38</v>
      </c>
      <c r="B172" s="156">
        <f t="shared" ref="B172:Z172" si="60">B171/(COUNT(B167:B170)*1)</f>
        <v>1</v>
      </c>
      <c r="C172" s="156">
        <f t="shared" si="60"/>
        <v>1</v>
      </c>
      <c r="D172" s="156">
        <f t="shared" si="60"/>
        <v>1</v>
      </c>
      <c r="E172" s="156">
        <f t="shared" si="60"/>
        <v>1</v>
      </c>
      <c r="F172" s="156">
        <f t="shared" si="60"/>
        <v>1</v>
      </c>
      <c r="G172" s="156">
        <f t="shared" si="60"/>
        <v>1</v>
      </c>
      <c r="H172" s="156">
        <f t="shared" si="60"/>
        <v>1</v>
      </c>
      <c r="I172" s="156">
        <f t="shared" si="60"/>
        <v>0.75</v>
      </c>
      <c r="J172" s="156">
        <f t="shared" si="60"/>
        <v>1</v>
      </c>
      <c r="K172" s="156">
        <f t="shared" si="60"/>
        <v>0.5</v>
      </c>
      <c r="L172" s="156">
        <f t="shared" si="60"/>
        <v>1</v>
      </c>
      <c r="M172" s="156">
        <f t="shared" si="60"/>
        <v>1</v>
      </c>
      <c r="N172" s="156">
        <f t="shared" si="60"/>
        <v>1</v>
      </c>
      <c r="O172" s="156">
        <f t="shared" si="60"/>
        <v>1</v>
      </c>
      <c r="P172" s="156">
        <f t="shared" si="60"/>
        <v>1</v>
      </c>
      <c r="Q172" s="156">
        <f t="shared" si="60"/>
        <v>1</v>
      </c>
      <c r="R172" s="156">
        <f t="shared" si="60"/>
        <v>0.75</v>
      </c>
      <c r="S172" s="156">
        <f t="shared" si="60"/>
        <v>0.5</v>
      </c>
      <c r="T172" s="156">
        <f t="shared" si="60"/>
        <v>1</v>
      </c>
      <c r="U172" s="156">
        <f t="shared" si="60"/>
        <v>0.5</v>
      </c>
      <c r="V172" s="156">
        <f t="shared" si="60"/>
        <v>0.75</v>
      </c>
      <c r="W172" s="156">
        <f t="shared" si="60"/>
        <v>1</v>
      </c>
      <c r="X172" s="156">
        <f t="shared" si="60"/>
        <v>1</v>
      </c>
      <c r="Y172" s="156">
        <f t="shared" si="60"/>
        <v>1</v>
      </c>
      <c r="Z172" s="156">
        <f t="shared" si="60"/>
        <v>1</v>
      </c>
      <c r="AA172" s="25"/>
      <c r="AB172" s="26">
        <f>SUM(AB167:AB170)/4</f>
        <v>0.91</v>
      </c>
      <c r="AC172" s="2"/>
    </row>
    <row r="173">
      <c r="A173" s="157" t="s">
        <v>74</v>
      </c>
      <c r="B173" s="158"/>
      <c r="C173" s="159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9">
        <v>20.0</v>
      </c>
      <c r="R173" s="159">
        <v>20.0</v>
      </c>
      <c r="S173" s="158"/>
      <c r="T173" s="158"/>
      <c r="U173" s="158"/>
      <c r="V173" s="158"/>
      <c r="W173" s="158"/>
      <c r="X173" s="158"/>
      <c r="Y173" s="158"/>
      <c r="Z173" s="158"/>
      <c r="AA173" s="30">
        <f t="shared" ref="AA173:AA175" si="61">SUM(B173:Z173)</f>
        <v>40</v>
      </c>
      <c r="AB173" s="31"/>
      <c r="AC173" s="2"/>
    </row>
    <row r="174">
      <c r="A174" s="160" t="s">
        <v>45</v>
      </c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58"/>
      <c r="W174" s="158"/>
      <c r="X174" s="158"/>
      <c r="Y174" s="158"/>
      <c r="Z174" s="158"/>
      <c r="AA174" s="30">
        <f t="shared" si="61"/>
        <v>0</v>
      </c>
      <c r="AB174" s="31"/>
      <c r="AC174" s="9"/>
    </row>
    <row r="175">
      <c r="A175" s="160" t="s">
        <v>46</v>
      </c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58"/>
      <c r="W175" s="158"/>
      <c r="X175" s="158"/>
      <c r="Y175" s="158"/>
      <c r="Z175" s="158"/>
      <c r="AA175" s="30">
        <f t="shared" si="61"/>
        <v>0</v>
      </c>
      <c r="AB175" s="31"/>
      <c r="AC175" s="9"/>
    </row>
    <row r="176">
      <c r="A176" s="163" t="s">
        <v>47</v>
      </c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7"/>
      <c r="AA176" s="38"/>
      <c r="AB176" s="39"/>
      <c r="AC176" s="2"/>
    </row>
    <row r="177">
      <c r="A177" s="164" t="s">
        <v>48</v>
      </c>
      <c r="B177" s="165"/>
      <c r="C177" s="166"/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6">
        <v>1.0</v>
      </c>
      <c r="R177" s="165"/>
      <c r="S177" s="165"/>
      <c r="T177" s="165"/>
      <c r="U177" s="165"/>
      <c r="V177" s="167"/>
      <c r="W177" s="167"/>
      <c r="X177" s="167"/>
      <c r="Y177" s="167"/>
      <c r="Z177" s="167"/>
      <c r="AA177" s="44">
        <f t="shared" ref="AA177:AA178" si="62">SUM(B177:Z177)</f>
        <v>1</v>
      </c>
      <c r="AB177" s="31"/>
      <c r="AC177" s="2"/>
    </row>
    <row r="178">
      <c r="A178" s="164" t="s">
        <v>49</v>
      </c>
      <c r="B178" s="165"/>
      <c r="C178" s="166"/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6">
        <v>20.0</v>
      </c>
      <c r="R178" s="166">
        <v>20.0</v>
      </c>
      <c r="S178" s="165"/>
      <c r="T178" s="165"/>
      <c r="U178" s="165"/>
      <c r="V178" s="167"/>
      <c r="W178" s="167"/>
      <c r="X178" s="167"/>
      <c r="Y178" s="167"/>
      <c r="Z178" s="167"/>
      <c r="AA178" s="44">
        <f t="shared" si="62"/>
        <v>40</v>
      </c>
      <c r="AB178" s="31"/>
      <c r="AC178" s="2"/>
    </row>
    <row r="179">
      <c r="A179" s="164" t="s">
        <v>50</v>
      </c>
      <c r="B179" s="166"/>
      <c r="C179" s="166"/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6">
        <v>1.0</v>
      </c>
      <c r="R179" s="165"/>
      <c r="S179" s="165"/>
      <c r="T179" s="165"/>
      <c r="U179" s="165"/>
      <c r="V179" s="167"/>
      <c r="W179" s="167"/>
      <c r="X179" s="167"/>
      <c r="Y179" s="167"/>
      <c r="Z179" s="167"/>
      <c r="AA179" s="44">
        <f>AVERAGE(B179:Z179)</f>
        <v>1</v>
      </c>
      <c r="AB179" s="31"/>
      <c r="AC179" s="2"/>
    </row>
    <row r="180">
      <c r="A180" s="168" t="s">
        <v>51</v>
      </c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7"/>
      <c r="AA180" s="46"/>
      <c r="AB180" s="39"/>
      <c r="AC180" s="2"/>
    </row>
    <row r="181">
      <c r="A181" s="169" t="s">
        <v>48</v>
      </c>
      <c r="B181" s="170"/>
      <c r="C181" s="154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54"/>
      <c r="R181" s="170"/>
      <c r="S181" s="170"/>
      <c r="T181" s="170"/>
      <c r="U181" s="170"/>
      <c r="V181" s="171"/>
      <c r="W181" s="171"/>
      <c r="X181" s="171"/>
      <c r="Y181" s="171"/>
      <c r="Z181" s="171"/>
      <c r="AA181" s="51">
        <f t="shared" ref="AA181:AA182" si="63">SUM(B181:Z181)</f>
        <v>0</v>
      </c>
      <c r="AB181" s="31"/>
      <c r="AC181" s="2"/>
    </row>
    <row r="182">
      <c r="A182" s="169" t="s">
        <v>49</v>
      </c>
      <c r="B182" s="170"/>
      <c r="C182" s="154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54"/>
      <c r="R182" s="154"/>
      <c r="S182" s="170"/>
      <c r="T182" s="170"/>
      <c r="U182" s="170"/>
      <c r="V182" s="171"/>
      <c r="W182" s="171"/>
      <c r="X182" s="171"/>
      <c r="Y182" s="171"/>
      <c r="Z182" s="171"/>
      <c r="AA182" s="51">
        <f t="shared" si="63"/>
        <v>0</v>
      </c>
      <c r="AB182" s="31"/>
      <c r="AC182" s="2"/>
    </row>
    <row r="183">
      <c r="A183" s="169" t="s">
        <v>50</v>
      </c>
      <c r="B183" s="154"/>
      <c r="C183" s="154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54"/>
      <c r="R183" s="170"/>
      <c r="S183" s="170"/>
      <c r="T183" s="170"/>
      <c r="U183" s="170"/>
      <c r="V183" s="171"/>
      <c r="W183" s="171"/>
      <c r="X183" s="171"/>
      <c r="Y183" s="171"/>
      <c r="Z183" s="171"/>
      <c r="AA183" s="51" t="str">
        <f>AVERAGE(B183:Z183)</f>
        <v>#DIV/0!</v>
      </c>
      <c r="AB183" s="31"/>
      <c r="AC183" s="2"/>
    </row>
    <row r="184">
      <c r="A184" s="163" t="s">
        <v>53</v>
      </c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7"/>
      <c r="AA184" s="38"/>
      <c r="AB184" s="39"/>
      <c r="AC184" s="2"/>
    </row>
    <row r="185">
      <c r="A185" s="164" t="s">
        <v>48</v>
      </c>
      <c r="B185" s="165"/>
      <c r="C185" s="166"/>
      <c r="D185" s="165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7"/>
      <c r="W185" s="167"/>
      <c r="X185" s="167"/>
      <c r="Y185" s="167"/>
      <c r="Z185" s="167"/>
      <c r="AA185" s="44">
        <f t="shared" ref="AA185:AA186" si="64">SUM(B185:Z185)</f>
        <v>0</v>
      </c>
      <c r="AB185" s="31"/>
      <c r="AC185" s="2"/>
    </row>
    <row r="186">
      <c r="A186" s="164" t="s">
        <v>49</v>
      </c>
      <c r="B186" s="165"/>
      <c r="C186" s="166"/>
      <c r="D186" s="165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7"/>
      <c r="W186" s="167"/>
      <c r="X186" s="167"/>
      <c r="Y186" s="167"/>
      <c r="Z186" s="167"/>
      <c r="AA186" s="44">
        <f t="shared" si="64"/>
        <v>0</v>
      </c>
      <c r="AB186" s="31"/>
      <c r="AC186" s="2"/>
    </row>
    <row r="187">
      <c r="A187" s="172" t="s">
        <v>50</v>
      </c>
      <c r="B187" s="173"/>
      <c r="C187" s="173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5"/>
      <c r="W187" s="175"/>
      <c r="X187" s="175"/>
      <c r="Y187" s="175"/>
      <c r="Z187" s="175"/>
      <c r="AA187" s="57" t="str">
        <f>AVERAGE(B187:Z187)</f>
        <v>#DIV/0!</v>
      </c>
      <c r="AB187" s="58"/>
      <c r="AC187" s="2"/>
    </row>
    <row r="188" ht="15.75" customHeight="1">
      <c r="A188" s="176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  <c r="AA188" s="59"/>
      <c r="AB188" s="59"/>
      <c r="AC188" s="2"/>
    </row>
    <row r="189">
      <c r="A189" s="151">
        <v>45946.0</v>
      </c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" t="s">
        <v>37</v>
      </c>
      <c r="AB189" s="16" t="s">
        <v>38</v>
      </c>
      <c r="AC189" s="2"/>
    </row>
    <row r="190">
      <c r="A190" s="153" t="s">
        <v>39</v>
      </c>
      <c r="B190" s="154">
        <v>1.0</v>
      </c>
      <c r="C190" s="154">
        <v>1.0</v>
      </c>
      <c r="D190" s="154">
        <v>1.0</v>
      </c>
      <c r="E190" s="154">
        <v>1.0</v>
      </c>
      <c r="F190" s="154">
        <v>1.0</v>
      </c>
      <c r="G190" s="154">
        <v>1.0</v>
      </c>
      <c r="H190" s="154">
        <v>1.0</v>
      </c>
      <c r="I190" s="154">
        <v>0.0</v>
      </c>
      <c r="J190" s="154">
        <v>0.0</v>
      </c>
      <c r="K190" s="154">
        <v>0.0</v>
      </c>
      <c r="L190" s="154">
        <v>0.0</v>
      </c>
      <c r="M190" s="154">
        <v>0.0</v>
      </c>
      <c r="N190" s="154">
        <v>0.0</v>
      </c>
      <c r="O190" s="154">
        <v>1.0</v>
      </c>
      <c r="P190" s="154">
        <v>1.0</v>
      </c>
      <c r="Q190" s="154">
        <v>0.0</v>
      </c>
      <c r="R190" s="154">
        <v>1.0</v>
      </c>
      <c r="S190" s="154">
        <v>1.0</v>
      </c>
      <c r="T190" s="154">
        <v>1.0</v>
      </c>
      <c r="U190" s="154">
        <v>1.0</v>
      </c>
      <c r="V190" s="154">
        <v>1.0</v>
      </c>
      <c r="W190" s="154">
        <v>1.0</v>
      </c>
      <c r="X190" s="154">
        <v>1.0</v>
      </c>
      <c r="Y190" s="154"/>
      <c r="Z190" s="154"/>
      <c r="AA190" s="20">
        <f t="shared" ref="AA190:AA194" si="65">SUM(B190:Z190)</f>
        <v>16</v>
      </c>
      <c r="AB190" s="21">
        <f t="shared" ref="AB190:AB193" si="66">AA190/(COUNT(B190:Z190)*1)</f>
        <v>0.6956521739</v>
      </c>
      <c r="AC190" s="2"/>
    </row>
    <row r="191">
      <c r="A191" s="153" t="s">
        <v>40</v>
      </c>
      <c r="B191" s="154">
        <v>1.0</v>
      </c>
      <c r="C191" s="154">
        <v>1.0</v>
      </c>
      <c r="D191" s="154">
        <v>1.0</v>
      </c>
      <c r="E191" s="154">
        <v>1.0</v>
      </c>
      <c r="F191" s="154">
        <v>1.0</v>
      </c>
      <c r="G191" s="154">
        <v>1.0</v>
      </c>
      <c r="H191" s="154">
        <v>1.0</v>
      </c>
      <c r="I191" s="154">
        <v>1.0</v>
      </c>
      <c r="J191" s="154">
        <v>1.0</v>
      </c>
      <c r="K191" s="154">
        <v>1.0</v>
      </c>
      <c r="L191" s="154">
        <v>1.0</v>
      </c>
      <c r="M191" s="154">
        <v>1.0</v>
      </c>
      <c r="N191" s="154">
        <v>1.0</v>
      </c>
      <c r="O191" s="154">
        <v>1.0</v>
      </c>
      <c r="P191" s="154">
        <v>1.0</v>
      </c>
      <c r="Q191" s="154">
        <v>1.0</v>
      </c>
      <c r="R191" s="154">
        <v>1.0</v>
      </c>
      <c r="S191" s="154">
        <v>1.0</v>
      </c>
      <c r="T191" s="154">
        <v>1.0</v>
      </c>
      <c r="U191" s="154">
        <v>1.0</v>
      </c>
      <c r="V191" s="154">
        <v>1.0</v>
      </c>
      <c r="W191" s="154">
        <v>1.0</v>
      </c>
      <c r="X191" s="154">
        <v>1.0</v>
      </c>
      <c r="Y191" s="154"/>
      <c r="Z191" s="154"/>
      <c r="AA191" s="20">
        <f t="shared" si="65"/>
        <v>23</v>
      </c>
      <c r="AB191" s="21">
        <f t="shared" si="66"/>
        <v>1</v>
      </c>
      <c r="AC191" s="2"/>
    </row>
    <row r="192">
      <c r="A192" s="153" t="s">
        <v>41</v>
      </c>
      <c r="B192" s="154">
        <v>1.0</v>
      </c>
      <c r="C192" s="154">
        <v>1.0</v>
      </c>
      <c r="D192" s="154">
        <v>1.0</v>
      </c>
      <c r="E192" s="154">
        <v>1.0</v>
      </c>
      <c r="F192" s="154">
        <v>1.0</v>
      </c>
      <c r="G192" s="154">
        <v>1.0</v>
      </c>
      <c r="H192" s="154">
        <v>1.0</v>
      </c>
      <c r="I192" s="154">
        <v>1.0</v>
      </c>
      <c r="J192" s="154">
        <v>1.0</v>
      </c>
      <c r="K192" s="154">
        <v>1.0</v>
      </c>
      <c r="L192" s="154">
        <v>1.0</v>
      </c>
      <c r="M192" s="154">
        <v>0.0</v>
      </c>
      <c r="N192" s="154">
        <v>0.0</v>
      </c>
      <c r="O192" s="154">
        <v>1.0</v>
      </c>
      <c r="P192" s="154">
        <v>1.0</v>
      </c>
      <c r="Q192" s="154">
        <v>1.0</v>
      </c>
      <c r="R192" s="154">
        <v>1.0</v>
      </c>
      <c r="S192" s="154">
        <v>1.0</v>
      </c>
      <c r="T192" s="154">
        <v>1.0</v>
      </c>
      <c r="U192" s="154">
        <v>1.0</v>
      </c>
      <c r="V192" s="154">
        <v>1.0</v>
      </c>
      <c r="W192" s="154">
        <v>0.0</v>
      </c>
      <c r="X192" s="154">
        <v>0.0</v>
      </c>
      <c r="Y192" s="154"/>
      <c r="Z192" s="154"/>
      <c r="AA192" s="20">
        <f t="shared" si="65"/>
        <v>19</v>
      </c>
      <c r="AB192" s="21">
        <f t="shared" si="66"/>
        <v>0.8260869565</v>
      </c>
      <c r="AC192" s="2"/>
    </row>
    <row r="193">
      <c r="A193" s="153" t="s">
        <v>42</v>
      </c>
      <c r="B193" s="154">
        <v>1.0</v>
      </c>
      <c r="C193" s="154">
        <v>1.0</v>
      </c>
      <c r="D193" s="154">
        <v>1.0</v>
      </c>
      <c r="E193" s="154">
        <v>1.0</v>
      </c>
      <c r="F193" s="154">
        <v>1.0</v>
      </c>
      <c r="G193" s="154">
        <v>1.0</v>
      </c>
      <c r="H193" s="154">
        <v>1.0</v>
      </c>
      <c r="I193" s="154">
        <v>0.0</v>
      </c>
      <c r="J193" s="154">
        <v>0.0</v>
      </c>
      <c r="K193" s="154">
        <v>0.0</v>
      </c>
      <c r="L193" s="154">
        <v>0.0</v>
      </c>
      <c r="M193" s="154">
        <v>0.0</v>
      </c>
      <c r="N193" s="154">
        <v>0.0</v>
      </c>
      <c r="O193" s="154">
        <v>1.0</v>
      </c>
      <c r="P193" s="154">
        <v>1.0</v>
      </c>
      <c r="Q193" s="154">
        <v>1.0</v>
      </c>
      <c r="R193" s="154">
        <v>1.0</v>
      </c>
      <c r="S193" s="154">
        <v>0.0</v>
      </c>
      <c r="T193" s="154">
        <v>1.0</v>
      </c>
      <c r="U193" s="154">
        <v>1.0</v>
      </c>
      <c r="V193" s="154">
        <v>1.0</v>
      </c>
      <c r="W193" s="154">
        <v>1.0</v>
      </c>
      <c r="X193" s="154">
        <v>1.0</v>
      </c>
      <c r="Y193" s="154"/>
      <c r="Z193" s="154"/>
      <c r="AA193" s="20">
        <f t="shared" si="65"/>
        <v>16</v>
      </c>
      <c r="AB193" s="21">
        <f t="shared" si="66"/>
        <v>0.6956521739</v>
      </c>
      <c r="AC193" s="2"/>
    </row>
    <row r="194">
      <c r="A194" s="153" t="s">
        <v>43</v>
      </c>
      <c r="B194" s="155">
        <f t="shared" ref="B194:Z194" si="67">SUM(B190:B193)</f>
        <v>4</v>
      </c>
      <c r="C194" s="155">
        <f t="shared" si="67"/>
        <v>4</v>
      </c>
      <c r="D194" s="155">
        <f t="shared" si="67"/>
        <v>4</v>
      </c>
      <c r="E194" s="155">
        <f t="shared" si="67"/>
        <v>4</v>
      </c>
      <c r="F194" s="155">
        <f t="shared" si="67"/>
        <v>4</v>
      </c>
      <c r="G194" s="155">
        <f t="shared" si="67"/>
        <v>4</v>
      </c>
      <c r="H194" s="155">
        <f t="shared" si="67"/>
        <v>4</v>
      </c>
      <c r="I194" s="155">
        <f t="shared" si="67"/>
        <v>2</v>
      </c>
      <c r="J194" s="155">
        <f t="shared" si="67"/>
        <v>2</v>
      </c>
      <c r="K194" s="155">
        <f t="shared" si="67"/>
        <v>2</v>
      </c>
      <c r="L194" s="155">
        <f t="shared" si="67"/>
        <v>2</v>
      </c>
      <c r="M194" s="155">
        <f t="shared" si="67"/>
        <v>1</v>
      </c>
      <c r="N194" s="155">
        <f t="shared" si="67"/>
        <v>1</v>
      </c>
      <c r="O194" s="155">
        <f t="shared" si="67"/>
        <v>4</v>
      </c>
      <c r="P194" s="155">
        <f t="shared" si="67"/>
        <v>4</v>
      </c>
      <c r="Q194" s="155">
        <f t="shared" si="67"/>
        <v>3</v>
      </c>
      <c r="R194" s="155">
        <f t="shared" si="67"/>
        <v>4</v>
      </c>
      <c r="S194" s="155">
        <f t="shared" si="67"/>
        <v>3</v>
      </c>
      <c r="T194" s="155">
        <f t="shared" si="67"/>
        <v>4</v>
      </c>
      <c r="U194" s="155">
        <f t="shared" si="67"/>
        <v>4</v>
      </c>
      <c r="V194" s="155">
        <f t="shared" si="67"/>
        <v>4</v>
      </c>
      <c r="W194" s="155">
        <f t="shared" si="67"/>
        <v>3</v>
      </c>
      <c r="X194" s="155">
        <f t="shared" si="67"/>
        <v>3</v>
      </c>
      <c r="Y194" s="155">
        <f t="shared" si="67"/>
        <v>0</v>
      </c>
      <c r="Z194" s="155">
        <f t="shared" si="67"/>
        <v>0</v>
      </c>
      <c r="AA194" s="20">
        <f t="shared" si="65"/>
        <v>74</v>
      </c>
      <c r="AB194" s="23"/>
      <c r="AC194" s="2"/>
    </row>
    <row r="195">
      <c r="A195" s="153" t="s">
        <v>38</v>
      </c>
      <c r="B195" s="156">
        <f t="shared" ref="B195:Z195" si="68">B194/(COUNT(B190:B193)*1)</f>
        <v>1</v>
      </c>
      <c r="C195" s="156">
        <f t="shared" si="68"/>
        <v>1</v>
      </c>
      <c r="D195" s="156">
        <f t="shared" si="68"/>
        <v>1</v>
      </c>
      <c r="E195" s="156">
        <f t="shared" si="68"/>
        <v>1</v>
      </c>
      <c r="F195" s="156">
        <f t="shared" si="68"/>
        <v>1</v>
      </c>
      <c r="G195" s="156">
        <f t="shared" si="68"/>
        <v>1</v>
      </c>
      <c r="H195" s="156">
        <f t="shared" si="68"/>
        <v>1</v>
      </c>
      <c r="I195" s="156">
        <f t="shared" si="68"/>
        <v>0.5</v>
      </c>
      <c r="J195" s="156">
        <f t="shared" si="68"/>
        <v>0.5</v>
      </c>
      <c r="K195" s="156">
        <f t="shared" si="68"/>
        <v>0.5</v>
      </c>
      <c r="L195" s="156">
        <f t="shared" si="68"/>
        <v>0.5</v>
      </c>
      <c r="M195" s="156">
        <f t="shared" si="68"/>
        <v>0.25</v>
      </c>
      <c r="N195" s="156">
        <f t="shared" si="68"/>
        <v>0.25</v>
      </c>
      <c r="O195" s="156">
        <f t="shared" si="68"/>
        <v>1</v>
      </c>
      <c r="P195" s="156">
        <f t="shared" si="68"/>
        <v>1</v>
      </c>
      <c r="Q195" s="156">
        <f t="shared" si="68"/>
        <v>0.75</v>
      </c>
      <c r="R195" s="156">
        <f t="shared" si="68"/>
        <v>1</v>
      </c>
      <c r="S195" s="156">
        <f t="shared" si="68"/>
        <v>0.75</v>
      </c>
      <c r="T195" s="156">
        <f t="shared" si="68"/>
        <v>1</v>
      </c>
      <c r="U195" s="156">
        <f t="shared" si="68"/>
        <v>1</v>
      </c>
      <c r="V195" s="156">
        <f t="shared" si="68"/>
        <v>1</v>
      </c>
      <c r="W195" s="156">
        <f t="shared" si="68"/>
        <v>0.75</v>
      </c>
      <c r="X195" s="156">
        <f t="shared" si="68"/>
        <v>0.75</v>
      </c>
      <c r="Y195" s="156" t="str">
        <f t="shared" si="68"/>
        <v>#DIV/0!</v>
      </c>
      <c r="Z195" s="156" t="str">
        <f t="shared" si="68"/>
        <v>#DIV/0!</v>
      </c>
      <c r="AA195" s="25"/>
      <c r="AB195" s="26">
        <f>SUM(AB190:AB193)/4</f>
        <v>0.8043478261</v>
      </c>
      <c r="AC195" s="2"/>
    </row>
    <row r="196">
      <c r="A196" s="157" t="s">
        <v>74</v>
      </c>
      <c r="B196" s="158"/>
      <c r="C196" s="159">
        <v>10.0</v>
      </c>
      <c r="D196" s="159">
        <v>10.0</v>
      </c>
      <c r="E196" s="158"/>
      <c r="F196" s="158"/>
      <c r="G196" s="158"/>
      <c r="H196" s="158"/>
      <c r="I196" s="159">
        <v>20.0</v>
      </c>
      <c r="J196" s="159">
        <v>20.0</v>
      </c>
      <c r="K196" s="159">
        <v>20.0</v>
      </c>
      <c r="L196" s="159">
        <v>20.0</v>
      </c>
      <c r="M196" s="159">
        <v>15.0</v>
      </c>
      <c r="N196" s="159">
        <v>15.0</v>
      </c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30">
        <f t="shared" ref="AA196:AA198" si="69">SUM(B196:Z196)</f>
        <v>130</v>
      </c>
      <c r="AB196" s="31"/>
      <c r="AC196" s="2"/>
    </row>
    <row r="197">
      <c r="A197" s="160" t="s">
        <v>45</v>
      </c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58"/>
      <c r="W197" s="159">
        <v>2.0</v>
      </c>
      <c r="X197" s="158"/>
      <c r="Y197" s="159"/>
      <c r="Z197" s="158"/>
      <c r="AA197" s="30">
        <f t="shared" si="69"/>
        <v>2</v>
      </c>
      <c r="AB197" s="31"/>
      <c r="AC197" s="9"/>
    </row>
    <row r="198">
      <c r="A198" s="160" t="s">
        <v>46</v>
      </c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58"/>
      <c r="W198" s="158"/>
      <c r="X198" s="158"/>
      <c r="Y198" s="158"/>
      <c r="Z198" s="158"/>
      <c r="AA198" s="30">
        <f t="shared" si="69"/>
        <v>0</v>
      </c>
      <c r="AB198" s="31"/>
      <c r="AC198" s="9"/>
    </row>
    <row r="199">
      <c r="A199" s="163" t="s">
        <v>47</v>
      </c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7"/>
      <c r="AA199" s="38"/>
      <c r="AB199" s="39"/>
      <c r="AC199" s="2"/>
    </row>
    <row r="200">
      <c r="A200" s="164" t="s">
        <v>48</v>
      </c>
      <c r="B200" s="165"/>
      <c r="C200" s="166"/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7"/>
      <c r="W200" s="167"/>
      <c r="X200" s="167"/>
      <c r="Y200" s="167"/>
      <c r="Z200" s="167"/>
      <c r="AA200" s="44">
        <f t="shared" ref="AA200:AA201" si="70">SUM(B200:Z200)</f>
        <v>0</v>
      </c>
      <c r="AB200" s="31"/>
      <c r="AC200" s="2"/>
    </row>
    <row r="201">
      <c r="A201" s="164" t="s">
        <v>49</v>
      </c>
      <c r="B201" s="165"/>
      <c r="C201" s="166"/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7"/>
      <c r="W201" s="167"/>
      <c r="X201" s="167"/>
      <c r="Y201" s="167"/>
      <c r="Z201" s="167"/>
      <c r="AA201" s="44">
        <f t="shared" si="70"/>
        <v>0</v>
      </c>
      <c r="AB201" s="31"/>
      <c r="AC201" s="2"/>
    </row>
    <row r="202">
      <c r="A202" s="164" t="s">
        <v>50</v>
      </c>
      <c r="B202" s="166"/>
      <c r="C202" s="166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7"/>
      <c r="W202" s="167"/>
      <c r="X202" s="167"/>
      <c r="Y202" s="167"/>
      <c r="Z202" s="167"/>
      <c r="AA202" s="44" t="str">
        <f>AVERAGE(B202:Z202)</f>
        <v>#DIV/0!</v>
      </c>
      <c r="AB202" s="31"/>
      <c r="AC202" s="2"/>
    </row>
    <row r="203">
      <c r="A203" s="168" t="s">
        <v>51</v>
      </c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7"/>
      <c r="AA203" s="46"/>
      <c r="AB203" s="39"/>
      <c r="AC203" s="2"/>
    </row>
    <row r="204">
      <c r="A204" s="169" t="s">
        <v>48</v>
      </c>
      <c r="B204" s="170"/>
      <c r="C204" s="154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0"/>
      <c r="V204" s="171"/>
      <c r="W204" s="171"/>
      <c r="X204" s="171"/>
      <c r="Y204" s="171"/>
      <c r="Z204" s="171"/>
      <c r="AA204" s="51">
        <f t="shared" ref="AA204:AA205" si="71">SUM(B204:Z204)</f>
        <v>0</v>
      </c>
      <c r="AB204" s="31"/>
      <c r="AC204" s="2"/>
    </row>
    <row r="205">
      <c r="A205" s="169" t="s">
        <v>49</v>
      </c>
      <c r="B205" s="170"/>
      <c r="C205" s="154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1"/>
      <c r="W205" s="171"/>
      <c r="X205" s="171"/>
      <c r="Y205" s="171"/>
      <c r="Z205" s="171"/>
      <c r="AA205" s="51">
        <f t="shared" si="71"/>
        <v>0</v>
      </c>
      <c r="AB205" s="31"/>
      <c r="AC205" s="2"/>
    </row>
    <row r="206">
      <c r="A206" s="169" t="s">
        <v>50</v>
      </c>
      <c r="B206" s="154"/>
      <c r="C206" s="154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0"/>
      <c r="V206" s="171"/>
      <c r="W206" s="171"/>
      <c r="X206" s="171"/>
      <c r="Y206" s="171"/>
      <c r="Z206" s="171"/>
      <c r="AA206" s="51" t="str">
        <f>AVERAGE(B206:Z206)</f>
        <v>#DIV/0!</v>
      </c>
      <c r="AB206" s="31"/>
      <c r="AC206" s="2"/>
    </row>
    <row r="207">
      <c r="A207" s="163" t="s">
        <v>53</v>
      </c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7"/>
      <c r="AA207" s="38"/>
      <c r="AB207" s="39"/>
      <c r="AC207" s="2"/>
    </row>
    <row r="208">
      <c r="A208" s="164" t="s">
        <v>48</v>
      </c>
      <c r="B208" s="165"/>
      <c r="C208" s="166"/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7"/>
      <c r="W208" s="167"/>
      <c r="X208" s="167"/>
      <c r="Y208" s="167"/>
      <c r="Z208" s="167"/>
      <c r="AA208" s="44">
        <f t="shared" ref="AA208:AA209" si="72">SUM(B208:Z208)</f>
        <v>0</v>
      </c>
      <c r="AB208" s="31"/>
      <c r="AC208" s="2"/>
    </row>
    <row r="209">
      <c r="A209" s="164" t="s">
        <v>49</v>
      </c>
      <c r="B209" s="165"/>
      <c r="C209" s="166"/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7"/>
      <c r="W209" s="167"/>
      <c r="X209" s="167"/>
      <c r="Y209" s="167"/>
      <c r="Z209" s="167"/>
      <c r="AA209" s="44">
        <f t="shared" si="72"/>
        <v>0</v>
      </c>
      <c r="AB209" s="31"/>
      <c r="AC209" s="2"/>
    </row>
    <row r="210">
      <c r="A210" s="172" t="s">
        <v>50</v>
      </c>
      <c r="B210" s="173"/>
      <c r="C210" s="173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5"/>
      <c r="W210" s="175"/>
      <c r="X210" s="175"/>
      <c r="Y210" s="175"/>
      <c r="Z210" s="175"/>
      <c r="AA210" s="57" t="str">
        <f>AVERAGE(B210:Z210)</f>
        <v>#DIV/0!</v>
      </c>
      <c r="AB210" s="58"/>
      <c r="AC210" s="2"/>
    </row>
    <row r="211" ht="15.75" customHeight="1">
      <c r="A211" s="176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  <c r="AA211" s="59"/>
      <c r="AB211" s="59"/>
      <c r="AC211" s="2"/>
    </row>
    <row r="212">
      <c r="A212" s="151">
        <v>45950.0</v>
      </c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" t="s">
        <v>37</v>
      </c>
      <c r="AB212" s="16" t="s">
        <v>38</v>
      </c>
      <c r="AC212" s="2"/>
    </row>
    <row r="213">
      <c r="A213" s="153" t="s">
        <v>39</v>
      </c>
      <c r="B213" s="154">
        <v>1.0</v>
      </c>
      <c r="C213" s="154">
        <v>1.0</v>
      </c>
      <c r="D213" s="154">
        <v>1.0</v>
      </c>
      <c r="E213" s="154">
        <v>1.0</v>
      </c>
      <c r="F213" s="154">
        <v>0.0</v>
      </c>
      <c r="G213" s="154">
        <v>0.0</v>
      </c>
      <c r="H213" s="154">
        <v>0.0</v>
      </c>
      <c r="I213" s="154">
        <v>0.0</v>
      </c>
      <c r="J213" s="154">
        <v>0.0</v>
      </c>
      <c r="K213" s="154">
        <v>0.0</v>
      </c>
      <c r="L213" s="154">
        <v>1.0</v>
      </c>
      <c r="M213" s="154">
        <v>1.0</v>
      </c>
      <c r="N213" s="154">
        <v>0.0</v>
      </c>
      <c r="O213" s="154">
        <v>1.0</v>
      </c>
      <c r="P213" s="154">
        <v>1.0</v>
      </c>
      <c r="Q213" s="154">
        <v>1.0</v>
      </c>
      <c r="R213" s="154">
        <v>1.0</v>
      </c>
      <c r="S213" s="154">
        <v>0.0</v>
      </c>
      <c r="T213" s="154">
        <v>1.0</v>
      </c>
      <c r="U213" s="154">
        <v>1.0</v>
      </c>
      <c r="V213" s="154">
        <v>1.0</v>
      </c>
      <c r="W213" s="154">
        <v>1.0</v>
      </c>
      <c r="X213" s="154">
        <v>1.0</v>
      </c>
      <c r="Y213" s="154">
        <v>1.0</v>
      </c>
      <c r="Z213" s="154"/>
      <c r="AA213" s="20">
        <f t="shared" ref="AA213:AA217" si="73">SUM(B213:Z213)</f>
        <v>16</v>
      </c>
      <c r="AB213" s="21">
        <f t="shared" ref="AB213:AB216" si="74">AA213/(COUNT(B213:Z213)*1)</f>
        <v>0.6666666667</v>
      </c>
      <c r="AC213" s="2"/>
    </row>
    <row r="214">
      <c r="A214" s="153" t="s">
        <v>40</v>
      </c>
      <c r="B214" s="154">
        <v>1.0</v>
      </c>
      <c r="C214" s="154">
        <v>1.0</v>
      </c>
      <c r="D214" s="154">
        <v>1.0</v>
      </c>
      <c r="E214" s="154">
        <v>1.0</v>
      </c>
      <c r="F214" s="154">
        <v>1.0</v>
      </c>
      <c r="G214" s="154">
        <v>1.0</v>
      </c>
      <c r="H214" s="154">
        <v>1.0</v>
      </c>
      <c r="I214" s="154">
        <v>1.0</v>
      </c>
      <c r="J214" s="154">
        <v>1.0</v>
      </c>
      <c r="K214" s="154">
        <v>1.0</v>
      </c>
      <c r="L214" s="154">
        <v>1.0</v>
      </c>
      <c r="M214" s="154">
        <v>1.0</v>
      </c>
      <c r="N214" s="154">
        <v>1.0</v>
      </c>
      <c r="O214" s="154">
        <v>1.0</v>
      </c>
      <c r="P214" s="154">
        <v>1.0</v>
      </c>
      <c r="Q214" s="154">
        <v>1.0</v>
      </c>
      <c r="R214" s="154">
        <v>1.0</v>
      </c>
      <c r="S214" s="154">
        <v>0.0</v>
      </c>
      <c r="T214" s="154">
        <v>0.0</v>
      </c>
      <c r="U214" s="154">
        <v>1.0</v>
      </c>
      <c r="V214" s="154">
        <v>1.0</v>
      </c>
      <c r="W214" s="154">
        <v>1.0</v>
      </c>
      <c r="X214" s="154">
        <v>1.0</v>
      </c>
      <c r="Y214" s="154">
        <v>1.0</v>
      </c>
      <c r="Z214" s="154"/>
      <c r="AA214" s="20">
        <f t="shared" si="73"/>
        <v>22</v>
      </c>
      <c r="AB214" s="21">
        <f t="shared" si="74"/>
        <v>0.9166666667</v>
      </c>
      <c r="AC214" s="2"/>
    </row>
    <row r="215">
      <c r="A215" s="153" t="s">
        <v>41</v>
      </c>
      <c r="B215" s="154">
        <v>1.0</v>
      </c>
      <c r="C215" s="154">
        <v>1.0</v>
      </c>
      <c r="D215" s="154">
        <v>1.0</v>
      </c>
      <c r="E215" s="154">
        <v>1.0</v>
      </c>
      <c r="F215" s="154">
        <v>0.0</v>
      </c>
      <c r="G215" s="154">
        <v>0.0</v>
      </c>
      <c r="H215" s="154">
        <v>0.0</v>
      </c>
      <c r="I215" s="154">
        <v>0.0</v>
      </c>
      <c r="J215" s="154">
        <v>0.0</v>
      </c>
      <c r="K215" s="154">
        <v>0.0</v>
      </c>
      <c r="L215" s="154">
        <v>0.0</v>
      </c>
      <c r="M215" s="154">
        <v>1.0</v>
      </c>
      <c r="N215" s="154">
        <v>1.0</v>
      </c>
      <c r="O215" s="154">
        <v>1.0</v>
      </c>
      <c r="P215" s="154">
        <v>1.0</v>
      </c>
      <c r="Q215" s="154">
        <v>0.0</v>
      </c>
      <c r="R215" s="154">
        <v>0.0</v>
      </c>
      <c r="S215" s="154">
        <v>0.0</v>
      </c>
      <c r="T215" s="154">
        <v>1.0</v>
      </c>
      <c r="U215" s="154">
        <v>1.0</v>
      </c>
      <c r="V215" s="154">
        <v>1.0</v>
      </c>
      <c r="W215" s="154">
        <v>1.0</v>
      </c>
      <c r="X215" s="154">
        <v>1.0</v>
      </c>
      <c r="Y215" s="154">
        <v>1.0</v>
      </c>
      <c r="Z215" s="154"/>
      <c r="AA215" s="20">
        <f t="shared" si="73"/>
        <v>14</v>
      </c>
      <c r="AB215" s="21">
        <f t="shared" si="74"/>
        <v>0.5833333333</v>
      </c>
      <c r="AC215" s="2"/>
    </row>
    <row r="216">
      <c r="A216" s="153" t="s">
        <v>42</v>
      </c>
      <c r="B216" s="154">
        <v>1.0</v>
      </c>
      <c r="C216" s="154">
        <v>1.0</v>
      </c>
      <c r="D216" s="154">
        <v>1.0</v>
      </c>
      <c r="E216" s="154">
        <v>1.0</v>
      </c>
      <c r="F216" s="154">
        <v>1.0</v>
      </c>
      <c r="G216" s="154">
        <v>1.0</v>
      </c>
      <c r="H216" s="154">
        <v>1.0</v>
      </c>
      <c r="I216" s="154">
        <v>1.0</v>
      </c>
      <c r="J216" s="154">
        <v>0.0</v>
      </c>
      <c r="K216" s="154">
        <v>0.0</v>
      </c>
      <c r="L216" s="154">
        <v>0.0</v>
      </c>
      <c r="M216" s="154">
        <v>0.0</v>
      </c>
      <c r="N216" s="154">
        <v>0.0</v>
      </c>
      <c r="O216" s="154">
        <v>1.0</v>
      </c>
      <c r="P216" s="154">
        <v>1.0</v>
      </c>
      <c r="Q216" s="154">
        <v>1.0</v>
      </c>
      <c r="R216" s="154">
        <v>0.0</v>
      </c>
      <c r="S216" s="154">
        <v>0.0</v>
      </c>
      <c r="T216" s="154">
        <v>1.0</v>
      </c>
      <c r="U216" s="154">
        <v>1.0</v>
      </c>
      <c r="V216" s="154">
        <v>1.0</v>
      </c>
      <c r="W216" s="154">
        <v>1.0</v>
      </c>
      <c r="X216" s="154">
        <v>1.0</v>
      </c>
      <c r="Y216" s="154">
        <v>1.0</v>
      </c>
      <c r="Z216" s="154"/>
      <c r="AA216" s="20">
        <f t="shared" si="73"/>
        <v>17</v>
      </c>
      <c r="AB216" s="21">
        <f t="shared" si="74"/>
        <v>0.7083333333</v>
      </c>
      <c r="AC216" s="2"/>
    </row>
    <row r="217">
      <c r="A217" s="153" t="s">
        <v>43</v>
      </c>
      <c r="B217" s="155">
        <f t="shared" ref="B217:Z217" si="75">SUM(B213:B216)</f>
        <v>4</v>
      </c>
      <c r="C217" s="155">
        <f t="shared" si="75"/>
        <v>4</v>
      </c>
      <c r="D217" s="155">
        <f t="shared" si="75"/>
        <v>4</v>
      </c>
      <c r="E217" s="155">
        <f t="shared" si="75"/>
        <v>4</v>
      </c>
      <c r="F217" s="155">
        <f t="shared" si="75"/>
        <v>2</v>
      </c>
      <c r="G217" s="155">
        <f t="shared" si="75"/>
        <v>2</v>
      </c>
      <c r="H217" s="155">
        <f t="shared" si="75"/>
        <v>2</v>
      </c>
      <c r="I217" s="155">
        <f t="shared" si="75"/>
        <v>2</v>
      </c>
      <c r="J217" s="155">
        <f t="shared" si="75"/>
        <v>1</v>
      </c>
      <c r="K217" s="155">
        <f t="shared" si="75"/>
        <v>1</v>
      </c>
      <c r="L217" s="155">
        <f t="shared" si="75"/>
        <v>2</v>
      </c>
      <c r="M217" s="155">
        <f t="shared" si="75"/>
        <v>3</v>
      </c>
      <c r="N217" s="155">
        <f t="shared" si="75"/>
        <v>2</v>
      </c>
      <c r="O217" s="155">
        <f t="shared" si="75"/>
        <v>4</v>
      </c>
      <c r="P217" s="155">
        <f t="shared" si="75"/>
        <v>4</v>
      </c>
      <c r="Q217" s="155">
        <f t="shared" si="75"/>
        <v>3</v>
      </c>
      <c r="R217" s="155">
        <f t="shared" si="75"/>
        <v>2</v>
      </c>
      <c r="S217" s="155">
        <f t="shared" si="75"/>
        <v>0</v>
      </c>
      <c r="T217" s="155">
        <f t="shared" si="75"/>
        <v>3</v>
      </c>
      <c r="U217" s="155">
        <f t="shared" si="75"/>
        <v>4</v>
      </c>
      <c r="V217" s="155">
        <f t="shared" si="75"/>
        <v>4</v>
      </c>
      <c r="W217" s="155">
        <f t="shared" si="75"/>
        <v>4</v>
      </c>
      <c r="X217" s="155">
        <f t="shared" si="75"/>
        <v>4</v>
      </c>
      <c r="Y217" s="155">
        <f t="shared" si="75"/>
        <v>4</v>
      </c>
      <c r="Z217" s="155">
        <f t="shared" si="75"/>
        <v>0</v>
      </c>
      <c r="AA217" s="20">
        <f t="shared" si="73"/>
        <v>69</v>
      </c>
      <c r="AB217" s="23"/>
      <c r="AC217" s="2"/>
    </row>
    <row r="218">
      <c r="A218" s="153" t="s">
        <v>38</v>
      </c>
      <c r="B218" s="156">
        <f t="shared" ref="B218:Z218" si="76">B217/(COUNT(B213:B216)*1)</f>
        <v>1</v>
      </c>
      <c r="C218" s="156">
        <f t="shared" si="76"/>
        <v>1</v>
      </c>
      <c r="D218" s="156">
        <f t="shared" si="76"/>
        <v>1</v>
      </c>
      <c r="E218" s="156">
        <f t="shared" si="76"/>
        <v>1</v>
      </c>
      <c r="F218" s="156">
        <f t="shared" si="76"/>
        <v>0.5</v>
      </c>
      <c r="G218" s="156">
        <f t="shared" si="76"/>
        <v>0.5</v>
      </c>
      <c r="H218" s="156">
        <f t="shared" si="76"/>
        <v>0.5</v>
      </c>
      <c r="I218" s="156">
        <f t="shared" si="76"/>
        <v>0.5</v>
      </c>
      <c r="J218" s="156">
        <f t="shared" si="76"/>
        <v>0.25</v>
      </c>
      <c r="K218" s="156">
        <f t="shared" si="76"/>
        <v>0.25</v>
      </c>
      <c r="L218" s="156">
        <f t="shared" si="76"/>
        <v>0.5</v>
      </c>
      <c r="M218" s="156">
        <f t="shared" si="76"/>
        <v>0.75</v>
      </c>
      <c r="N218" s="156">
        <f t="shared" si="76"/>
        <v>0.5</v>
      </c>
      <c r="O218" s="156">
        <f t="shared" si="76"/>
        <v>1</v>
      </c>
      <c r="P218" s="156">
        <f t="shared" si="76"/>
        <v>1</v>
      </c>
      <c r="Q218" s="156">
        <f t="shared" si="76"/>
        <v>0.75</v>
      </c>
      <c r="R218" s="156">
        <f t="shared" si="76"/>
        <v>0.5</v>
      </c>
      <c r="S218" s="156">
        <f t="shared" si="76"/>
        <v>0</v>
      </c>
      <c r="T218" s="156">
        <f t="shared" si="76"/>
        <v>0.75</v>
      </c>
      <c r="U218" s="156">
        <f t="shared" si="76"/>
        <v>1</v>
      </c>
      <c r="V218" s="156">
        <f t="shared" si="76"/>
        <v>1</v>
      </c>
      <c r="W218" s="156">
        <f t="shared" si="76"/>
        <v>1</v>
      </c>
      <c r="X218" s="156">
        <f t="shared" si="76"/>
        <v>1</v>
      </c>
      <c r="Y218" s="156">
        <f t="shared" si="76"/>
        <v>1</v>
      </c>
      <c r="Z218" s="156" t="str">
        <f t="shared" si="76"/>
        <v>#DIV/0!</v>
      </c>
      <c r="AA218" s="25"/>
      <c r="AB218" s="26">
        <f>SUM(AB213:AB216)/4</f>
        <v>0.71875</v>
      </c>
      <c r="AC218" s="2"/>
    </row>
    <row r="219">
      <c r="A219" s="157" t="s">
        <v>74</v>
      </c>
      <c r="B219" s="158"/>
      <c r="C219" s="159"/>
      <c r="D219" s="158"/>
      <c r="E219" s="158"/>
      <c r="F219" s="159">
        <v>20.0</v>
      </c>
      <c r="G219" s="159">
        <v>20.0</v>
      </c>
      <c r="H219" s="159">
        <v>20.0</v>
      </c>
      <c r="I219" s="159">
        <v>20.0</v>
      </c>
      <c r="J219" s="159">
        <v>20.0</v>
      </c>
      <c r="K219" s="159">
        <v>10.0</v>
      </c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30">
        <f t="shared" ref="AA219:AA221" si="77">SUM(B219:Z219)</f>
        <v>110</v>
      </c>
      <c r="AB219" s="31"/>
      <c r="AC219" s="2"/>
    </row>
    <row r="220">
      <c r="A220" s="160" t="s">
        <v>45</v>
      </c>
      <c r="B220" s="161"/>
      <c r="C220" s="161"/>
      <c r="D220" s="161"/>
      <c r="E220" s="161"/>
      <c r="F220" s="161"/>
      <c r="G220" s="162">
        <v>2.0</v>
      </c>
      <c r="H220" s="161"/>
      <c r="I220" s="161"/>
      <c r="J220" s="161"/>
      <c r="K220" s="161"/>
      <c r="L220" s="161"/>
      <c r="M220" s="161"/>
      <c r="N220" s="162">
        <v>9.0</v>
      </c>
      <c r="O220" s="161"/>
      <c r="P220" s="161"/>
      <c r="Q220" s="161"/>
      <c r="R220" s="161"/>
      <c r="S220" s="162">
        <v>5.0</v>
      </c>
      <c r="T220" s="162">
        <v>4.0</v>
      </c>
      <c r="U220" s="161"/>
      <c r="V220" s="158"/>
      <c r="W220" s="158"/>
      <c r="X220" s="158"/>
      <c r="Y220" s="158"/>
      <c r="Z220" s="158"/>
      <c r="AA220" s="30">
        <f t="shared" si="77"/>
        <v>20</v>
      </c>
      <c r="AB220" s="31"/>
      <c r="AC220" s="9"/>
    </row>
    <row r="221">
      <c r="A221" s="160" t="s">
        <v>46</v>
      </c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58"/>
      <c r="W221" s="158"/>
      <c r="X221" s="158"/>
      <c r="Y221" s="158"/>
      <c r="Z221" s="158"/>
      <c r="AA221" s="30">
        <f t="shared" si="77"/>
        <v>0</v>
      </c>
      <c r="AB221" s="31"/>
      <c r="AC221" s="9"/>
    </row>
    <row r="222">
      <c r="A222" s="163" t="s">
        <v>47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7"/>
      <c r="AA222" s="38"/>
      <c r="AB222" s="39"/>
      <c r="AC222" s="2"/>
    </row>
    <row r="223">
      <c r="A223" s="164" t="s">
        <v>48</v>
      </c>
      <c r="B223" s="165"/>
      <c r="C223" s="166"/>
      <c r="D223" s="165"/>
      <c r="E223" s="165"/>
      <c r="F223" s="166">
        <v>1.0</v>
      </c>
      <c r="G223" s="166">
        <v>1.0</v>
      </c>
      <c r="H223" s="166">
        <v>1.0</v>
      </c>
      <c r="I223" s="166">
        <v>1.0</v>
      </c>
      <c r="J223" s="166">
        <v>1.0</v>
      </c>
      <c r="K223" s="166">
        <v>1.0</v>
      </c>
      <c r="L223" s="165"/>
      <c r="M223" s="165"/>
      <c r="N223" s="165"/>
      <c r="O223" s="165"/>
      <c r="P223" s="165"/>
      <c r="Q223" s="165"/>
      <c r="R223" s="165"/>
      <c r="S223" s="166">
        <v>1.0</v>
      </c>
      <c r="T223" s="165"/>
      <c r="U223" s="165"/>
      <c r="V223" s="167"/>
      <c r="W223" s="167"/>
      <c r="X223" s="167"/>
      <c r="Y223" s="167"/>
      <c r="Z223" s="167"/>
      <c r="AA223" s="44">
        <f t="shared" ref="AA223:AA224" si="78">SUM(B223:Z223)</f>
        <v>7</v>
      </c>
      <c r="AB223" s="31"/>
      <c r="AC223" s="2"/>
    </row>
    <row r="224">
      <c r="A224" s="164" t="s">
        <v>49</v>
      </c>
      <c r="B224" s="165"/>
      <c r="C224" s="166"/>
      <c r="D224" s="165"/>
      <c r="E224" s="165"/>
      <c r="F224" s="166">
        <v>20.0</v>
      </c>
      <c r="G224" s="166">
        <v>20.0</v>
      </c>
      <c r="H224" s="166">
        <v>20.0</v>
      </c>
      <c r="I224" s="166">
        <v>20.0</v>
      </c>
      <c r="J224" s="166">
        <v>20.0</v>
      </c>
      <c r="K224" s="166">
        <v>20.0</v>
      </c>
      <c r="L224" s="165"/>
      <c r="M224" s="165"/>
      <c r="N224" s="165"/>
      <c r="O224" s="165"/>
      <c r="P224" s="165"/>
      <c r="Q224" s="165"/>
      <c r="R224" s="165"/>
      <c r="S224" s="166">
        <v>20.0</v>
      </c>
      <c r="T224" s="165"/>
      <c r="U224" s="165"/>
      <c r="V224" s="167"/>
      <c r="W224" s="167"/>
      <c r="X224" s="167"/>
      <c r="Y224" s="167"/>
      <c r="Z224" s="167"/>
      <c r="AA224" s="44">
        <f t="shared" si="78"/>
        <v>140</v>
      </c>
      <c r="AB224" s="31"/>
      <c r="AC224" s="2"/>
    </row>
    <row r="225">
      <c r="A225" s="164" t="s">
        <v>50</v>
      </c>
      <c r="B225" s="166"/>
      <c r="C225" s="166"/>
      <c r="D225" s="165"/>
      <c r="E225" s="165"/>
      <c r="F225" s="166">
        <v>1.0</v>
      </c>
      <c r="G225" s="166">
        <v>1.0</v>
      </c>
      <c r="H225" s="166">
        <v>1.0</v>
      </c>
      <c r="I225" s="166">
        <v>1.0</v>
      </c>
      <c r="J225" s="166">
        <v>1.0</v>
      </c>
      <c r="K225" s="166">
        <v>1.0</v>
      </c>
      <c r="L225" s="165"/>
      <c r="M225" s="165"/>
      <c r="N225" s="165"/>
      <c r="O225" s="165"/>
      <c r="P225" s="165"/>
      <c r="Q225" s="165"/>
      <c r="R225" s="165"/>
      <c r="S225" s="166">
        <v>1.0</v>
      </c>
      <c r="T225" s="165"/>
      <c r="U225" s="165"/>
      <c r="V225" s="167"/>
      <c r="W225" s="167"/>
      <c r="X225" s="167"/>
      <c r="Y225" s="167"/>
      <c r="Z225" s="167"/>
      <c r="AA225" s="44">
        <f>AVERAGE(B225:Z225)</f>
        <v>1</v>
      </c>
      <c r="AB225" s="31"/>
      <c r="AC225" s="2"/>
    </row>
    <row r="226">
      <c r="A226" s="168" t="s">
        <v>51</v>
      </c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7"/>
      <c r="AA226" s="46"/>
      <c r="AB226" s="39"/>
      <c r="AC226" s="2"/>
    </row>
    <row r="227">
      <c r="A227" s="169" t="s">
        <v>48</v>
      </c>
      <c r="B227" s="170"/>
      <c r="C227" s="154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0"/>
      <c r="V227" s="171"/>
      <c r="W227" s="171"/>
      <c r="X227" s="171"/>
      <c r="Y227" s="171"/>
      <c r="Z227" s="171"/>
      <c r="AA227" s="51">
        <f t="shared" ref="AA227:AA228" si="79">SUM(B227:Z227)</f>
        <v>0</v>
      </c>
      <c r="AB227" s="31"/>
      <c r="AC227" s="2"/>
    </row>
    <row r="228">
      <c r="A228" s="169" t="s">
        <v>49</v>
      </c>
      <c r="B228" s="170"/>
      <c r="C228" s="154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0"/>
      <c r="V228" s="171"/>
      <c r="W228" s="171"/>
      <c r="X228" s="171"/>
      <c r="Y228" s="171"/>
      <c r="Z228" s="171"/>
      <c r="AA228" s="51">
        <f t="shared" si="79"/>
        <v>0</v>
      </c>
      <c r="AB228" s="31"/>
      <c r="AC228" s="2"/>
    </row>
    <row r="229">
      <c r="A229" s="169" t="s">
        <v>50</v>
      </c>
      <c r="B229" s="154"/>
      <c r="C229" s="154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0"/>
      <c r="V229" s="171"/>
      <c r="W229" s="171"/>
      <c r="X229" s="171"/>
      <c r="Y229" s="171"/>
      <c r="Z229" s="171"/>
      <c r="AA229" s="51" t="str">
        <f>AVERAGE(B29:Z229)</f>
        <v>#DIV/0!</v>
      </c>
      <c r="AB229" s="31"/>
      <c r="AC229" s="2"/>
    </row>
    <row r="230">
      <c r="A230" s="163" t="s">
        <v>53</v>
      </c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7"/>
      <c r="AA230" s="38"/>
      <c r="AB230" s="39"/>
      <c r="AC230" s="2"/>
    </row>
    <row r="231">
      <c r="A231" s="164" t="s">
        <v>48</v>
      </c>
      <c r="B231" s="165"/>
      <c r="C231" s="166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7"/>
      <c r="W231" s="167"/>
      <c r="X231" s="167"/>
      <c r="Y231" s="167"/>
      <c r="Z231" s="167"/>
      <c r="AA231" s="44">
        <f t="shared" ref="AA231:AA232" si="80">SUM(B231:Z231)</f>
        <v>0</v>
      </c>
      <c r="AB231" s="31"/>
      <c r="AC231" s="2"/>
    </row>
    <row r="232">
      <c r="A232" s="164" t="s">
        <v>49</v>
      </c>
      <c r="B232" s="165"/>
      <c r="C232" s="166"/>
      <c r="D232" s="165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7"/>
      <c r="W232" s="167"/>
      <c r="X232" s="167"/>
      <c r="Y232" s="167"/>
      <c r="Z232" s="167"/>
      <c r="AA232" s="44">
        <f t="shared" si="80"/>
        <v>0</v>
      </c>
      <c r="AB232" s="31"/>
      <c r="AC232" s="2"/>
    </row>
    <row r="233">
      <c r="A233" s="172" t="s">
        <v>50</v>
      </c>
      <c r="B233" s="173"/>
      <c r="C233" s="173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5"/>
      <c r="W233" s="175"/>
      <c r="X233" s="175"/>
      <c r="Y233" s="175"/>
      <c r="Z233" s="175"/>
      <c r="AA233" s="57" t="str">
        <f>AVERAGE(B233:Z233)</f>
        <v>#DIV/0!</v>
      </c>
      <c r="AB233" s="58"/>
      <c r="AC233" s="2"/>
    </row>
    <row r="234" ht="15.75" customHeight="1">
      <c r="A234" s="176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  <c r="AA234" s="59"/>
      <c r="AB234" s="59"/>
      <c r="AC234" s="2"/>
    </row>
    <row r="235">
      <c r="A235" s="151">
        <v>45951.0</v>
      </c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" t="s">
        <v>37</v>
      </c>
      <c r="AB235" s="16" t="s">
        <v>38</v>
      </c>
      <c r="AC235" s="2"/>
    </row>
    <row r="236">
      <c r="A236" s="153" t="s">
        <v>39</v>
      </c>
      <c r="B236" s="154">
        <v>1.0</v>
      </c>
      <c r="C236" s="154">
        <v>1.0</v>
      </c>
      <c r="D236" s="154">
        <v>1.0</v>
      </c>
      <c r="E236" s="154">
        <v>1.0</v>
      </c>
      <c r="F236" s="154">
        <v>0.0</v>
      </c>
      <c r="G236" s="154">
        <v>0.0</v>
      </c>
      <c r="H236" s="154">
        <v>0.0</v>
      </c>
      <c r="I236" s="154">
        <v>0.0</v>
      </c>
      <c r="J236" s="154">
        <v>0.0</v>
      </c>
      <c r="K236" s="154">
        <v>0.0</v>
      </c>
      <c r="L236" s="154">
        <v>0.0</v>
      </c>
      <c r="M236" s="154">
        <v>0.0</v>
      </c>
      <c r="N236" s="154">
        <v>0.0</v>
      </c>
      <c r="O236" s="154">
        <v>1.0</v>
      </c>
      <c r="P236" s="154">
        <v>1.0</v>
      </c>
      <c r="Q236" s="154">
        <v>0.0</v>
      </c>
      <c r="R236" s="154">
        <v>0.0</v>
      </c>
      <c r="S236" s="154">
        <v>0.0</v>
      </c>
      <c r="T236" s="154">
        <v>0.0</v>
      </c>
      <c r="U236" s="154">
        <v>0.0</v>
      </c>
      <c r="V236" s="154">
        <v>0.0</v>
      </c>
      <c r="W236" s="154">
        <v>0.0</v>
      </c>
      <c r="X236" s="154">
        <v>0.0</v>
      </c>
      <c r="Y236" s="154">
        <v>0.0</v>
      </c>
      <c r="Z236" s="154"/>
      <c r="AA236" s="20">
        <f t="shared" ref="AA236:AA240" si="81">SUM(B236:Z236)</f>
        <v>6</v>
      </c>
      <c r="AB236" s="21">
        <f t="shared" ref="AB236:AB239" si="82">AA236/(COUNT(B236:Z236)*1)</f>
        <v>0.25</v>
      </c>
      <c r="AC236" s="2"/>
    </row>
    <row r="237">
      <c r="A237" s="153" t="s">
        <v>40</v>
      </c>
      <c r="B237" s="154">
        <v>1.0</v>
      </c>
      <c r="C237" s="154">
        <v>1.0</v>
      </c>
      <c r="D237" s="154">
        <v>1.0</v>
      </c>
      <c r="E237" s="154">
        <v>1.0</v>
      </c>
      <c r="F237" s="154">
        <v>1.0</v>
      </c>
      <c r="G237" s="154">
        <v>1.0</v>
      </c>
      <c r="H237" s="154">
        <v>1.0</v>
      </c>
      <c r="I237" s="154">
        <v>1.0</v>
      </c>
      <c r="J237" s="154">
        <v>1.0</v>
      </c>
      <c r="K237" s="154">
        <v>1.0</v>
      </c>
      <c r="L237" s="154">
        <v>1.0</v>
      </c>
      <c r="M237" s="154">
        <v>1.0</v>
      </c>
      <c r="N237" s="154">
        <v>1.0</v>
      </c>
      <c r="O237" s="154">
        <v>1.0</v>
      </c>
      <c r="P237" s="154">
        <v>1.0</v>
      </c>
      <c r="Q237" s="154">
        <v>1.0</v>
      </c>
      <c r="R237" s="154">
        <v>1.0</v>
      </c>
      <c r="S237" s="154">
        <v>1.0</v>
      </c>
      <c r="T237" s="154">
        <v>1.0</v>
      </c>
      <c r="U237" s="154">
        <v>0.0</v>
      </c>
      <c r="V237" s="154">
        <v>0.0</v>
      </c>
      <c r="W237" s="154">
        <v>0.0</v>
      </c>
      <c r="X237" s="154">
        <v>0.0</v>
      </c>
      <c r="Y237" s="154">
        <v>0.0</v>
      </c>
      <c r="Z237" s="154"/>
      <c r="AA237" s="20">
        <f t="shared" si="81"/>
        <v>19</v>
      </c>
      <c r="AB237" s="21">
        <f t="shared" si="82"/>
        <v>0.7916666667</v>
      </c>
      <c r="AC237" s="2"/>
    </row>
    <row r="238">
      <c r="A238" s="153" t="s">
        <v>41</v>
      </c>
      <c r="B238" s="154">
        <v>1.0</v>
      </c>
      <c r="C238" s="154">
        <v>1.0</v>
      </c>
      <c r="D238" s="154">
        <v>0.0</v>
      </c>
      <c r="E238" s="154">
        <v>1.0</v>
      </c>
      <c r="F238" s="154">
        <v>0.0</v>
      </c>
      <c r="G238" s="154">
        <v>0.0</v>
      </c>
      <c r="H238" s="154">
        <v>0.0</v>
      </c>
      <c r="I238" s="154">
        <v>0.0</v>
      </c>
      <c r="J238" s="154">
        <v>0.0</v>
      </c>
      <c r="K238" s="154">
        <v>0.0</v>
      </c>
      <c r="L238" s="154">
        <v>0.0</v>
      </c>
      <c r="M238" s="154">
        <v>1.0</v>
      </c>
      <c r="N238" s="154">
        <v>1.0</v>
      </c>
      <c r="O238" s="154">
        <v>1.0</v>
      </c>
      <c r="P238" s="154">
        <v>1.0</v>
      </c>
      <c r="Q238" s="154">
        <v>0.0</v>
      </c>
      <c r="R238" s="154">
        <v>0.0</v>
      </c>
      <c r="S238" s="154">
        <v>0.0</v>
      </c>
      <c r="T238" s="154">
        <v>0.0</v>
      </c>
      <c r="U238" s="154">
        <v>0.0</v>
      </c>
      <c r="V238" s="154">
        <v>0.0</v>
      </c>
      <c r="W238" s="154">
        <v>0.0</v>
      </c>
      <c r="X238" s="154">
        <v>0.0</v>
      </c>
      <c r="Y238" s="154">
        <v>0.0</v>
      </c>
      <c r="Z238" s="154"/>
      <c r="AA238" s="20">
        <f t="shared" si="81"/>
        <v>7</v>
      </c>
      <c r="AB238" s="21">
        <f t="shared" si="82"/>
        <v>0.2916666667</v>
      </c>
      <c r="AC238" s="2"/>
    </row>
    <row r="239">
      <c r="A239" s="153" t="s">
        <v>42</v>
      </c>
      <c r="B239" s="154">
        <v>1.0</v>
      </c>
      <c r="C239" s="154">
        <v>1.0</v>
      </c>
      <c r="D239" s="154">
        <v>1.0</v>
      </c>
      <c r="E239" s="154">
        <v>1.0</v>
      </c>
      <c r="F239" s="154">
        <v>1.0</v>
      </c>
      <c r="G239" s="154">
        <v>1.0</v>
      </c>
      <c r="H239" s="154">
        <v>1.0</v>
      </c>
      <c r="I239" s="154">
        <v>1.0</v>
      </c>
      <c r="J239" s="154">
        <v>1.0</v>
      </c>
      <c r="K239" s="154">
        <v>1.0</v>
      </c>
      <c r="L239" s="154">
        <v>1.0</v>
      </c>
      <c r="M239" s="154">
        <v>1.0</v>
      </c>
      <c r="N239" s="154">
        <v>1.0</v>
      </c>
      <c r="O239" s="154">
        <v>1.0</v>
      </c>
      <c r="P239" s="154">
        <v>1.0</v>
      </c>
      <c r="Q239" s="154">
        <v>0.0</v>
      </c>
      <c r="R239" s="154">
        <v>0.0</v>
      </c>
      <c r="S239" s="154">
        <v>1.0</v>
      </c>
      <c r="T239" s="154">
        <v>1.0</v>
      </c>
      <c r="U239" s="154">
        <v>0.0</v>
      </c>
      <c r="V239" s="154">
        <v>1.0</v>
      </c>
      <c r="W239" s="154">
        <v>1.0</v>
      </c>
      <c r="X239" s="154">
        <v>0.0</v>
      </c>
      <c r="Y239" s="154">
        <v>0.0</v>
      </c>
      <c r="Z239" s="154"/>
      <c r="AA239" s="20">
        <f t="shared" si="81"/>
        <v>19</v>
      </c>
      <c r="AB239" s="21">
        <f t="shared" si="82"/>
        <v>0.7916666667</v>
      </c>
      <c r="AC239" s="2"/>
    </row>
    <row r="240">
      <c r="A240" s="153" t="s">
        <v>43</v>
      </c>
      <c r="B240" s="155">
        <f t="shared" ref="B240:Z240" si="83">SUM(B236:B239)</f>
        <v>4</v>
      </c>
      <c r="C240" s="155">
        <f t="shared" si="83"/>
        <v>4</v>
      </c>
      <c r="D240" s="155">
        <f t="shared" si="83"/>
        <v>3</v>
      </c>
      <c r="E240" s="155">
        <f t="shared" si="83"/>
        <v>4</v>
      </c>
      <c r="F240" s="155">
        <f t="shared" si="83"/>
        <v>2</v>
      </c>
      <c r="G240" s="155">
        <f t="shared" si="83"/>
        <v>2</v>
      </c>
      <c r="H240" s="155">
        <f t="shared" si="83"/>
        <v>2</v>
      </c>
      <c r="I240" s="155">
        <f t="shared" si="83"/>
        <v>2</v>
      </c>
      <c r="J240" s="155">
        <f t="shared" si="83"/>
        <v>2</v>
      </c>
      <c r="K240" s="155">
        <f t="shared" si="83"/>
        <v>2</v>
      </c>
      <c r="L240" s="155">
        <f t="shared" si="83"/>
        <v>2</v>
      </c>
      <c r="M240" s="155">
        <f t="shared" si="83"/>
        <v>3</v>
      </c>
      <c r="N240" s="155">
        <f t="shared" si="83"/>
        <v>3</v>
      </c>
      <c r="O240" s="155">
        <f t="shared" si="83"/>
        <v>4</v>
      </c>
      <c r="P240" s="155">
        <f t="shared" si="83"/>
        <v>4</v>
      </c>
      <c r="Q240" s="155">
        <f t="shared" si="83"/>
        <v>1</v>
      </c>
      <c r="R240" s="155">
        <f t="shared" si="83"/>
        <v>1</v>
      </c>
      <c r="S240" s="155">
        <f t="shared" si="83"/>
        <v>2</v>
      </c>
      <c r="T240" s="155">
        <f t="shared" si="83"/>
        <v>2</v>
      </c>
      <c r="U240" s="155">
        <f t="shared" si="83"/>
        <v>0</v>
      </c>
      <c r="V240" s="155">
        <f t="shared" si="83"/>
        <v>1</v>
      </c>
      <c r="W240" s="155">
        <f t="shared" si="83"/>
        <v>1</v>
      </c>
      <c r="X240" s="155">
        <f t="shared" si="83"/>
        <v>0</v>
      </c>
      <c r="Y240" s="155">
        <f t="shared" si="83"/>
        <v>0</v>
      </c>
      <c r="Z240" s="155">
        <f t="shared" si="83"/>
        <v>0</v>
      </c>
      <c r="AA240" s="20">
        <f t="shared" si="81"/>
        <v>51</v>
      </c>
      <c r="AB240" s="23"/>
      <c r="AC240" s="2"/>
    </row>
    <row r="241">
      <c r="A241" s="153" t="s">
        <v>38</v>
      </c>
      <c r="B241" s="156">
        <f t="shared" ref="B241:Z241" si="84">B240/(COUNT(B236:B239)*1)</f>
        <v>1</v>
      </c>
      <c r="C241" s="156">
        <f t="shared" si="84"/>
        <v>1</v>
      </c>
      <c r="D241" s="156">
        <f t="shared" si="84"/>
        <v>0.75</v>
      </c>
      <c r="E241" s="156">
        <f t="shared" si="84"/>
        <v>1</v>
      </c>
      <c r="F241" s="156">
        <f t="shared" si="84"/>
        <v>0.5</v>
      </c>
      <c r="G241" s="156">
        <f t="shared" si="84"/>
        <v>0.5</v>
      </c>
      <c r="H241" s="156">
        <f t="shared" si="84"/>
        <v>0.5</v>
      </c>
      <c r="I241" s="156">
        <f t="shared" si="84"/>
        <v>0.5</v>
      </c>
      <c r="J241" s="156">
        <f t="shared" si="84"/>
        <v>0.5</v>
      </c>
      <c r="K241" s="156">
        <f t="shared" si="84"/>
        <v>0.5</v>
      </c>
      <c r="L241" s="156">
        <f t="shared" si="84"/>
        <v>0.5</v>
      </c>
      <c r="M241" s="156">
        <f t="shared" si="84"/>
        <v>0.75</v>
      </c>
      <c r="N241" s="156">
        <f t="shared" si="84"/>
        <v>0.75</v>
      </c>
      <c r="O241" s="156">
        <f t="shared" si="84"/>
        <v>1</v>
      </c>
      <c r="P241" s="156">
        <f t="shared" si="84"/>
        <v>1</v>
      </c>
      <c r="Q241" s="156">
        <f t="shared" si="84"/>
        <v>0.25</v>
      </c>
      <c r="R241" s="156">
        <f t="shared" si="84"/>
        <v>0.25</v>
      </c>
      <c r="S241" s="156">
        <f t="shared" si="84"/>
        <v>0.5</v>
      </c>
      <c r="T241" s="156">
        <f t="shared" si="84"/>
        <v>0.5</v>
      </c>
      <c r="U241" s="156">
        <f t="shared" si="84"/>
        <v>0</v>
      </c>
      <c r="V241" s="156">
        <f t="shared" si="84"/>
        <v>0.25</v>
      </c>
      <c r="W241" s="156">
        <f t="shared" si="84"/>
        <v>0.25</v>
      </c>
      <c r="X241" s="156">
        <f t="shared" si="84"/>
        <v>0</v>
      </c>
      <c r="Y241" s="156">
        <f t="shared" si="84"/>
        <v>0</v>
      </c>
      <c r="Z241" s="156" t="str">
        <f t="shared" si="84"/>
        <v>#DIV/0!</v>
      </c>
      <c r="AA241" s="25"/>
      <c r="AB241" s="26">
        <f>SUM(AB236:AB239)/4</f>
        <v>0.53125</v>
      </c>
      <c r="AC241" s="2"/>
    </row>
    <row r="242">
      <c r="A242" s="157" t="s">
        <v>74</v>
      </c>
      <c r="B242" s="158"/>
      <c r="C242" s="159"/>
      <c r="D242" s="158"/>
      <c r="E242" s="158"/>
      <c r="F242" s="159">
        <v>20.0</v>
      </c>
      <c r="G242" s="159">
        <v>20.0</v>
      </c>
      <c r="H242" s="159">
        <v>20.0</v>
      </c>
      <c r="I242" s="159">
        <v>20.0</v>
      </c>
      <c r="J242" s="159">
        <v>20.0</v>
      </c>
      <c r="K242" s="159">
        <v>20.0</v>
      </c>
      <c r="L242" s="159">
        <v>20.0</v>
      </c>
      <c r="M242" s="158"/>
      <c r="N242" s="158"/>
      <c r="O242" s="158"/>
      <c r="P242" s="158"/>
      <c r="Q242" s="158"/>
      <c r="R242" s="158"/>
      <c r="S242" s="159">
        <v>20.0</v>
      </c>
      <c r="T242" s="159">
        <v>20.0</v>
      </c>
      <c r="U242" s="159">
        <v>10.0</v>
      </c>
      <c r="V242" s="158"/>
      <c r="W242" s="158"/>
      <c r="X242" s="158"/>
      <c r="Y242" s="158"/>
      <c r="Z242" s="158"/>
      <c r="AA242" s="30">
        <f t="shared" ref="AA242:AA244" si="85">SUM(B242:Z242)</f>
        <v>190</v>
      </c>
      <c r="AB242" s="31"/>
      <c r="AC242" s="2"/>
    </row>
    <row r="243">
      <c r="A243" s="160" t="s">
        <v>45</v>
      </c>
      <c r="B243" s="161"/>
      <c r="C243" s="161"/>
      <c r="D243" s="161"/>
      <c r="E243" s="161"/>
      <c r="F243" s="162">
        <v>2.0</v>
      </c>
      <c r="G243" s="161"/>
      <c r="H243" s="161"/>
      <c r="I243" s="161"/>
      <c r="J243" s="161"/>
      <c r="K243" s="161"/>
      <c r="L243" s="162">
        <v>4.0</v>
      </c>
      <c r="M243" s="161"/>
      <c r="N243" s="162">
        <v>3.0</v>
      </c>
      <c r="O243" s="161"/>
      <c r="P243" s="161"/>
      <c r="Q243" s="161"/>
      <c r="R243" s="161"/>
      <c r="S243" s="161"/>
      <c r="T243" s="161"/>
      <c r="U243" s="162">
        <v>8.0</v>
      </c>
      <c r="V243" s="159">
        <v>3.0</v>
      </c>
      <c r="W243" s="158"/>
      <c r="X243" s="159">
        <v>5.0</v>
      </c>
      <c r="Y243" s="158"/>
      <c r="Z243" s="158"/>
      <c r="AA243" s="30">
        <f t="shared" si="85"/>
        <v>25</v>
      </c>
      <c r="AB243" s="31"/>
      <c r="AC243" s="9"/>
    </row>
    <row r="244">
      <c r="A244" s="160" t="s">
        <v>46</v>
      </c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58"/>
      <c r="W244" s="158"/>
      <c r="X244" s="158"/>
      <c r="Y244" s="158"/>
      <c r="Z244" s="158"/>
      <c r="AA244" s="30">
        <f t="shared" si="85"/>
        <v>0</v>
      </c>
      <c r="AB244" s="31"/>
      <c r="AC244" s="9"/>
    </row>
    <row r="245">
      <c r="A245" s="163" t="s">
        <v>47</v>
      </c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7"/>
      <c r="AA245" s="38"/>
      <c r="AB245" s="39"/>
      <c r="AC245" s="2"/>
    </row>
    <row r="246">
      <c r="A246" s="164" t="s">
        <v>48</v>
      </c>
      <c r="B246" s="165"/>
      <c r="C246" s="166"/>
      <c r="D246" s="165"/>
      <c r="E246" s="165"/>
      <c r="F246" s="166">
        <v>1.0</v>
      </c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6">
        <v>1.0</v>
      </c>
      <c r="R246" s="165"/>
      <c r="S246" s="165"/>
      <c r="T246" s="165"/>
      <c r="U246" s="165"/>
      <c r="V246" s="167"/>
      <c r="W246" s="167"/>
      <c r="X246" s="178">
        <v>1.0</v>
      </c>
      <c r="Y246" s="167"/>
      <c r="Z246" s="167"/>
      <c r="AA246" s="44">
        <f t="shared" ref="AA246:AA247" si="86">SUM(B246:Z246)</f>
        <v>3</v>
      </c>
      <c r="AB246" s="31"/>
      <c r="AC246" s="2"/>
    </row>
    <row r="247">
      <c r="A247" s="164" t="s">
        <v>49</v>
      </c>
      <c r="B247" s="165"/>
      <c r="C247" s="166"/>
      <c r="D247" s="165"/>
      <c r="E247" s="165"/>
      <c r="F247" s="166">
        <v>20.0</v>
      </c>
      <c r="G247" s="166">
        <v>20.0</v>
      </c>
      <c r="H247" s="166">
        <v>20.0</v>
      </c>
      <c r="I247" s="166">
        <v>20.0</v>
      </c>
      <c r="J247" s="166">
        <v>20.0</v>
      </c>
      <c r="K247" s="166">
        <v>20.0</v>
      </c>
      <c r="L247" s="166">
        <v>20.0</v>
      </c>
      <c r="M247" s="166">
        <v>15.0</v>
      </c>
      <c r="N247" s="166">
        <v>15.0</v>
      </c>
      <c r="O247" s="165"/>
      <c r="P247" s="165"/>
      <c r="Q247" s="166">
        <v>20.0</v>
      </c>
      <c r="R247" s="166">
        <v>20.0</v>
      </c>
      <c r="S247" s="166">
        <v>20.0</v>
      </c>
      <c r="T247" s="166">
        <v>20.0</v>
      </c>
      <c r="U247" s="165"/>
      <c r="V247" s="167"/>
      <c r="W247" s="178">
        <v>10.0</v>
      </c>
      <c r="X247" s="178">
        <v>10.0</v>
      </c>
      <c r="Y247" s="178">
        <v>10.0</v>
      </c>
      <c r="Z247" s="167"/>
      <c r="AA247" s="44">
        <f t="shared" si="86"/>
        <v>280</v>
      </c>
      <c r="AB247" s="31"/>
      <c r="AC247" s="2"/>
    </row>
    <row r="248">
      <c r="A248" s="164" t="s">
        <v>50</v>
      </c>
      <c r="B248" s="166"/>
      <c r="C248" s="166"/>
      <c r="D248" s="165"/>
      <c r="E248" s="165"/>
      <c r="F248" s="166">
        <v>1.0</v>
      </c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6">
        <v>1.0</v>
      </c>
      <c r="R248" s="165"/>
      <c r="S248" s="165"/>
      <c r="T248" s="165"/>
      <c r="U248" s="165"/>
      <c r="V248" s="167"/>
      <c r="W248" s="167"/>
      <c r="X248" s="178">
        <v>1.0</v>
      </c>
      <c r="Y248" s="167"/>
      <c r="Z248" s="167"/>
      <c r="AA248" s="44">
        <f>AVERAGE(B248:Z248)</f>
        <v>1</v>
      </c>
      <c r="AB248" s="31"/>
      <c r="AC248" s="2"/>
    </row>
    <row r="249">
      <c r="A249" s="168" t="s">
        <v>51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7"/>
      <c r="AA249" s="46"/>
      <c r="AB249" s="39"/>
      <c r="AC249" s="2"/>
    </row>
    <row r="250">
      <c r="A250" s="169" t="s">
        <v>48</v>
      </c>
      <c r="B250" s="170"/>
      <c r="C250" s="154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0"/>
      <c r="V250" s="171"/>
      <c r="W250" s="171"/>
      <c r="X250" s="171"/>
      <c r="Y250" s="171"/>
      <c r="Z250" s="171"/>
      <c r="AA250" s="51">
        <f t="shared" ref="AA250:AA251" si="87">SUM(B250:Z250)</f>
        <v>0</v>
      </c>
      <c r="AB250" s="31"/>
      <c r="AC250" s="2"/>
    </row>
    <row r="251">
      <c r="A251" s="169" t="s">
        <v>49</v>
      </c>
      <c r="B251" s="170"/>
      <c r="C251" s="154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0"/>
      <c r="V251" s="171"/>
      <c r="W251" s="171"/>
      <c r="X251" s="171"/>
      <c r="Y251" s="171"/>
      <c r="Z251" s="171"/>
      <c r="AA251" s="51">
        <f t="shared" si="87"/>
        <v>0</v>
      </c>
      <c r="AB251" s="31"/>
      <c r="AC251" s="2"/>
    </row>
    <row r="252">
      <c r="A252" s="169" t="s">
        <v>50</v>
      </c>
      <c r="B252" s="154"/>
      <c r="C252" s="154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0"/>
      <c r="V252" s="171"/>
      <c r="W252" s="171"/>
      <c r="X252" s="171"/>
      <c r="Y252" s="171"/>
      <c r="Z252" s="171"/>
      <c r="AA252" s="51" t="str">
        <f>AVERAGE(B252:Z252)</f>
        <v>#DIV/0!</v>
      </c>
      <c r="AB252" s="31"/>
      <c r="AC252" s="2"/>
    </row>
    <row r="253">
      <c r="A253" s="163" t="s">
        <v>53</v>
      </c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7"/>
      <c r="AA253" s="38"/>
      <c r="AB253" s="39"/>
      <c r="AC253" s="2"/>
    </row>
    <row r="254">
      <c r="A254" s="164" t="s">
        <v>48</v>
      </c>
      <c r="B254" s="165"/>
      <c r="C254" s="166"/>
      <c r="D254" s="165"/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7"/>
      <c r="W254" s="167"/>
      <c r="X254" s="167"/>
      <c r="Y254" s="167"/>
      <c r="Z254" s="167"/>
      <c r="AA254" s="44">
        <f t="shared" ref="AA254:AA255" si="88">SUM(B254:Z254)</f>
        <v>0</v>
      </c>
      <c r="AB254" s="31"/>
      <c r="AC254" s="2"/>
    </row>
    <row r="255">
      <c r="A255" s="164" t="s">
        <v>49</v>
      </c>
      <c r="B255" s="165"/>
      <c r="C255" s="166"/>
      <c r="D255" s="165"/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7"/>
      <c r="W255" s="167"/>
      <c r="X255" s="167"/>
      <c r="Y255" s="167"/>
      <c r="Z255" s="167"/>
      <c r="AA255" s="44">
        <f t="shared" si="88"/>
        <v>0</v>
      </c>
      <c r="AB255" s="31"/>
      <c r="AC255" s="2"/>
    </row>
    <row r="256">
      <c r="A256" s="172" t="s">
        <v>50</v>
      </c>
      <c r="B256" s="173"/>
      <c r="C256" s="173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5"/>
      <c r="W256" s="175"/>
      <c r="X256" s="175"/>
      <c r="Y256" s="175"/>
      <c r="Z256" s="175"/>
      <c r="AA256" s="57" t="str">
        <f>AVERAGE(B256:Z256)</f>
        <v>#DIV/0!</v>
      </c>
      <c r="AB256" s="58"/>
      <c r="AC256" s="2"/>
    </row>
    <row r="257" ht="15.75" customHeight="1">
      <c r="A257" s="176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  <c r="AA257" s="59"/>
      <c r="AB257" s="59"/>
      <c r="AC257" s="2"/>
    </row>
    <row r="258">
      <c r="A258" s="151">
        <v>45952.0</v>
      </c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" t="s">
        <v>37</v>
      </c>
      <c r="AB258" s="16" t="s">
        <v>38</v>
      </c>
      <c r="AC258" s="2"/>
    </row>
    <row r="259">
      <c r="A259" s="153" t="s">
        <v>39</v>
      </c>
      <c r="B259" s="154">
        <v>1.0</v>
      </c>
      <c r="C259" s="154">
        <v>1.0</v>
      </c>
      <c r="D259" s="154">
        <v>1.0</v>
      </c>
      <c r="E259" s="154">
        <v>1.0</v>
      </c>
      <c r="F259" s="154">
        <v>0.0</v>
      </c>
      <c r="G259" s="154">
        <v>0.0</v>
      </c>
      <c r="H259" s="154">
        <v>0.0</v>
      </c>
      <c r="I259" s="154">
        <v>0.0</v>
      </c>
      <c r="J259" s="154">
        <v>0.0</v>
      </c>
      <c r="K259" s="154">
        <v>1.0</v>
      </c>
      <c r="L259" s="154">
        <v>1.0</v>
      </c>
      <c r="M259" s="154">
        <v>0.0</v>
      </c>
      <c r="N259" s="154">
        <v>0.0</v>
      </c>
      <c r="O259" s="154">
        <v>1.0</v>
      </c>
      <c r="P259" s="154">
        <v>1.0</v>
      </c>
      <c r="Q259" s="154">
        <v>0.0</v>
      </c>
      <c r="R259" s="154">
        <v>0.0</v>
      </c>
      <c r="S259" s="154">
        <v>0.0</v>
      </c>
      <c r="T259" s="154">
        <v>0.0</v>
      </c>
      <c r="U259" s="154">
        <v>0.0</v>
      </c>
      <c r="V259" s="154">
        <v>0.0</v>
      </c>
      <c r="W259" s="154">
        <v>0.0</v>
      </c>
      <c r="X259" s="154">
        <v>0.0</v>
      </c>
      <c r="Y259" s="154">
        <v>0.0</v>
      </c>
      <c r="Z259" s="154"/>
      <c r="AA259" s="20">
        <f t="shared" ref="AA259:AA263" si="89">SUM(B259:Z259)</f>
        <v>8</v>
      </c>
      <c r="AB259" s="21">
        <f t="shared" ref="AB259:AB262" si="90">AA259/(COUNT(B259:Z259)*1)</f>
        <v>0.3333333333</v>
      </c>
      <c r="AC259" s="2"/>
    </row>
    <row r="260">
      <c r="A260" s="153" t="s">
        <v>40</v>
      </c>
      <c r="B260" s="154">
        <v>1.0</v>
      </c>
      <c r="C260" s="154">
        <v>1.0</v>
      </c>
      <c r="D260" s="154">
        <v>1.0</v>
      </c>
      <c r="E260" s="154">
        <v>1.0</v>
      </c>
      <c r="F260" s="154">
        <v>1.0</v>
      </c>
      <c r="G260" s="154">
        <v>1.0</v>
      </c>
      <c r="H260" s="154">
        <v>1.0</v>
      </c>
      <c r="I260" s="154">
        <v>1.0</v>
      </c>
      <c r="J260" s="154">
        <v>1.0</v>
      </c>
      <c r="K260" s="154">
        <v>1.0</v>
      </c>
      <c r="L260" s="154">
        <v>1.0</v>
      </c>
      <c r="M260" s="154">
        <v>1.0</v>
      </c>
      <c r="N260" s="154">
        <v>1.0</v>
      </c>
      <c r="O260" s="154">
        <v>1.0</v>
      </c>
      <c r="P260" s="154">
        <v>1.0</v>
      </c>
      <c r="Q260" s="154">
        <v>0.0</v>
      </c>
      <c r="R260" s="154">
        <v>0.0</v>
      </c>
      <c r="S260" s="154">
        <v>0.0</v>
      </c>
      <c r="T260" s="154">
        <v>0.0</v>
      </c>
      <c r="U260" s="154">
        <v>0.0</v>
      </c>
      <c r="V260" s="154">
        <v>0.0</v>
      </c>
      <c r="W260" s="154">
        <v>0.0</v>
      </c>
      <c r="X260" s="154">
        <v>1.0</v>
      </c>
      <c r="Y260" s="154">
        <v>1.0</v>
      </c>
      <c r="Z260" s="154"/>
      <c r="AA260" s="20">
        <f t="shared" si="89"/>
        <v>17</v>
      </c>
      <c r="AB260" s="21">
        <f t="shared" si="90"/>
        <v>0.7083333333</v>
      </c>
      <c r="AC260" s="2"/>
    </row>
    <row r="261">
      <c r="A261" s="153" t="s">
        <v>41</v>
      </c>
      <c r="B261" s="154">
        <v>1.0</v>
      </c>
      <c r="C261" s="154">
        <v>1.0</v>
      </c>
      <c r="D261" s="154">
        <v>0.0</v>
      </c>
      <c r="E261" s="154">
        <v>0.0</v>
      </c>
      <c r="F261" s="154">
        <v>0.0</v>
      </c>
      <c r="G261" s="154">
        <v>0.0</v>
      </c>
      <c r="H261" s="154">
        <v>0.0</v>
      </c>
      <c r="I261" s="154">
        <v>0.0</v>
      </c>
      <c r="J261" s="154">
        <v>0.0</v>
      </c>
      <c r="K261" s="154">
        <v>0.0</v>
      </c>
      <c r="L261" s="154">
        <v>1.0</v>
      </c>
      <c r="M261" s="154">
        <v>1.0</v>
      </c>
      <c r="N261" s="154">
        <v>1.0</v>
      </c>
      <c r="O261" s="154">
        <v>1.0</v>
      </c>
      <c r="P261" s="154">
        <v>1.0</v>
      </c>
      <c r="Q261" s="154">
        <v>0.0</v>
      </c>
      <c r="R261" s="154">
        <v>0.0</v>
      </c>
      <c r="S261" s="154">
        <v>1.0</v>
      </c>
      <c r="T261" s="154">
        <v>1.0</v>
      </c>
      <c r="U261" s="154">
        <v>1.0</v>
      </c>
      <c r="V261" s="154">
        <v>1.0</v>
      </c>
      <c r="W261" s="154">
        <v>0.0</v>
      </c>
      <c r="X261" s="154">
        <v>1.0</v>
      </c>
      <c r="Y261" s="154">
        <v>1.0</v>
      </c>
      <c r="Z261" s="154"/>
      <c r="AA261" s="20">
        <f t="shared" si="89"/>
        <v>13</v>
      </c>
      <c r="AB261" s="21">
        <f t="shared" si="90"/>
        <v>0.5416666667</v>
      </c>
      <c r="AC261" s="2"/>
    </row>
    <row r="262">
      <c r="A262" s="153" t="s">
        <v>42</v>
      </c>
      <c r="B262" s="154">
        <v>1.0</v>
      </c>
      <c r="C262" s="154">
        <v>1.0</v>
      </c>
      <c r="D262" s="154">
        <v>1.0</v>
      </c>
      <c r="E262" s="154">
        <v>1.0</v>
      </c>
      <c r="F262" s="154">
        <v>1.0</v>
      </c>
      <c r="G262" s="154">
        <v>1.0</v>
      </c>
      <c r="H262" s="154">
        <v>1.0</v>
      </c>
      <c r="I262" s="154">
        <v>1.0</v>
      </c>
      <c r="J262" s="154">
        <v>0.0</v>
      </c>
      <c r="K262" s="154">
        <v>0.0</v>
      </c>
      <c r="L262" s="154">
        <v>1.0</v>
      </c>
      <c r="M262" s="154">
        <v>1.0</v>
      </c>
      <c r="N262" s="154">
        <v>1.0</v>
      </c>
      <c r="O262" s="154">
        <v>1.0</v>
      </c>
      <c r="P262" s="154">
        <v>1.0</v>
      </c>
      <c r="Q262" s="154">
        <v>0.0</v>
      </c>
      <c r="R262" s="154">
        <v>0.0</v>
      </c>
      <c r="S262" s="154">
        <v>1.0</v>
      </c>
      <c r="T262" s="154">
        <v>1.0</v>
      </c>
      <c r="U262" s="154">
        <v>1.0</v>
      </c>
      <c r="V262" s="154">
        <v>1.0</v>
      </c>
      <c r="W262" s="154">
        <v>1.0</v>
      </c>
      <c r="X262" s="154">
        <v>1.0</v>
      </c>
      <c r="Y262" s="154">
        <v>1.0</v>
      </c>
      <c r="Z262" s="154"/>
      <c r="AA262" s="20">
        <f t="shared" si="89"/>
        <v>20</v>
      </c>
      <c r="AB262" s="21">
        <f t="shared" si="90"/>
        <v>0.8333333333</v>
      </c>
      <c r="AC262" s="2"/>
    </row>
    <row r="263">
      <c r="A263" s="153" t="s">
        <v>43</v>
      </c>
      <c r="B263" s="155">
        <f t="shared" ref="B263:Z263" si="91">SUM(B259:B262)</f>
        <v>4</v>
      </c>
      <c r="C263" s="155">
        <f t="shared" si="91"/>
        <v>4</v>
      </c>
      <c r="D263" s="155">
        <f t="shared" si="91"/>
        <v>3</v>
      </c>
      <c r="E263" s="155">
        <f t="shared" si="91"/>
        <v>3</v>
      </c>
      <c r="F263" s="155">
        <f t="shared" si="91"/>
        <v>2</v>
      </c>
      <c r="G263" s="155">
        <f t="shared" si="91"/>
        <v>2</v>
      </c>
      <c r="H263" s="155">
        <f t="shared" si="91"/>
        <v>2</v>
      </c>
      <c r="I263" s="155">
        <f t="shared" si="91"/>
        <v>2</v>
      </c>
      <c r="J263" s="155">
        <f t="shared" si="91"/>
        <v>1</v>
      </c>
      <c r="K263" s="155">
        <f t="shared" si="91"/>
        <v>2</v>
      </c>
      <c r="L263" s="155">
        <f t="shared" si="91"/>
        <v>4</v>
      </c>
      <c r="M263" s="155">
        <f t="shared" si="91"/>
        <v>3</v>
      </c>
      <c r="N263" s="155">
        <f t="shared" si="91"/>
        <v>3</v>
      </c>
      <c r="O263" s="155">
        <f t="shared" si="91"/>
        <v>4</v>
      </c>
      <c r="P263" s="155">
        <f t="shared" si="91"/>
        <v>4</v>
      </c>
      <c r="Q263" s="155">
        <f t="shared" si="91"/>
        <v>0</v>
      </c>
      <c r="R263" s="155">
        <f t="shared" si="91"/>
        <v>0</v>
      </c>
      <c r="S263" s="155">
        <f t="shared" si="91"/>
        <v>2</v>
      </c>
      <c r="T263" s="155">
        <f t="shared" si="91"/>
        <v>2</v>
      </c>
      <c r="U263" s="155">
        <f t="shared" si="91"/>
        <v>2</v>
      </c>
      <c r="V263" s="155">
        <f t="shared" si="91"/>
        <v>2</v>
      </c>
      <c r="W263" s="155">
        <f t="shared" si="91"/>
        <v>1</v>
      </c>
      <c r="X263" s="155">
        <f t="shared" si="91"/>
        <v>3</v>
      </c>
      <c r="Y263" s="155">
        <f t="shared" si="91"/>
        <v>3</v>
      </c>
      <c r="Z263" s="155">
        <f t="shared" si="91"/>
        <v>0</v>
      </c>
      <c r="AA263" s="20">
        <f t="shared" si="89"/>
        <v>58</v>
      </c>
      <c r="AB263" s="23"/>
      <c r="AC263" s="2"/>
    </row>
    <row r="264">
      <c r="A264" s="153" t="s">
        <v>38</v>
      </c>
      <c r="B264" s="156">
        <f t="shared" ref="B264:Z264" si="92">B263/(COUNT(B259:B262)*1)</f>
        <v>1</v>
      </c>
      <c r="C264" s="156">
        <f t="shared" si="92"/>
        <v>1</v>
      </c>
      <c r="D264" s="156">
        <f t="shared" si="92"/>
        <v>0.75</v>
      </c>
      <c r="E264" s="156">
        <f t="shared" si="92"/>
        <v>0.75</v>
      </c>
      <c r="F264" s="156">
        <f t="shared" si="92"/>
        <v>0.5</v>
      </c>
      <c r="G264" s="156">
        <f t="shared" si="92"/>
        <v>0.5</v>
      </c>
      <c r="H264" s="156">
        <f t="shared" si="92"/>
        <v>0.5</v>
      </c>
      <c r="I264" s="156">
        <f t="shared" si="92"/>
        <v>0.5</v>
      </c>
      <c r="J264" s="156">
        <f t="shared" si="92"/>
        <v>0.25</v>
      </c>
      <c r="K264" s="156">
        <f t="shared" si="92"/>
        <v>0.5</v>
      </c>
      <c r="L264" s="156">
        <f t="shared" si="92"/>
        <v>1</v>
      </c>
      <c r="M264" s="156">
        <f t="shared" si="92"/>
        <v>0.75</v>
      </c>
      <c r="N264" s="156">
        <f t="shared" si="92"/>
        <v>0.75</v>
      </c>
      <c r="O264" s="156">
        <f t="shared" si="92"/>
        <v>1</v>
      </c>
      <c r="P264" s="156">
        <f t="shared" si="92"/>
        <v>1</v>
      </c>
      <c r="Q264" s="156">
        <f t="shared" si="92"/>
        <v>0</v>
      </c>
      <c r="R264" s="156">
        <f t="shared" si="92"/>
        <v>0</v>
      </c>
      <c r="S264" s="156">
        <f t="shared" si="92"/>
        <v>0.5</v>
      </c>
      <c r="T264" s="156">
        <f t="shared" si="92"/>
        <v>0.5</v>
      </c>
      <c r="U264" s="156">
        <f t="shared" si="92"/>
        <v>0.5</v>
      </c>
      <c r="V264" s="156">
        <f t="shared" si="92"/>
        <v>0.5</v>
      </c>
      <c r="W264" s="156">
        <f t="shared" si="92"/>
        <v>0.25</v>
      </c>
      <c r="X264" s="156">
        <f t="shared" si="92"/>
        <v>0.75</v>
      </c>
      <c r="Y264" s="156">
        <f t="shared" si="92"/>
        <v>0.75</v>
      </c>
      <c r="Z264" s="156" t="str">
        <f t="shared" si="92"/>
        <v>#DIV/0!</v>
      </c>
      <c r="AA264" s="25"/>
      <c r="AB264" s="26">
        <f>SUM(AB259:AB262)/4</f>
        <v>0.6041666667</v>
      </c>
      <c r="AC264" s="2"/>
    </row>
    <row r="265">
      <c r="A265" s="157" t="s">
        <v>74</v>
      </c>
      <c r="B265" s="158"/>
      <c r="C265" s="159"/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  <c r="AA265" s="30">
        <f t="shared" ref="AA265:AA267" si="93">SUM(B265:Z265)</f>
        <v>0</v>
      </c>
      <c r="AB265" s="31"/>
      <c r="AC265" s="2"/>
    </row>
    <row r="266">
      <c r="A266" s="160" t="s">
        <v>45</v>
      </c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58"/>
      <c r="W266" s="158"/>
      <c r="X266" s="158"/>
      <c r="Y266" s="158"/>
      <c r="Z266" s="158"/>
      <c r="AA266" s="30">
        <f t="shared" si="93"/>
        <v>0</v>
      </c>
      <c r="AB266" s="31"/>
      <c r="AC266" s="9"/>
    </row>
    <row r="267">
      <c r="A267" s="160" t="s">
        <v>46</v>
      </c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58"/>
      <c r="W267" s="158"/>
      <c r="X267" s="158"/>
      <c r="Y267" s="158"/>
      <c r="Z267" s="158"/>
      <c r="AA267" s="30">
        <f t="shared" si="93"/>
        <v>0</v>
      </c>
      <c r="AB267" s="31"/>
      <c r="AC267" s="9"/>
    </row>
    <row r="268">
      <c r="A268" s="163" t="s">
        <v>47</v>
      </c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7"/>
      <c r="AA268" s="38"/>
      <c r="AB268" s="39"/>
      <c r="AC268" s="2"/>
    </row>
    <row r="269">
      <c r="A269" s="164" t="s">
        <v>48</v>
      </c>
      <c r="B269" s="165"/>
      <c r="C269" s="166"/>
      <c r="D269" s="165"/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7"/>
      <c r="W269" s="167"/>
      <c r="X269" s="167"/>
      <c r="Y269" s="167"/>
      <c r="Z269" s="167"/>
      <c r="AA269" s="44">
        <f t="shared" ref="AA269:AA270" si="94">SUM(B269:Z269)</f>
        <v>0</v>
      </c>
      <c r="AB269" s="31"/>
      <c r="AC269" s="2"/>
    </row>
    <row r="270">
      <c r="A270" s="164" t="s">
        <v>49</v>
      </c>
      <c r="B270" s="165"/>
      <c r="C270" s="166"/>
      <c r="D270" s="165"/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7"/>
      <c r="W270" s="167"/>
      <c r="X270" s="167"/>
      <c r="Y270" s="167"/>
      <c r="Z270" s="167"/>
      <c r="AA270" s="44">
        <f t="shared" si="94"/>
        <v>0</v>
      </c>
      <c r="AB270" s="31"/>
      <c r="AC270" s="2"/>
    </row>
    <row r="271">
      <c r="A271" s="164" t="s">
        <v>50</v>
      </c>
      <c r="B271" s="166"/>
      <c r="C271" s="166"/>
      <c r="D271" s="165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7"/>
      <c r="W271" s="167"/>
      <c r="X271" s="167"/>
      <c r="Y271" s="167"/>
      <c r="Z271" s="167"/>
      <c r="AA271" s="44" t="str">
        <f>AVERAGE(B271:Z271)</f>
        <v>#DIV/0!</v>
      </c>
      <c r="AB271" s="31"/>
      <c r="AC271" s="2"/>
    </row>
    <row r="272">
      <c r="A272" s="168" t="s">
        <v>51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7"/>
      <c r="AA272" s="46"/>
      <c r="AB272" s="39"/>
      <c r="AC272" s="2"/>
    </row>
    <row r="273">
      <c r="A273" s="169" t="s">
        <v>48</v>
      </c>
      <c r="B273" s="170"/>
      <c r="C273" s="154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0"/>
      <c r="V273" s="171"/>
      <c r="W273" s="171"/>
      <c r="X273" s="171"/>
      <c r="Y273" s="171"/>
      <c r="Z273" s="171"/>
      <c r="AA273" s="51">
        <f t="shared" ref="AA273:AA274" si="95">SUM(B273:Z273)</f>
        <v>0</v>
      </c>
      <c r="AB273" s="31"/>
      <c r="AC273" s="2"/>
    </row>
    <row r="274">
      <c r="A274" s="169" t="s">
        <v>49</v>
      </c>
      <c r="B274" s="170"/>
      <c r="C274" s="154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1"/>
      <c r="W274" s="171"/>
      <c r="X274" s="171"/>
      <c r="Y274" s="171"/>
      <c r="Z274" s="171"/>
      <c r="AA274" s="51">
        <f t="shared" si="95"/>
        <v>0</v>
      </c>
      <c r="AB274" s="31"/>
      <c r="AC274" s="2"/>
    </row>
    <row r="275">
      <c r="A275" s="169" t="s">
        <v>50</v>
      </c>
      <c r="B275" s="154"/>
      <c r="C275" s="154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1"/>
      <c r="W275" s="171"/>
      <c r="X275" s="171"/>
      <c r="Y275" s="171"/>
      <c r="Z275" s="171"/>
      <c r="AA275" s="51" t="str">
        <f>AVERAGE(B275:Z275)</f>
        <v>#DIV/0!</v>
      </c>
      <c r="AB275" s="31"/>
      <c r="AC275" s="2"/>
    </row>
    <row r="276">
      <c r="A276" s="163" t="s">
        <v>53</v>
      </c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7"/>
      <c r="AA276" s="38"/>
      <c r="AB276" s="39"/>
      <c r="AC276" s="2"/>
    </row>
    <row r="277">
      <c r="A277" s="164" t="s">
        <v>48</v>
      </c>
      <c r="B277" s="165"/>
      <c r="C277" s="166"/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7"/>
      <c r="W277" s="167"/>
      <c r="X277" s="167"/>
      <c r="Y277" s="167"/>
      <c r="Z277" s="167"/>
      <c r="AA277" s="44">
        <f t="shared" ref="AA277:AA278" si="96">SUM(B277:Z277)</f>
        <v>0</v>
      </c>
      <c r="AB277" s="31"/>
      <c r="AC277" s="2"/>
    </row>
    <row r="278">
      <c r="A278" s="164" t="s">
        <v>49</v>
      </c>
      <c r="B278" s="165"/>
      <c r="C278" s="166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7"/>
      <c r="W278" s="167"/>
      <c r="X278" s="167"/>
      <c r="Y278" s="167"/>
      <c r="Z278" s="167"/>
      <c r="AA278" s="44">
        <f t="shared" si="96"/>
        <v>0</v>
      </c>
      <c r="AB278" s="31"/>
      <c r="AC278" s="2"/>
    </row>
    <row r="279">
      <c r="A279" s="172" t="s">
        <v>50</v>
      </c>
      <c r="B279" s="173"/>
      <c r="C279" s="173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5"/>
      <c r="W279" s="175"/>
      <c r="X279" s="175"/>
      <c r="Y279" s="175"/>
      <c r="Z279" s="175"/>
      <c r="AA279" s="57" t="str">
        <f>AVERAGE(B279:Z279)</f>
        <v>#DIV/0!</v>
      </c>
      <c r="AB279" s="58"/>
      <c r="AC279" s="2"/>
    </row>
    <row r="280" ht="15.75" customHeight="1">
      <c r="A280" s="176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  <c r="AA280" s="59"/>
      <c r="AB280" s="59"/>
      <c r="AC280" s="2"/>
    </row>
    <row r="281">
      <c r="A281" s="151">
        <v>45953.0</v>
      </c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" t="s">
        <v>37</v>
      </c>
      <c r="AB281" s="16" t="s">
        <v>38</v>
      </c>
      <c r="AC281" s="2"/>
    </row>
    <row r="282">
      <c r="A282" s="153" t="s">
        <v>39</v>
      </c>
      <c r="B282" s="154">
        <v>1.0</v>
      </c>
      <c r="C282" s="154">
        <v>1.0</v>
      </c>
      <c r="D282" s="154">
        <v>1.0</v>
      </c>
      <c r="E282" s="154">
        <v>0.0</v>
      </c>
      <c r="F282" s="154">
        <v>0.0</v>
      </c>
      <c r="G282" s="154">
        <v>0.0</v>
      </c>
      <c r="H282" s="154">
        <v>0.0</v>
      </c>
      <c r="I282" s="154">
        <v>0.0</v>
      </c>
      <c r="J282" s="154">
        <v>0.0</v>
      </c>
      <c r="K282" s="154">
        <v>0.0</v>
      </c>
      <c r="L282" s="154">
        <v>0.0</v>
      </c>
      <c r="M282" s="154">
        <v>1.0</v>
      </c>
      <c r="N282" s="154">
        <v>1.0</v>
      </c>
      <c r="O282" s="154">
        <v>1.0</v>
      </c>
      <c r="P282" s="154">
        <v>1.0</v>
      </c>
      <c r="Q282" s="154">
        <v>1.0</v>
      </c>
      <c r="R282" s="154">
        <v>1.0</v>
      </c>
      <c r="S282" s="154">
        <v>0.0</v>
      </c>
      <c r="T282" s="154">
        <v>0.0</v>
      </c>
      <c r="U282" s="154">
        <v>0.0</v>
      </c>
      <c r="V282" s="154">
        <v>0.0</v>
      </c>
      <c r="W282" s="154">
        <v>0.0</v>
      </c>
      <c r="X282" s="154">
        <v>0.0</v>
      </c>
      <c r="Y282" s="154">
        <v>0.0</v>
      </c>
      <c r="Z282" s="154"/>
      <c r="AA282" s="20">
        <f t="shared" ref="AA282:AA286" si="97">SUM(B282:Z282)</f>
        <v>9</v>
      </c>
      <c r="AB282" s="21">
        <f t="shared" ref="AB282:AB285" si="98">AA282/(COUNT(B282:Z282)*1)</f>
        <v>0.375</v>
      </c>
      <c r="AC282" s="2"/>
    </row>
    <row r="283">
      <c r="A283" s="153" t="s">
        <v>40</v>
      </c>
      <c r="B283" s="154">
        <v>1.0</v>
      </c>
      <c r="C283" s="154">
        <v>0.0</v>
      </c>
      <c r="D283" s="154">
        <v>0.0</v>
      </c>
      <c r="E283" s="154">
        <v>1.0</v>
      </c>
      <c r="F283" s="154">
        <v>1.0</v>
      </c>
      <c r="G283" s="154">
        <v>1.0</v>
      </c>
      <c r="H283" s="154">
        <v>1.0</v>
      </c>
      <c r="I283" s="154">
        <v>1.0</v>
      </c>
      <c r="J283" s="154">
        <v>1.0</v>
      </c>
      <c r="K283" s="154">
        <v>1.0</v>
      </c>
      <c r="L283" s="154">
        <v>1.0</v>
      </c>
      <c r="M283" s="154">
        <v>1.0</v>
      </c>
      <c r="N283" s="154">
        <v>1.0</v>
      </c>
      <c r="O283" s="154">
        <v>1.0</v>
      </c>
      <c r="P283" s="154">
        <v>0.0</v>
      </c>
      <c r="Q283" s="154">
        <v>0.0</v>
      </c>
      <c r="R283" s="154">
        <v>0.0</v>
      </c>
      <c r="S283" s="154">
        <v>0.0</v>
      </c>
      <c r="T283" s="154">
        <v>0.0</v>
      </c>
      <c r="U283" s="154">
        <v>0.0</v>
      </c>
      <c r="V283" s="154">
        <v>0.0</v>
      </c>
      <c r="W283" s="154">
        <v>1.0</v>
      </c>
      <c r="X283" s="154">
        <v>0.0</v>
      </c>
      <c r="Y283" s="154">
        <v>1.0</v>
      </c>
      <c r="Z283" s="154"/>
      <c r="AA283" s="20">
        <f t="shared" si="97"/>
        <v>14</v>
      </c>
      <c r="AB283" s="21">
        <f t="shared" si="98"/>
        <v>0.5833333333</v>
      </c>
      <c r="AC283" s="2"/>
    </row>
    <row r="284">
      <c r="A284" s="153" t="s">
        <v>41</v>
      </c>
      <c r="B284" s="154">
        <v>1.0</v>
      </c>
      <c r="C284" s="154">
        <v>0.0</v>
      </c>
      <c r="D284" s="154">
        <v>0.0</v>
      </c>
      <c r="E284" s="154">
        <v>0.0</v>
      </c>
      <c r="F284" s="154">
        <v>0.0</v>
      </c>
      <c r="G284" s="154">
        <v>1.0</v>
      </c>
      <c r="H284" s="154">
        <v>1.0</v>
      </c>
      <c r="I284" s="154">
        <v>1.0</v>
      </c>
      <c r="J284" s="154">
        <v>1.0</v>
      </c>
      <c r="K284" s="154">
        <v>1.0</v>
      </c>
      <c r="L284" s="154">
        <v>1.0</v>
      </c>
      <c r="M284" s="154">
        <v>1.0</v>
      </c>
      <c r="N284" s="154">
        <v>1.0</v>
      </c>
      <c r="O284" s="154">
        <v>1.0</v>
      </c>
      <c r="P284" s="154">
        <v>0.0</v>
      </c>
      <c r="Q284" s="154">
        <v>0.0</v>
      </c>
      <c r="R284" s="154">
        <v>0.0</v>
      </c>
      <c r="S284" s="154">
        <v>0.0</v>
      </c>
      <c r="T284" s="154">
        <v>0.0</v>
      </c>
      <c r="U284" s="154">
        <v>0.0</v>
      </c>
      <c r="V284" s="154">
        <v>0.0</v>
      </c>
      <c r="W284" s="154">
        <v>0.0</v>
      </c>
      <c r="X284" s="154">
        <v>0.0</v>
      </c>
      <c r="Y284" s="154">
        <v>0.0</v>
      </c>
      <c r="Z284" s="154"/>
      <c r="AA284" s="20">
        <f t="shared" si="97"/>
        <v>10</v>
      </c>
      <c r="AB284" s="21">
        <f t="shared" si="98"/>
        <v>0.4166666667</v>
      </c>
      <c r="AC284" s="2"/>
    </row>
    <row r="285">
      <c r="A285" s="153" t="s">
        <v>42</v>
      </c>
      <c r="B285" s="154">
        <v>1.0</v>
      </c>
      <c r="C285" s="154">
        <v>1.0</v>
      </c>
      <c r="D285" s="154">
        <v>1.0</v>
      </c>
      <c r="E285" s="154">
        <v>1.0</v>
      </c>
      <c r="F285" s="154">
        <v>1.0</v>
      </c>
      <c r="G285" s="154">
        <v>1.0</v>
      </c>
      <c r="H285" s="154">
        <v>1.0</v>
      </c>
      <c r="I285" s="154">
        <v>1.0</v>
      </c>
      <c r="J285" s="154">
        <v>0.0</v>
      </c>
      <c r="K285" s="154">
        <v>0.0</v>
      </c>
      <c r="L285" s="154">
        <v>1.0</v>
      </c>
      <c r="M285" s="154">
        <v>1.0</v>
      </c>
      <c r="N285" s="154">
        <v>1.0</v>
      </c>
      <c r="O285" s="154">
        <v>1.0</v>
      </c>
      <c r="P285" s="154">
        <v>0.0</v>
      </c>
      <c r="Q285" s="154">
        <v>0.0</v>
      </c>
      <c r="R285" s="154">
        <v>1.0</v>
      </c>
      <c r="S285" s="154">
        <v>1.0</v>
      </c>
      <c r="T285" s="154">
        <v>1.0</v>
      </c>
      <c r="U285" s="154">
        <v>1.0</v>
      </c>
      <c r="V285" s="154">
        <v>0.0</v>
      </c>
      <c r="W285" s="154">
        <v>1.0</v>
      </c>
      <c r="X285" s="154">
        <v>0.0</v>
      </c>
      <c r="Y285" s="154">
        <v>1.0</v>
      </c>
      <c r="Z285" s="154"/>
      <c r="AA285" s="20">
        <f t="shared" si="97"/>
        <v>18</v>
      </c>
      <c r="AB285" s="21">
        <f t="shared" si="98"/>
        <v>0.75</v>
      </c>
      <c r="AC285" s="2"/>
    </row>
    <row r="286">
      <c r="A286" s="153" t="s">
        <v>43</v>
      </c>
      <c r="B286" s="155">
        <f t="shared" ref="B286:Z286" si="99">SUM(B282:B285)</f>
        <v>4</v>
      </c>
      <c r="C286" s="155">
        <f t="shared" si="99"/>
        <v>2</v>
      </c>
      <c r="D286" s="155">
        <f t="shared" si="99"/>
        <v>2</v>
      </c>
      <c r="E286" s="155">
        <f t="shared" si="99"/>
        <v>2</v>
      </c>
      <c r="F286" s="155">
        <f t="shared" si="99"/>
        <v>2</v>
      </c>
      <c r="G286" s="155">
        <f t="shared" si="99"/>
        <v>3</v>
      </c>
      <c r="H286" s="155">
        <f t="shared" si="99"/>
        <v>3</v>
      </c>
      <c r="I286" s="155">
        <f t="shared" si="99"/>
        <v>3</v>
      </c>
      <c r="J286" s="155">
        <f t="shared" si="99"/>
        <v>2</v>
      </c>
      <c r="K286" s="155">
        <f t="shared" si="99"/>
        <v>2</v>
      </c>
      <c r="L286" s="155">
        <f t="shared" si="99"/>
        <v>3</v>
      </c>
      <c r="M286" s="155">
        <f t="shared" si="99"/>
        <v>4</v>
      </c>
      <c r="N286" s="155">
        <f t="shared" si="99"/>
        <v>4</v>
      </c>
      <c r="O286" s="155">
        <f t="shared" si="99"/>
        <v>4</v>
      </c>
      <c r="P286" s="155">
        <f t="shared" si="99"/>
        <v>1</v>
      </c>
      <c r="Q286" s="155">
        <f t="shared" si="99"/>
        <v>1</v>
      </c>
      <c r="R286" s="155">
        <f t="shared" si="99"/>
        <v>2</v>
      </c>
      <c r="S286" s="155">
        <f t="shared" si="99"/>
        <v>1</v>
      </c>
      <c r="T286" s="155">
        <f t="shared" si="99"/>
        <v>1</v>
      </c>
      <c r="U286" s="155">
        <f t="shared" si="99"/>
        <v>1</v>
      </c>
      <c r="V286" s="155">
        <f t="shared" si="99"/>
        <v>0</v>
      </c>
      <c r="W286" s="155">
        <f t="shared" si="99"/>
        <v>2</v>
      </c>
      <c r="X286" s="155">
        <f t="shared" si="99"/>
        <v>0</v>
      </c>
      <c r="Y286" s="155">
        <f t="shared" si="99"/>
        <v>2</v>
      </c>
      <c r="Z286" s="155">
        <f t="shared" si="99"/>
        <v>0</v>
      </c>
      <c r="AA286" s="20">
        <f t="shared" si="97"/>
        <v>51</v>
      </c>
      <c r="AB286" s="23"/>
      <c r="AC286" s="2"/>
    </row>
    <row r="287">
      <c r="A287" s="153" t="s">
        <v>38</v>
      </c>
      <c r="B287" s="156">
        <f t="shared" ref="B287:Z287" si="100">B286/(COUNT(B282:B285)*1)</f>
        <v>1</v>
      </c>
      <c r="C287" s="156">
        <f t="shared" si="100"/>
        <v>0.5</v>
      </c>
      <c r="D287" s="156">
        <f t="shared" si="100"/>
        <v>0.5</v>
      </c>
      <c r="E287" s="156">
        <f t="shared" si="100"/>
        <v>0.5</v>
      </c>
      <c r="F287" s="156">
        <f t="shared" si="100"/>
        <v>0.5</v>
      </c>
      <c r="G287" s="156">
        <f t="shared" si="100"/>
        <v>0.75</v>
      </c>
      <c r="H287" s="156">
        <f t="shared" si="100"/>
        <v>0.75</v>
      </c>
      <c r="I287" s="156">
        <f t="shared" si="100"/>
        <v>0.75</v>
      </c>
      <c r="J287" s="156">
        <f t="shared" si="100"/>
        <v>0.5</v>
      </c>
      <c r="K287" s="156">
        <f t="shared" si="100"/>
        <v>0.5</v>
      </c>
      <c r="L287" s="156">
        <f t="shared" si="100"/>
        <v>0.75</v>
      </c>
      <c r="M287" s="156">
        <f t="shared" si="100"/>
        <v>1</v>
      </c>
      <c r="N287" s="156">
        <f t="shared" si="100"/>
        <v>1</v>
      </c>
      <c r="O287" s="156">
        <f t="shared" si="100"/>
        <v>1</v>
      </c>
      <c r="P287" s="156">
        <f t="shared" si="100"/>
        <v>0.25</v>
      </c>
      <c r="Q287" s="156">
        <f t="shared" si="100"/>
        <v>0.25</v>
      </c>
      <c r="R287" s="156">
        <f t="shared" si="100"/>
        <v>0.5</v>
      </c>
      <c r="S287" s="156">
        <f t="shared" si="100"/>
        <v>0.25</v>
      </c>
      <c r="T287" s="156">
        <f t="shared" si="100"/>
        <v>0.25</v>
      </c>
      <c r="U287" s="156">
        <f t="shared" si="100"/>
        <v>0.25</v>
      </c>
      <c r="V287" s="156">
        <f t="shared" si="100"/>
        <v>0</v>
      </c>
      <c r="W287" s="156">
        <f t="shared" si="100"/>
        <v>0.5</v>
      </c>
      <c r="X287" s="156">
        <f t="shared" si="100"/>
        <v>0</v>
      </c>
      <c r="Y287" s="156">
        <f t="shared" si="100"/>
        <v>0.5</v>
      </c>
      <c r="Z287" s="156" t="str">
        <f t="shared" si="100"/>
        <v>#DIV/0!</v>
      </c>
      <c r="AA287" s="25"/>
      <c r="AB287" s="26">
        <f>SUM(AB282:AB285)/4</f>
        <v>0.53125</v>
      </c>
      <c r="AC287" s="2"/>
    </row>
    <row r="288">
      <c r="A288" s="157" t="s">
        <v>74</v>
      </c>
      <c r="B288" s="158"/>
      <c r="C288" s="159"/>
      <c r="D288" s="159"/>
      <c r="E288" s="159">
        <v>10.0</v>
      </c>
      <c r="F288" s="159">
        <v>20.0</v>
      </c>
      <c r="G288" s="159">
        <v>10.0</v>
      </c>
      <c r="H288" s="159">
        <v>10.0</v>
      </c>
      <c r="I288" s="159">
        <v>10.0</v>
      </c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  <c r="AA288" s="30">
        <f t="shared" ref="AA288:AA290" si="101">SUM(B288:Z288)</f>
        <v>60</v>
      </c>
      <c r="AB288" s="31"/>
      <c r="AC288" s="2"/>
    </row>
    <row r="289">
      <c r="A289" s="160" t="s">
        <v>45</v>
      </c>
      <c r="B289" s="161"/>
      <c r="C289" s="161"/>
      <c r="D289" s="161"/>
      <c r="E289" s="161"/>
      <c r="F289" s="161"/>
      <c r="G289" s="161"/>
      <c r="H289" s="162"/>
      <c r="I289" s="162">
        <v>4.0</v>
      </c>
      <c r="J289" s="162">
        <v>4.0</v>
      </c>
      <c r="K289" s="162">
        <v>3.0</v>
      </c>
      <c r="L289" s="162"/>
      <c r="M289" s="162"/>
      <c r="N289" s="162">
        <v>5.0</v>
      </c>
      <c r="O289" s="162"/>
      <c r="P289" s="161"/>
      <c r="Q289" s="162"/>
      <c r="R289" s="162">
        <v>4.0</v>
      </c>
      <c r="S289" s="162"/>
      <c r="T289" s="162"/>
      <c r="U289" s="162"/>
      <c r="V289" s="159">
        <v>3.0</v>
      </c>
      <c r="W289" s="159">
        <v>3.0</v>
      </c>
      <c r="X289" s="159">
        <v>4.0</v>
      </c>
      <c r="Y289" s="158"/>
      <c r="Z289" s="158"/>
      <c r="AA289" s="30">
        <f t="shared" si="101"/>
        <v>30</v>
      </c>
      <c r="AB289" s="31"/>
      <c r="AC289" s="9"/>
    </row>
    <row r="290">
      <c r="A290" s="160" t="s">
        <v>46</v>
      </c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58"/>
      <c r="W290" s="158"/>
      <c r="X290" s="158"/>
      <c r="Y290" s="158"/>
      <c r="Z290" s="158"/>
      <c r="AA290" s="30">
        <f t="shared" si="101"/>
        <v>0</v>
      </c>
      <c r="AB290" s="31"/>
      <c r="AC290" s="9"/>
    </row>
    <row r="291">
      <c r="A291" s="163" t="s">
        <v>47</v>
      </c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7"/>
      <c r="AA291" s="38"/>
      <c r="AB291" s="39"/>
      <c r="AC291" s="2"/>
    </row>
    <row r="292">
      <c r="A292" s="164" t="s">
        <v>48</v>
      </c>
      <c r="B292" s="165"/>
      <c r="C292" s="166"/>
      <c r="D292" s="165"/>
      <c r="E292" s="166">
        <v>1.0</v>
      </c>
      <c r="F292" s="165"/>
      <c r="G292" s="166">
        <v>1.0</v>
      </c>
      <c r="H292" s="165"/>
      <c r="I292" s="166">
        <v>1.0</v>
      </c>
      <c r="J292" s="165"/>
      <c r="K292" s="165"/>
      <c r="L292" s="165"/>
      <c r="M292" s="166">
        <v>1.0</v>
      </c>
      <c r="N292" s="165"/>
      <c r="O292" s="165"/>
      <c r="P292" s="165"/>
      <c r="Q292" s="166">
        <v>1.0</v>
      </c>
      <c r="R292" s="165"/>
      <c r="S292" s="165"/>
      <c r="T292" s="165"/>
      <c r="U292" s="165"/>
      <c r="V292" s="167"/>
      <c r="W292" s="167"/>
      <c r="X292" s="167"/>
      <c r="Y292" s="167"/>
      <c r="Z292" s="167"/>
      <c r="AA292" s="44">
        <f t="shared" ref="AA292:AA293" si="102">SUM(B292:Z292)</f>
        <v>5</v>
      </c>
      <c r="AB292" s="31"/>
      <c r="AC292" s="2"/>
    </row>
    <row r="293">
      <c r="A293" s="164" t="s">
        <v>49</v>
      </c>
      <c r="B293" s="165"/>
      <c r="C293" s="166"/>
      <c r="D293" s="165"/>
      <c r="E293" s="166">
        <v>20.0</v>
      </c>
      <c r="F293" s="166">
        <v>20.0</v>
      </c>
      <c r="G293" s="166">
        <v>20.0</v>
      </c>
      <c r="H293" s="166">
        <v>20.0</v>
      </c>
      <c r="I293" s="166">
        <v>10.0</v>
      </c>
      <c r="J293" s="166">
        <v>20.0</v>
      </c>
      <c r="K293" s="166">
        <v>20.0</v>
      </c>
      <c r="L293" s="166">
        <v>20.0</v>
      </c>
      <c r="M293" s="166">
        <v>20.0</v>
      </c>
      <c r="N293" s="166">
        <v>20.0</v>
      </c>
      <c r="O293" s="165"/>
      <c r="P293" s="165"/>
      <c r="Q293" s="166">
        <v>20.0</v>
      </c>
      <c r="R293" s="166">
        <v>20.0</v>
      </c>
      <c r="S293" s="166">
        <v>20.0</v>
      </c>
      <c r="T293" s="166">
        <v>20.0</v>
      </c>
      <c r="U293" s="166">
        <v>20.0</v>
      </c>
      <c r="V293" s="178">
        <v>20.0</v>
      </c>
      <c r="W293" s="178">
        <v>10.0</v>
      </c>
      <c r="X293" s="178">
        <v>10.0</v>
      </c>
      <c r="Y293" s="178">
        <v>10.0</v>
      </c>
      <c r="Z293" s="167"/>
      <c r="AA293" s="44">
        <f t="shared" si="102"/>
        <v>340</v>
      </c>
      <c r="AB293" s="31"/>
      <c r="AC293" s="2"/>
    </row>
    <row r="294">
      <c r="A294" s="164" t="s">
        <v>50</v>
      </c>
      <c r="B294" s="166"/>
      <c r="C294" s="166"/>
      <c r="D294" s="165"/>
      <c r="E294" s="166">
        <v>1.0</v>
      </c>
      <c r="F294" s="165"/>
      <c r="G294" s="166">
        <v>1.0</v>
      </c>
      <c r="H294" s="165"/>
      <c r="I294" s="166">
        <v>1.0</v>
      </c>
      <c r="J294" s="165"/>
      <c r="K294" s="165"/>
      <c r="L294" s="165"/>
      <c r="M294" s="166">
        <v>1.0</v>
      </c>
      <c r="N294" s="165"/>
      <c r="O294" s="165"/>
      <c r="P294" s="165"/>
      <c r="Q294" s="166">
        <v>1.0</v>
      </c>
      <c r="R294" s="165"/>
      <c r="S294" s="165"/>
      <c r="T294" s="165"/>
      <c r="U294" s="165"/>
      <c r="V294" s="167"/>
      <c r="W294" s="167"/>
      <c r="X294" s="167"/>
      <c r="Y294" s="167"/>
      <c r="Z294" s="167"/>
      <c r="AA294" s="44">
        <f>AVERAGE(B294:Z294)</f>
        <v>1</v>
      </c>
      <c r="AB294" s="31"/>
      <c r="AC294" s="2"/>
    </row>
    <row r="295">
      <c r="A295" s="168" t="s">
        <v>51</v>
      </c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7"/>
      <c r="AA295" s="46"/>
      <c r="AB295" s="39"/>
      <c r="AC295" s="2"/>
    </row>
    <row r="296">
      <c r="A296" s="169" t="s">
        <v>48</v>
      </c>
      <c r="B296" s="170"/>
      <c r="C296" s="154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1"/>
      <c r="W296" s="171"/>
      <c r="X296" s="171"/>
      <c r="Y296" s="171"/>
      <c r="Z296" s="171"/>
      <c r="AA296" s="51">
        <f t="shared" ref="AA296:AA297" si="103">SUM(B296:Z296)</f>
        <v>0</v>
      </c>
      <c r="AB296" s="31"/>
      <c r="AC296" s="2"/>
    </row>
    <row r="297">
      <c r="A297" s="169" t="s">
        <v>49</v>
      </c>
      <c r="B297" s="170"/>
      <c r="C297" s="154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0"/>
      <c r="V297" s="171"/>
      <c r="W297" s="171"/>
      <c r="X297" s="171"/>
      <c r="Y297" s="171"/>
      <c r="Z297" s="171"/>
      <c r="AA297" s="51">
        <f t="shared" si="103"/>
        <v>0</v>
      </c>
      <c r="AB297" s="31"/>
      <c r="AC297" s="2"/>
    </row>
    <row r="298">
      <c r="A298" s="169" t="s">
        <v>50</v>
      </c>
      <c r="B298" s="154"/>
      <c r="C298" s="154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0"/>
      <c r="V298" s="171"/>
      <c r="W298" s="171"/>
      <c r="X298" s="171"/>
      <c r="Y298" s="171"/>
      <c r="Z298" s="171"/>
      <c r="AA298" s="51" t="str">
        <f>AVERAGE(B298:Z298)</f>
        <v>#DIV/0!</v>
      </c>
      <c r="AB298" s="31"/>
      <c r="AC298" s="2"/>
    </row>
    <row r="299">
      <c r="A299" s="163" t="s">
        <v>53</v>
      </c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7"/>
      <c r="AA299" s="38"/>
      <c r="AB299" s="39"/>
      <c r="AC299" s="2"/>
    </row>
    <row r="300">
      <c r="A300" s="164" t="s">
        <v>48</v>
      </c>
      <c r="B300" s="165"/>
      <c r="C300" s="166"/>
      <c r="D300" s="165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7"/>
      <c r="W300" s="167"/>
      <c r="X300" s="167"/>
      <c r="Y300" s="167"/>
      <c r="Z300" s="167"/>
      <c r="AA300" s="44">
        <f t="shared" ref="AA300:AA301" si="104">SUM(B300:Z300)</f>
        <v>0</v>
      </c>
      <c r="AB300" s="31"/>
      <c r="AC300" s="2"/>
    </row>
    <row r="301">
      <c r="A301" s="164" t="s">
        <v>49</v>
      </c>
      <c r="B301" s="165"/>
      <c r="C301" s="166"/>
      <c r="D301" s="165"/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7"/>
      <c r="W301" s="167"/>
      <c r="X301" s="167"/>
      <c r="Y301" s="167"/>
      <c r="Z301" s="167"/>
      <c r="AA301" s="44">
        <f t="shared" si="104"/>
        <v>0</v>
      </c>
      <c r="AB301" s="31"/>
      <c r="AC301" s="2"/>
    </row>
    <row r="302">
      <c r="A302" s="172" t="s">
        <v>50</v>
      </c>
      <c r="B302" s="173"/>
      <c r="C302" s="173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5"/>
      <c r="W302" s="175"/>
      <c r="X302" s="175"/>
      <c r="Y302" s="175"/>
      <c r="Z302" s="175"/>
      <c r="AA302" s="57" t="str">
        <f>AVERAGE(B302:Z302)</f>
        <v>#DIV/0!</v>
      </c>
      <c r="AB302" s="58"/>
      <c r="AC302" s="2"/>
    </row>
    <row r="303" ht="15.75" customHeight="1">
      <c r="A303" s="176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  <c r="AA303" s="59"/>
      <c r="AB303" s="59"/>
      <c r="AC303" s="2"/>
    </row>
    <row r="304">
      <c r="A304" s="151">
        <v>45954.0</v>
      </c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" t="s">
        <v>37</v>
      </c>
      <c r="AB304" s="16" t="s">
        <v>38</v>
      </c>
      <c r="AC304" s="2"/>
    </row>
    <row r="305">
      <c r="A305" s="153" t="s">
        <v>39</v>
      </c>
      <c r="B305" s="154">
        <v>1.0</v>
      </c>
      <c r="C305" s="154">
        <v>1.0</v>
      </c>
      <c r="D305" s="154">
        <v>1.0</v>
      </c>
      <c r="E305" s="154">
        <v>0.0</v>
      </c>
      <c r="F305" s="154">
        <v>0.0</v>
      </c>
      <c r="G305" s="154">
        <v>1.0</v>
      </c>
      <c r="H305" s="154">
        <v>0.0</v>
      </c>
      <c r="I305" s="154">
        <v>0.0</v>
      </c>
      <c r="J305" s="154">
        <v>0.0</v>
      </c>
      <c r="K305" s="154">
        <v>0.0</v>
      </c>
      <c r="L305" s="154">
        <v>0.0</v>
      </c>
      <c r="M305" s="154">
        <v>1.0</v>
      </c>
      <c r="N305" s="154">
        <v>1.0</v>
      </c>
      <c r="O305" s="154">
        <v>1.0</v>
      </c>
      <c r="P305" s="154">
        <v>0.0</v>
      </c>
      <c r="Q305" s="154">
        <v>1.0</v>
      </c>
      <c r="R305" s="154">
        <v>1.0</v>
      </c>
      <c r="S305" s="154">
        <v>1.0</v>
      </c>
      <c r="T305" s="154">
        <v>1.0</v>
      </c>
      <c r="U305" s="154">
        <v>1.0</v>
      </c>
      <c r="V305" s="154">
        <v>1.0</v>
      </c>
      <c r="W305" s="154">
        <v>1.0</v>
      </c>
      <c r="X305" s="154">
        <v>1.0</v>
      </c>
      <c r="Y305" s="154">
        <v>1.0</v>
      </c>
      <c r="Z305" s="154">
        <v>1.0</v>
      </c>
      <c r="AA305" s="20">
        <f t="shared" ref="AA305:AA309" si="105">SUM(B305:Z305)</f>
        <v>17</v>
      </c>
      <c r="AB305" s="21">
        <f t="shared" ref="AB305:AB308" si="106">AA305/(COUNT(B305:Z305)*1)</f>
        <v>0.68</v>
      </c>
      <c r="AC305" s="2"/>
    </row>
    <row r="306">
      <c r="A306" s="153" t="s">
        <v>40</v>
      </c>
      <c r="B306" s="154">
        <v>1.0</v>
      </c>
      <c r="C306" s="154">
        <v>1.0</v>
      </c>
      <c r="D306" s="154">
        <v>1.0</v>
      </c>
      <c r="E306" s="154">
        <v>1.0</v>
      </c>
      <c r="F306" s="154">
        <v>1.0</v>
      </c>
      <c r="G306" s="154">
        <v>1.0</v>
      </c>
      <c r="H306" s="154">
        <v>1.0</v>
      </c>
      <c r="I306" s="154">
        <v>1.0</v>
      </c>
      <c r="J306" s="154">
        <v>1.0</v>
      </c>
      <c r="K306" s="154">
        <v>0.0</v>
      </c>
      <c r="L306" s="154">
        <v>0.0</v>
      </c>
      <c r="M306" s="154">
        <v>1.0</v>
      </c>
      <c r="N306" s="154">
        <v>1.0</v>
      </c>
      <c r="O306" s="154">
        <v>1.0</v>
      </c>
      <c r="P306" s="154">
        <v>1.0</v>
      </c>
      <c r="Q306" s="154">
        <v>1.0</v>
      </c>
      <c r="R306" s="154">
        <v>1.0</v>
      </c>
      <c r="S306" s="154">
        <v>1.0</v>
      </c>
      <c r="T306" s="154">
        <v>1.0</v>
      </c>
      <c r="U306" s="154">
        <v>1.0</v>
      </c>
      <c r="V306" s="154">
        <v>1.0</v>
      </c>
      <c r="W306" s="154">
        <v>1.0</v>
      </c>
      <c r="X306" s="154">
        <v>1.0</v>
      </c>
      <c r="Y306" s="154">
        <v>1.0</v>
      </c>
      <c r="Z306" s="154">
        <v>1.0</v>
      </c>
      <c r="AA306" s="20">
        <f t="shared" si="105"/>
        <v>23</v>
      </c>
      <c r="AB306" s="21">
        <f t="shared" si="106"/>
        <v>0.92</v>
      </c>
      <c r="AC306" s="2"/>
    </row>
    <row r="307">
      <c r="A307" s="153" t="s">
        <v>41</v>
      </c>
      <c r="B307" s="154">
        <v>1.0</v>
      </c>
      <c r="C307" s="154">
        <v>0.0</v>
      </c>
      <c r="D307" s="154">
        <v>0.0</v>
      </c>
      <c r="E307" s="154">
        <v>1.0</v>
      </c>
      <c r="F307" s="154">
        <v>1.0</v>
      </c>
      <c r="G307" s="154">
        <v>1.0</v>
      </c>
      <c r="H307" s="154">
        <v>0.0</v>
      </c>
      <c r="I307" s="154">
        <v>0.0</v>
      </c>
      <c r="J307" s="154">
        <v>0.0</v>
      </c>
      <c r="K307" s="154">
        <v>0.0</v>
      </c>
      <c r="L307" s="154">
        <v>0.0</v>
      </c>
      <c r="M307" s="154">
        <v>1.0</v>
      </c>
      <c r="N307" s="154">
        <v>1.0</v>
      </c>
      <c r="O307" s="154">
        <v>0.0</v>
      </c>
      <c r="P307" s="154">
        <v>1.0</v>
      </c>
      <c r="Q307" s="154">
        <v>1.0</v>
      </c>
      <c r="R307" s="154">
        <v>1.0</v>
      </c>
      <c r="S307" s="154">
        <v>1.0</v>
      </c>
      <c r="T307" s="154">
        <v>1.0</v>
      </c>
      <c r="U307" s="154">
        <v>1.0</v>
      </c>
      <c r="V307" s="154">
        <v>1.0</v>
      </c>
      <c r="W307" s="154">
        <v>1.0</v>
      </c>
      <c r="X307" s="154">
        <v>1.0</v>
      </c>
      <c r="Y307" s="154">
        <v>1.0</v>
      </c>
      <c r="Z307" s="154">
        <v>1.0</v>
      </c>
      <c r="AA307" s="20">
        <f t="shared" si="105"/>
        <v>17</v>
      </c>
      <c r="AB307" s="21">
        <f t="shared" si="106"/>
        <v>0.68</v>
      </c>
      <c r="AC307" s="2"/>
    </row>
    <row r="308">
      <c r="A308" s="153" t="s">
        <v>42</v>
      </c>
      <c r="B308" s="154">
        <v>1.0</v>
      </c>
      <c r="C308" s="154">
        <v>1.0</v>
      </c>
      <c r="D308" s="154">
        <v>1.0</v>
      </c>
      <c r="E308" s="154">
        <v>0.0</v>
      </c>
      <c r="F308" s="154">
        <v>0.0</v>
      </c>
      <c r="G308" s="154">
        <v>0.0</v>
      </c>
      <c r="H308" s="154">
        <v>0.0</v>
      </c>
      <c r="I308" s="154">
        <v>1.0</v>
      </c>
      <c r="J308" s="154">
        <v>0.0</v>
      </c>
      <c r="K308" s="154">
        <v>0.0</v>
      </c>
      <c r="L308" s="154">
        <v>0.0</v>
      </c>
      <c r="M308" s="154">
        <v>1.0</v>
      </c>
      <c r="N308" s="154">
        <v>1.0</v>
      </c>
      <c r="O308" s="154">
        <v>0.0</v>
      </c>
      <c r="P308" s="154">
        <v>0.0</v>
      </c>
      <c r="Q308" s="154">
        <v>1.0</v>
      </c>
      <c r="R308" s="154">
        <v>1.0</v>
      </c>
      <c r="S308" s="154">
        <v>1.0</v>
      </c>
      <c r="T308" s="154">
        <v>1.0</v>
      </c>
      <c r="U308" s="154">
        <v>1.0</v>
      </c>
      <c r="V308" s="154">
        <v>1.0</v>
      </c>
      <c r="W308" s="154">
        <v>1.0</v>
      </c>
      <c r="X308" s="154">
        <v>1.0</v>
      </c>
      <c r="Y308" s="154">
        <v>1.0</v>
      </c>
      <c r="Z308" s="154">
        <v>1.0</v>
      </c>
      <c r="AA308" s="20">
        <f t="shared" si="105"/>
        <v>16</v>
      </c>
      <c r="AB308" s="21">
        <f t="shared" si="106"/>
        <v>0.64</v>
      </c>
      <c r="AC308" s="2"/>
    </row>
    <row r="309">
      <c r="A309" s="153" t="s">
        <v>43</v>
      </c>
      <c r="B309" s="155">
        <f t="shared" ref="B309:Z309" si="107">SUM(B305:B308)</f>
        <v>4</v>
      </c>
      <c r="C309" s="155">
        <f t="shared" si="107"/>
        <v>3</v>
      </c>
      <c r="D309" s="155">
        <f t="shared" si="107"/>
        <v>3</v>
      </c>
      <c r="E309" s="155">
        <f t="shared" si="107"/>
        <v>2</v>
      </c>
      <c r="F309" s="155">
        <f t="shared" si="107"/>
        <v>2</v>
      </c>
      <c r="G309" s="155">
        <f t="shared" si="107"/>
        <v>3</v>
      </c>
      <c r="H309" s="155">
        <f t="shared" si="107"/>
        <v>1</v>
      </c>
      <c r="I309" s="155">
        <f t="shared" si="107"/>
        <v>2</v>
      </c>
      <c r="J309" s="155">
        <f t="shared" si="107"/>
        <v>1</v>
      </c>
      <c r="K309" s="155">
        <f t="shared" si="107"/>
        <v>0</v>
      </c>
      <c r="L309" s="155">
        <f t="shared" si="107"/>
        <v>0</v>
      </c>
      <c r="M309" s="155">
        <f t="shared" si="107"/>
        <v>4</v>
      </c>
      <c r="N309" s="155">
        <f t="shared" si="107"/>
        <v>4</v>
      </c>
      <c r="O309" s="155">
        <f t="shared" si="107"/>
        <v>2</v>
      </c>
      <c r="P309" s="155">
        <f t="shared" si="107"/>
        <v>2</v>
      </c>
      <c r="Q309" s="155">
        <f t="shared" si="107"/>
        <v>4</v>
      </c>
      <c r="R309" s="155">
        <f t="shared" si="107"/>
        <v>4</v>
      </c>
      <c r="S309" s="155">
        <f t="shared" si="107"/>
        <v>4</v>
      </c>
      <c r="T309" s="155">
        <f t="shared" si="107"/>
        <v>4</v>
      </c>
      <c r="U309" s="155">
        <f t="shared" si="107"/>
        <v>4</v>
      </c>
      <c r="V309" s="155">
        <f t="shared" si="107"/>
        <v>4</v>
      </c>
      <c r="W309" s="155">
        <f t="shared" si="107"/>
        <v>4</v>
      </c>
      <c r="X309" s="155">
        <f t="shared" si="107"/>
        <v>4</v>
      </c>
      <c r="Y309" s="155">
        <f t="shared" si="107"/>
        <v>4</v>
      </c>
      <c r="Z309" s="155">
        <f t="shared" si="107"/>
        <v>4</v>
      </c>
      <c r="AA309" s="20">
        <f t="shared" si="105"/>
        <v>73</v>
      </c>
      <c r="AB309" s="23"/>
      <c r="AC309" s="2"/>
    </row>
    <row r="310">
      <c r="A310" s="153" t="s">
        <v>38</v>
      </c>
      <c r="B310" s="156">
        <f t="shared" ref="B310:Z310" si="108">B309/(COUNT(B305:B308)*1)</f>
        <v>1</v>
      </c>
      <c r="C310" s="156">
        <f t="shared" si="108"/>
        <v>0.75</v>
      </c>
      <c r="D310" s="156">
        <f t="shared" si="108"/>
        <v>0.75</v>
      </c>
      <c r="E310" s="156">
        <f t="shared" si="108"/>
        <v>0.5</v>
      </c>
      <c r="F310" s="156">
        <f t="shared" si="108"/>
        <v>0.5</v>
      </c>
      <c r="G310" s="156">
        <f t="shared" si="108"/>
        <v>0.75</v>
      </c>
      <c r="H310" s="156">
        <f t="shared" si="108"/>
        <v>0.25</v>
      </c>
      <c r="I310" s="156">
        <f t="shared" si="108"/>
        <v>0.5</v>
      </c>
      <c r="J310" s="156">
        <f t="shared" si="108"/>
        <v>0.25</v>
      </c>
      <c r="K310" s="156">
        <f t="shared" si="108"/>
        <v>0</v>
      </c>
      <c r="L310" s="156">
        <f t="shared" si="108"/>
        <v>0</v>
      </c>
      <c r="M310" s="156">
        <f t="shared" si="108"/>
        <v>1</v>
      </c>
      <c r="N310" s="156">
        <f t="shared" si="108"/>
        <v>1</v>
      </c>
      <c r="O310" s="156">
        <f t="shared" si="108"/>
        <v>0.5</v>
      </c>
      <c r="P310" s="156">
        <f t="shared" si="108"/>
        <v>0.5</v>
      </c>
      <c r="Q310" s="156">
        <f t="shared" si="108"/>
        <v>1</v>
      </c>
      <c r="R310" s="156">
        <f t="shared" si="108"/>
        <v>1</v>
      </c>
      <c r="S310" s="156">
        <f t="shared" si="108"/>
        <v>1</v>
      </c>
      <c r="T310" s="156">
        <f t="shared" si="108"/>
        <v>1</v>
      </c>
      <c r="U310" s="156">
        <f t="shared" si="108"/>
        <v>1</v>
      </c>
      <c r="V310" s="156">
        <f t="shared" si="108"/>
        <v>1</v>
      </c>
      <c r="W310" s="156">
        <f t="shared" si="108"/>
        <v>1</v>
      </c>
      <c r="X310" s="156">
        <f t="shared" si="108"/>
        <v>1</v>
      </c>
      <c r="Y310" s="156">
        <f t="shared" si="108"/>
        <v>1</v>
      </c>
      <c r="Z310" s="156">
        <f t="shared" si="108"/>
        <v>1</v>
      </c>
      <c r="AA310" s="25"/>
      <c r="AB310" s="26">
        <f>SUM(AB305:AB308)/4</f>
        <v>0.73</v>
      </c>
      <c r="AC310" s="2"/>
    </row>
    <row r="311">
      <c r="A311" s="157" t="s">
        <v>74</v>
      </c>
      <c r="B311" s="158"/>
      <c r="C311" s="159"/>
      <c r="D311" s="158"/>
      <c r="E311" s="159"/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30">
        <f t="shared" ref="AA311:AA313" si="109">SUM(B311:Z311)</f>
        <v>0</v>
      </c>
      <c r="AB311" s="31"/>
      <c r="AC311" s="2"/>
    </row>
    <row r="312">
      <c r="A312" s="160" t="s">
        <v>45</v>
      </c>
      <c r="B312" s="161"/>
      <c r="C312" s="161"/>
      <c r="D312" s="161"/>
      <c r="E312" s="162"/>
      <c r="F312" s="162"/>
      <c r="G312" s="162"/>
      <c r="H312" s="162"/>
      <c r="I312" s="162"/>
      <c r="J312" s="162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58"/>
      <c r="W312" s="158"/>
      <c r="X312" s="158"/>
      <c r="Y312" s="158"/>
      <c r="Z312" s="158"/>
      <c r="AA312" s="30">
        <f t="shared" si="109"/>
        <v>0</v>
      </c>
      <c r="AB312" s="31"/>
      <c r="AC312" s="9"/>
    </row>
    <row r="313">
      <c r="A313" s="160" t="s">
        <v>46</v>
      </c>
      <c r="B313" s="161"/>
      <c r="C313" s="161"/>
      <c r="D313" s="161"/>
      <c r="E313" s="162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58"/>
      <c r="W313" s="158"/>
      <c r="X313" s="158"/>
      <c r="Y313" s="158"/>
      <c r="Z313" s="158"/>
      <c r="AA313" s="30">
        <f t="shared" si="109"/>
        <v>0</v>
      </c>
      <c r="AB313" s="31"/>
      <c r="AC313" s="9"/>
    </row>
    <row r="314">
      <c r="A314" s="163" t="s">
        <v>47</v>
      </c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7"/>
      <c r="AA314" s="38"/>
      <c r="AB314" s="39"/>
      <c r="AC314" s="2"/>
    </row>
    <row r="315">
      <c r="A315" s="164" t="s">
        <v>48</v>
      </c>
      <c r="B315" s="165"/>
      <c r="C315" s="166"/>
      <c r="D315" s="165"/>
      <c r="E315" s="166">
        <v>1.0</v>
      </c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7"/>
      <c r="W315" s="167"/>
      <c r="X315" s="167"/>
      <c r="Y315" s="167"/>
      <c r="Z315" s="167"/>
      <c r="AA315" s="44">
        <f t="shared" ref="AA315:AA316" si="110">SUM(B315:Z315)</f>
        <v>1</v>
      </c>
      <c r="AB315" s="31"/>
      <c r="AC315" s="2"/>
    </row>
    <row r="316">
      <c r="A316" s="164" t="s">
        <v>49</v>
      </c>
      <c r="B316" s="165"/>
      <c r="C316" s="166"/>
      <c r="D316" s="165"/>
      <c r="E316" s="166">
        <v>20.0</v>
      </c>
      <c r="F316" s="166">
        <v>20.0</v>
      </c>
      <c r="G316" s="166">
        <v>20.0</v>
      </c>
      <c r="H316" s="166">
        <v>20.0</v>
      </c>
      <c r="I316" s="166">
        <v>20.0</v>
      </c>
      <c r="J316" s="166">
        <v>20.0</v>
      </c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7"/>
      <c r="W316" s="167"/>
      <c r="X316" s="167"/>
      <c r="Y316" s="167"/>
      <c r="Z316" s="167"/>
      <c r="AA316" s="44">
        <f t="shared" si="110"/>
        <v>120</v>
      </c>
      <c r="AB316" s="31"/>
      <c r="AC316" s="2"/>
    </row>
    <row r="317">
      <c r="A317" s="164" t="s">
        <v>50</v>
      </c>
      <c r="B317" s="166"/>
      <c r="C317" s="166"/>
      <c r="D317" s="165"/>
      <c r="E317" s="166">
        <v>1.0</v>
      </c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7"/>
      <c r="W317" s="167"/>
      <c r="X317" s="167"/>
      <c r="Y317" s="167"/>
      <c r="Z317" s="167"/>
      <c r="AA317" s="44">
        <f>AVERAGE(B317:Z317)</f>
        <v>1</v>
      </c>
      <c r="AB317" s="31"/>
      <c r="AC317" s="2"/>
    </row>
    <row r="318">
      <c r="A318" s="168" t="s">
        <v>51</v>
      </c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7"/>
      <c r="AA318" s="46"/>
      <c r="AB318" s="39"/>
      <c r="AC318" s="2"/>
    </row>
    <row r="319">
      <c r="A319" s="169" t="s">
        <v>48</v>
      </c>
      <c r="B319" s="170"/>
      <c r="C319" s="154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0"/>
      <c r="V319" s="171"/>
      <c r="W319" s="171"/>
      <c r="X319" s="171"/>
      <c r="Y319" s="171"/>
      <c r="Z319" s="171"/>
      <c r="AA319" s="51">
        <f t="shared" ref="AA319:AA320" si="111">SUM(B319:Z319)</f>
        <v>0</v>
      </c>
      <c r="AB319" s="31"/>
      <c r="AC319" s="2"/>
    </row>
    <row r="320">
      <c r="A320" s="169" t="s">
        <v>49</v>
      </c>
      <c r="B320" s="170"/>
      <c r="C320" s="154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0"/>
      <c r="V320" s="171"/>
      <c r="W320" s="171"/>
      <c r="X320" s="171"/>
      <c r="Y320" s="171"/>
      <c r="Z320" s="171"/>
      <c r="AA320" s="51">
        <f t="shared" si="111"/>
        <v>0</v>
      </c>
      <c r="AB320" s="31"/>
      <c r="AC320" s="2"/>
    </row>
    <row r="321">
      <c r="A321" s="169" t="s">
        <v>50</v>
      </c>
      <c r="B321" s="154"/>
      <c r="C321" s="154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0"/>
      <c r="V321" s="171"/>
      <c r="W321" s="171"/>
      <c r="X321" s="171"/>
      <c r="Y321" s="171"/>
      <c r="Z321" s="171"/>
      <c r="AA321" s="51" t="str">
        <f>AVERAGE(B321:Z321)</f>
        <v>#DIV/0!</v>
      </c>
      <c r="AB321" s="31"/>
      <c r="AC321" s="2"/>
    </row>
    <row r="322">
      <c r="A322" s="163" t="s">
        <v>53</v>
      </c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7"/>
      <c r="AA322" s="38"/>
      <c r="AB322" s="39"/>
      <c r="AC322" s="2"/>
    </row>
    <row r="323">
      <c r="A323" s="164" t="s">
        <v>48</v>
      </c>
      <c r="B323" s="165"/>
      <c r="C323" s="166"/>
      <c r="D323" s="165"/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7"/>
      <c r="W323" s="167"/>
      <c r="X323" s="167"/>
      <c r="Y323" s="167"/>
      <c r="Z323" s="167"/>
      <c r="AA323" s="44">
        <f t="shared" ref="AA323:AA324" si="112">SUM(B323:Z323)</f>
        <v>0</v>
      </c>
      <c r="AB323" s="31"/>
      <c r="AC323" s="2"/>
    </row>
    <row r="324">
      <c r="A324" s="164" t="s">
        <v>49</v>
      </c>
      <c r="B324" s="165"/>
      <c r="C324" s="166"/>
      <c r="D324" s="165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7"/>
      <c r="W324" s="167"/>
      <c r="X324" s="167"/>
      <c r="Y324" s="167"/>
      <c r="Z324" s="167"/>
      <c r="AA324" s="44">
        <f t="shared" si="112"/>
        <v>0</v>
      </c>
      <c r="AB324" s="31"/>
      <c r="AC324" s="2"/>
    </row>
    <row r="325">
      <c r="A325" s="172" t="s">
        <v>50</v>
      </c>
      <c r="B325" s="173"/>
      <c r="C325" s="173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5"/>
      <c r="W325" s="175"/>
      <c r="X325" s="175"/>
      <c r="Y325" s="175"/>
      <c r="Z325" s="175"/>
      <c r="AA325" s="57" t="str">
        <f>AVERAGE(B325:Z325)</f>
        <v>#DIV/0!</v>
      </c>
      <c r="AB325" s="58"/>
      <c r="AC325" s="2"/>
    </row>
    <row r="326" ht="15.75" customHeight="1">
      <c r="A326" s="176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  <c r="AA326" s="59"/>
      <c r="AB326" s="59"/>
      <c r="AC326" s="2"/>
    </row>
    <row r="327">
      <c r="A327" s="151">
        <v>45957.0</v>
      </c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" t="s">
        <v>37</v>
      </c>
      <c r="AB327" s="16" t="s">
        <v>38</v>
      </c>
      <c r="AC327" s="2"/>
    </row>
    <row r="328">
      <c r="A328" s="153" t="s">
        <v>39</v>
      </c>
      <c r="B328" s="154">
        <v>1.0</v>
      </c>
      <c r="C328" s="154">
        <v>1.0</v>
      </c>
      <c r="D328" s="154">
        <v>1.0</v>
      </c>
      <c r="E328" s="154">
        <v>1.0</v>
      </c>
      <c r="F328" s="154">
        <v>1.0</v>
      </c>
      <c r="G328" s="154">
        <v>0.0</v>
      </c>
      <c r="H328" s="154">
        <v>0.0</v>
      </c>
      <c r="I328" s="154">
        <v>1.0</v>
      </c>
      <c r="J328" s="154">
        <v>1.0</v>
      </c>
      <c r="K328" s="154">
        <v>1.0</v>
      </c>
      <c r="L328" s="154">
        <v>0.0</v>
      </c>
      <c r="M328" s="154">
        <v>0.0</v>
      </c>
      <c r="N328" s="154">
        <v>0.0</v>
      </c>
      <c r="O328" s="154">
        <v>1.0</v>
      </c>
      <c r="P328" s="154">
        <v>1.0</v>
      </c>
      <c r="Q328" s="154">
        <v>0.0</v>
      </c>
      <c r="R328" s="154">
        <v>0.0</v>
      </c>
      <c r="S328" s="154">
        <v>0.0</v>
      </c>
      <c r="T328" s="154">
        <v>0.0</v>
      </c>
      <c r="U328" s="154">
        <v>0.0</v>
      </c>
      <c r="V328" s="154">
        <v>0.0</v>
      </c>
      <c r="W328" s="154">
        <v>0.0</v>
      </c>
      <c r="X328" s="154">
        <v>0.0</v>
      </c>
      <c r="Y328" s="154">
        <v>0.0</v>
      </c>
      <c r="Z328" s="154"/>
      <c r="AA328" s="20">
        <f t="shared" ref="AA328:AA332" si="113">SUM(B328:Z328)</f>
        <v>10</v>
      </c>
      <c r="AB328" s="21">
        <f t="shared" ref="AB328:AB331" si="114">AA328/(COUNT(B328:Z328)*1)</f>
        <v>0.4166666667</v>
      </c>
      <c r="AC328" s="2"/>
    </row>
    <row r="329">
      <c r="A329" s="153" t="s">
        <v>40</v>
      </c>
      <c r="B329" s="154">
        <v>1.0</v>
      </c>
      <c r="C329" s="154">
        <v>0.0</v>
      </c>
      <c r="D329" s="154">
        <v>1.0</v>
      </c>
      <c r="E329" s="154">
        <v>1.0</v>
      </c>
      <c r="F329" s="154">
        <v>1.0</v>
      </c>
      <c r="G329" s="154">
        <v>0.0</v>
      </c>
      <c r="H329" s="154">
        <v>1.0</v>
      </c>
      <c r="I329" s="154">
        <v>1.0</v>
      </c>
      <c r="J329" s="154">
        <v>1.0</v>
      </c>
      <c r="K329" s="154">
        <v>1.0</v>
      </c>
      <c r="L329" s="154">
        <v>0.0</v>
      </c>
      <c r="M329" s="154">
        <v>0.0</v>
      </c>
      <c r="N329" s="154">
        <v>0.0</v>
      </c>
      <c r="O329" s="154">
        <v>1.0</v>
      </c>
      <c r="P329" s="154">
        <v>1.0</v>
      </c>
      <c r="Q329" s="154">
        <v>1.0</v>
      </c>
      <c r="R329" s="154">
        <v>1.0</v>
      </c>
      <c r="S329" s="154">
        <v>0.0</v>
      </c>
      <c r="T329" s="154">
        <v>0.0</v>
      </c>
      <c r="U329" s="154">
        <v>0.0</v>
      </c>
      <c r="V329" s="154">
        <v>1.0</v>
      </c>
      <c r="W329" s="154">
        <v>1.0</v>
      </c>
      <c r="X329" s="154">
        <v>1.0</v>
      </c>
      <c r="Y329" s="154">
        <v>1.0</v>
      </c>
      <c r="Z329" s="154"/>
      <c r="AA329" s="20">
        <f t="shared" si="113"/>
        <v>16</v>
      </c>
      <c r="AB329" s="21">
        <f t="shared" si="114"/>
        <v>0.6666666667</v>
      </c>
      <c r="AC329" s="2"/>
    </row>
    <row r="330">
      <c r="A330" s="153" t="s">
        <v>41</v>
      </c>
      <c r="B330" s="154">
        <v>1.0</v>
      </c>
      <c r="C330" s="154">
        <v>0.0</v>
      </c>
      <c r="D330" s="154">
        <v>1.0</v>
      </c>
      <c r="E330" s="154">
        <v>1.0</v>
      </c>
      <c r="F330" s="154">
        <v>1.0</v>
      </c>
      <c r="G330" s="154">
        <v>1.0</v>
      </c>
      <c r="H330" s="154">
        <v>1.0</v>
      </c>
      <c r="I330" s="154">
        <v>1.0</v>
      </c>
      <c r="J330" s="154">
        <v>1.0</v>
      </c>
      <c r="K330" s="154">
        <v>1.0</v>
      </c>
      <c r="L330" s="154">
        <v>1.0</v>
      </c>
      <c r="M330" s="154">
        <v>0.0</v>
      </c>
      <c r="N330" s="154">
        <v>0.0</v>
      </c>
      <c r="O330" s="154">
        <v>1.0</v>
      </c>
      <c r="P330" s="154">
        <v>0.0</v>
      </c>
      <c r="Q330" s="154">
        <v>1.0</v>
      </c>
      <c r="R330" s="154">
        <v>1.0</v>
      </c>
      <c r="S330" s="154">
        <v>0.0</v>
      </c>
      <c r="T330" s="154">
        <v>0.0</v>
      </c>
      <c r="U330" s="154">
        <v>0.0</v>
      </c>
      <c r="V330" s="154">
        <v>0.0</v>
      </c>
      <c r="W330" s="154">
        <v>0.0</v>
      </c>
      <c r="X330" s="154">
        <v>0.0</v>
      </c>
      <c r="Y330" s="154">
        <v>0.0</v>
      </c>
      <c r="Z330" s="154"/>
      <c r="AA330" s="20">
        <f t="shared" si="113"/>
        <v>13</v>
      </c>
      <c r="AB330" s="21">
        <f t="shared" si="114"/>
        <v>0.5416666667</v>
      </c>
      <c r="AC330" s="2"/>
    </row>
    <row r="331">
      <c r="A331" s="153" t="s">
        <v>42</v>
      </c>
      <c r="B331" s="154">
        <v>1.0</v>
      </c>
      <c r="C331" s="154">
        <v>1.0</v>
      </c>
      <c r="D331" s="154">
        <v>1.0</v>
      </c>
      <c r="E331" s="154">
        <v>1.0</v>
      </c>
      <c r="F331" s="154">
        <v>1.0</v>
      </c>
      <c r="G331" s="154">
        <v>0.0</v>
      </c>
      <c r="H331" s="154">
        <v>1.0</v>
      </c>
      <c r="I331" s="154">
        <v>1.0</v>
      </c>
      <c r="J331" s="154">
        <v>1.0</v>
      </c>
      <c r="K331" s="154">
        <v>1.0</v>
      </c>
      <c r="L331" s="154">
        <v>0.0</v>
      </c>
      <c r="M331" s="154">
        <v>0.0</v>
      </c>
      <c r="N331" s="154">
        <v>0.0</v>
      </c>
      <c r="O331" s="154">
        <v>1.0</v>
      </c>
      <c r="P331" s="154">
        <v>1.0</v>
      </c>
      <c r="Q331" s="154">
        <v>0.0</v>
      </c>
      <c r="R331" s="154">
        <v>0.0</v>
      </c>
      <c r="S331" s="154">
        <v>0.0</v>
      </c>
      <c r="T331" s="154">
        <v>0.0</v>
      </c>
      <c r="U331" s="154">
        <v>0.0</v>
      </c>
      <c r="V331" s="154">
        <v>0.0</v>
      </c>
      <c r="W331" s="154">
        <v>1.0</v>
      </c>
      <c r="X331" s="154">
        <v>0.0</v>
      </c>
      <c r="Y331" s="154">
        <v>1.0</v>
      </c>
      <c r="Z331" s="154"/>
      <c r="AA331" s="20">
        <f t="shared" si="113"/>
        <v>13</v>
      </c>
      <c r="AB331" s="21">
        <f t="shared" si="114"/>
        <v>0.5416666667</v>
      </c>
      <c r="AC331" s="2"/>
    </row>
    <row r="332">
      <c r="A332" s="153" t="s">
        <v>43</v>
      </c>
      <c r="B332" s="155">
        <f t="shared" ref="B332:Z332" si="115">SUM(B328:B331)</f>
        <v>4</v>
      </c>
      <c r="C332" s="155">
        <f t="shared" si="115"/>
        <v>2</v>
      </c>
      <c r="D332" s="155">
        <f t="shared" si="115"/>
        <v>4</v>
      </c>
      <c r="E332" s="155">
        <f t="shared" si="115"/>
        <v>4</v>
      </c>
      <c r="F332" s="155">
        <f t="shared" si="115"/>
        <v>4</v>
      </c>
      <c r="G332" s="155">
        <f t="shared" si="115"/>
        <v>1</v>
      </c>
      <c r="H332" s="155">
        <f t="shared" si="115"/>
        <v>3</v>
      </c>
      <c r="I332" s="155">
        <f t="shared" si="115"/>
        <v>4</v>
      </c>
      <c r="J332" s="155">
        <f t="shared" si="115"/>
        <v>4</v>
      </c>
      <c r="K332" s="155">
        <f t="shared" si="115"/>
        <v>4</v>
      </c>
      <c r="L332" s="155">
        <f t="shared" si="115"/>
        <v>1</v>
      </c>
      <c r="M332" s="155">
        <f t="shared" si="115"/>
        <v>0</v>
      </c>
      <c r="N332" s="155">
        <f t="shared" si="115"/>
        <v>0</v>
      </c>
      <c r="O332" s="155">
        <f t="shared" si="115"/>
        <v>4</v>
      </c>
      <c r="P332" s="155">
        <f t="shared" si="115"/>
        <v>3</v>
      </c>
      <c r="Q332" s="155">
        <f t="shared" si="115"/>
        <v>2</v>
      </c>
      <c r="R332" s="155">
        <f t="shared" si="115"/>
        <v>2</v>
      </c>
      <c r="S332" s="155">
        <f t="shared" si="115"/>
        <v>0</v>
      </c>
      <c r="T332" s="155">
        <f t="shared" si="115"/>
        <v>0</v>
      </c>
      <c r="U332" s="155">
        <f t="shared" si="115"/>
        <v>0</v>
      </c>
      <c r="V332" s="155">
        <f t="shared" si="115"/>
        <v>1</v>
      </c>
      <c r="W332" s="155">
        <f t="shared" si="115"/>
        <v>2</v>
      </c>
      <c r="X332" s="155">
        <f t="shared" si="115"/>
        <v>1</v>
      </c>
      <c r="Y332" s="155">
        <f t="shared" si="115"/>
        <v>2</v>
      </c>
      <c r="Z332" s="155">
        <f t="shared" si="115"/>
        <v>0</v>
      </c>
      <c r="AA332" s="20">
        <f t="shared" si="113"/>
        <v>52</v>
      </c>
      <c r="AB332" s="23"/>
      <c r="AC332" s="2"/>
    </row>
    <row r="333">
      <c r="A333" s="153" t="s">
        <v>38</v>
      </c>
      <c r="B333" s="156">
        <f t="shared" ref="B333:Z333" si="116">B332/(COUNT(B328:B331)*1)</f>
        <v>1</v>
      </c>
      <c r="C333" s="156">
        <f t="shared" si="116"/>
        <v>0.5</v>
      </c>
      <c r="D333" s="156">
        <f t="shared" si="116"/>
        <v>1</v>
      </c>
      <c r="E333" s="156">
        <f t="shared" si="116"/>
        <v>1</v>
      </c>
      <c r="F333" s="156">
        <f t="shared" si="116"/>
        <v>1</v>
      </c>
      <c r="G333" s="156">
        <f t="shared" si="116"/>
        <v>0.25</v>
      </c>
      <c r="H333" s="156">
        <f t="shared" si="116"/>
        <v>0.75</v>
      </c>
      <c r="I333" s="156">
        <f t="shared" si="116"/>
        <v>1</v>
      </c>
      <c r="J333" s="156">
        <f t="shared" si="116"/>
        <v>1</v>
      </c>
      <c r="K333" s="156">
        <f t="shared" si="116"/>
        <v>1</v>
      </c>
      <c r="L333" s="156">
        <f t="shared" si="116"/>
        <v>0.25</v>
      </c>
      <c r="M333" s="156">
        <f t="shared" si="116"/>
        <v>0</v>
      </c>
      <c r="N333" s="156">
        <f t="shared" si="116"/>
        <v>0</v>
      </c>
      <c r="O333" s="156">
        <f t="shared" si="116"/>
        <v>1</v>
      </c>
      <c r="P333" s="156">
        <f t="shared" si="116"/>
        <v>0.75</v>
      </c>
      <c r="Q333" s="156">
        <f t="shared" si="116"/>
        <v>0.5</v>
      </c>
      <c r="R333" s="156">
        <f t="shared" si="116"/>
        <v>0.5</v>
      </c>
      <c r="S333" s="156">
        <f t="shared" si="116"/>
        <v>0</v>
      </c>
      <c r="T333" s="156">
        <f t="shared" si="116"/>
        <v>0</v>
      </c>
      <c r="U333" s="156">
        <f t="shared" si="116"/>
        <v>0</v>
      </c>
      <c r="V333" s="156">
        <f t="shared" si="116"/>
        <v>0.25</v>
      </c>
      <c r="W333" s="156">
        <f t="shared" si="116"/>
        <v>0.5</v>
      </c>
      <c r="X333" s="156">
        <f t="shared" si="116"/>
        <v>0.25</v>
      </c>
      <c r="Y333" s="156">
        <f t="shared" si="116"/>
        <v>0.5</v>
      </c>
      <c r="Z333" s="156" t="str">
        <f t="shared" si="116"/>
        <v>#DIV/0!</v>
      </c>
      <c r="AA333" s="25"/>
      <c r="AB333" s="26">
        <f>SUM(AB328:AB331)/4</f>
        <v>0.5416666667</v>
      </c>
      <c r="AC333" s="2"/>
    </row>
    <row r="334">
      <c r="A334" s="157" t="s">
        <v>74</v>
      </c>
      <c r="B334" s="158"/>
      <c r="C334" s="159"/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30">
        <f t="shared" ref="AA334:AA336" si="117">SUM(B334:Z334)</f>
        <v>0</v>
      </c>
      <c r="AB334" s="31"/>
      <c r="AC334" s="2"/>
    </row>
    <row r="335">
      <c r="A335" s="160" t="s">
        <v>45</v>
      </c>
      <c r="B335" s="161"/>
      <c r="C335" s="161"/>
      <c r="D335" s="161"/>
      <c r="E335" s="161"/>
      <c r="F335" s="161"/>
      <c r="G335" s="162">
        <v>2.0</v>
      </c>
      <c r="H335" s="161"/>
      <c r="I335" s="161"/>
      <c r="J335" s="161"/>
      <c r="K335" s="161"/>
      <c r="L335" s="161"/>
      <c r="M335" s="162">
        <v>4.0</v>
      </c>
      <c r="N335" s="162">
        <v>3.0</v>
      </c>
      <c r="O335" s="161"/>
      <c r="P335" s="161"/>
      <c r="Q335" s="161"/>
      <c r="R335" s="161"/>
      <c r="S335" s="161"/>
      <c r="T335" s="162">
        <v>4.0</v>
      </c>
      <c r="U335" s="162">
        <v>5.0</v>
      </c>
      <c r="V335" s="158"/>
      <c r="W335" s="158"/>
      <c r="X335" s="158"/>
      <c r="Y335" s="158"/>
      <c r="Z335" s="158"/>
      <c r="AA335" s="30">
        <f t="shared" si="117"/>
        <v>18</v>
      </c>
      <c r="AB335" s="31"/>
      <c r="AC335" s="9"/>
    </row>
    <row r="336">
      <c r="A336" s="160" t="s">
        <v>46</v>
      </c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58"/>
      <c r="W336" s="158"/>
      <c r="X336" s="158"/>
      <c r="Y336" s="158"/>
      <c r="Z336" s="158"/>
      <c r="AA336" s="30">
        <f t="shared" si="117"/>
        <v>0</v>
      </c>
      <c r="AB336" s="31"/>
      <c r="AC336" s="9"/>
    </row>
    <row r="337">
      <c r="A337" s="163" t="s">
        <v>47</v>
      </c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7"/>
      <c r="AA337" s="38"/>
      <c r="AB337" s="39"/>
      <c r="AC337" s="2"/>
    </row>
    <row r="338">
      <c r="A338" s="164" t="s">
        <v>48</v>
      </c>
      <c r="B338" s="165"/>
      <c r="C338" s="166"/>
      <c r="D338" s="165"/>
      <c r="E338" s="165"/>
      <c r="F338" s="165"/>
      <c r="G338" s="166">
        <v>1.0</v>
      </c>
      <c r="H338" s="165"/>
      <c r="I338" s="165"/>
      <c r="J338" s="165"/>
      <c r="K338" s="166"/>
      <c r="L338" s="166">
        <v>1.0</v>
      </c>
      <c r="M338" s="165"/>
      <c r="N338" s="165"/>
      <c r="O338" s="165"/>
      <c r="P338" s="165"/>
      <c r="Q338" s="166">
        <v>2.0</v>
      </c>
      <c r="R338" s="165"/>
      <c r="S338" s="165"/>
      <c r="T338" s="165"/>
      <c r="U338" s="165"/>
      <c r="V338" s="167"/>
      <c r="W338" s="167"/>
      <c r="X338" s="167"/>
      <c r="Y338" s="167"/>
      <c r="Z338" s="167"/>
      <c r="AA338" s="44">
        <f t="shared" ref="AA338:AA339" si="118">SUM(B338:Z338)</f>
        <v>4</v>
      </c>
      <c r="AB338" s="31"/>
      <c r="AC338" s="2"/>
    </row>
    <row r="339">
      <c r="A339" s="164" t="s">
        <v>49</v>
      </c>
      <c r="B339" s="165"/>
      <c r="C339" s="166"/>
      <c r="D339" s="165"/>
      <c r="E339" s="165"/>
      <c r="F339" s="165"/>
      <c r="G339" s="166">
        <v>20.0</v>
      </c>
      <c r="H339" s="166">
        <v>20.0</v>
      </c>
      <c r="I339" s="165"/>
      <c r="J339" s="165"/>
      <c r="K339" s="166"/>
      <c r="L339" s="166">
        <v>20.0</v>
      </c>
      <c r="M339" s="166">
        <v>15.0</v>
      </c>
      <c r="N339" s="166">
        <v>15.0</v>
      </c>
      <c r="O339" s="165"/>
      <c r="P339" s="165"/>
      <c r="Q339" s="166">
        <v>20.0</v>
      </c>
      <c r="R339" s="166">
        <v>20.0</v>
      </c>
      <c r="S339" s="166">
        <v>20.0</v>
      </c>
      <c r="T339" s="166">
        <v>20.0</v>
      </c>
      <c r="U339" s="166">
        <v>20.0</v>
      </c>
      <c r="V339" s="178">
        <v>20.0</v>
      </c>
      <c r="W339" s="178">
        <v>10.0</v>
      </c>
      <c r="X339" s="178">
        <v>10.0</v>
      </c>
      <c r="Y339" s="178">
        <v>10.0</v>
      </c>
      <c r="Z339" s="167"/>
      <c r="AA339" s="44">
        <f t="shared" si="118"/>
        <v>240</v>
      </c>
      <c r="AB339" s="31"/>
      <c r="AC339" s="2"/>
    </row>
    <row r="340">
      <c r="A340" s="164" t="s">
        <v>50</v>
      </c>
      <c r="B340" s="166"/>
      <c r="C340" s="166"/>
      <c r="D340" s="165"/>
      <c r="E340" s="165"/>
      <c r="F340" s="165"/>
      <c r="G340" s="166">
        <v>1.0</v>
      </c>
      <c r="H340" s="165"/>
      <c r="I340" s="165"/>
      <c r="J340" s="165"/>
      <c r="K340" s="166"/>
      <c r="L340" s="166">
        <v>1.0</v>
      </c>
      <c r="M340" s="165"/>
      <c r="N340" s="165"/>
      <c r="O340" s="165"/>
      <c r="P340" s="165"/>
      <c r="Q340" s="166">
        <v>1.0</v>
      </c>
      <c r="R340" s="165"/>
      <c r="S340" s="165"/>
      <c r="T340" s="165"/>
      <c r="U340" s="165"/>
      <c r="V340" s="167"/>
      <c r="W340" s="167"/>
      <c r="X340" s="167"/>
      <c r="Y340" s="167"/>
      <c r="Z340" s="167"/>
      <c r="AA340" s="44">
        <f>AVERAGE(B340:Z340)</f>
        <v>1</v>
      </c>
      <c r="AB340" s="31"/>
      <c r="AC340" s="2"/>
    </row>
    <row r="341">
      <c r="A341" s="168" t="s">
        <v>51</v>
      </c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7"/>
      <c r="AA341" s="46"/>
      <c r="AB341" s="39"/>
      <c r="AC341" s="2"/>
    </row>
    <row r="342">
      <c r="A342" s="169" t="s">
        <v>48</v>
      </c>
      <c r="B342" s="170"/>
      <c r="C342" s="154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0"/>
      <c r="V342" s="171"/>
      <c r="W342" s="171"/>
      <c r="X342" s="171"/>
      <c r="Y342" s="171"/>
      <c r="Z342" s="171"/>
      <c r="AA342" s="51">
        <f t="shared" ref="AA342:AA343" si="119">SUM(B342:Z342)</f>
        <v>0</v>
      </c>
      <c r="AB342" s="31"/>
      <c r="AC342" s="2"/>
    </row>
    <row r="343">
      <c r="A343" s="169" t="s">
        <v>49</v>
      </c>
      <c r="B343" s="170"/>
      <c r="C343" s="154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0"/>
      <c r="V343" s="171"/>
      <c r="W343" s="171"/>
      <c r="X343" s="171"/>
      <c r="Y343" s="171"/>
      <c r="Z343" s="171"/>
      <c r="AA343" s="51">
        <f t="shared" si="119"/>
        <v>0</v>
      </c>
      <c r="AB343" s="31"/>
      <c r="AC343" s="2"/>
    </row>
    <row r="344">
      <c r="A344" s="169" t="s">
        <v>50</v>
      </c>
      <c r="B344" s="154"/>
      <c r="C344" s="154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0"/>
      <c r="V344" s="171"/>
      <c r="W344" s="171"/>
      <c r="X344" s="171"/>
      <c r="Y344" s="171"/>
      <c r="Z344" s="171"/>
      <c r="AA344" s="51" t="str">
        <f>AVERAGE(B344:Z344)</f>
        <v>#DIV/0!</v>
      </c>
      <c r="AB344" s="31"/>
      <c r="AC344" s="2"/>
    </row>
    <row r="345">
      <c r="A345" s="163" t="s">
        <v>53</v>
      </c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7"/>
      <c r="AA345" s="38"/>
      <c r="AB345" s="39"/>
      <c r="AC345" s="2"/>
    </row>
    <row r="346">
      <c r="A346" s="164" t="s">
        <v>48</v>
      </c>
      <c r="B346" s="165"/>
      <c r="C346" s="166"/>
      <c r="D346" s="165"/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7"/>
      <c r="W346" s="167"/>
      <c r="X346" s="167"/>
      <c r="Y346" s="167"/>
      <c r="Z346" s="167"/>
      <c r="AA346" s="44">
        <f t="shared" ref="AA346:AA347" si="120">SUM(B346:Z346)</f>
        <v>0</v>
      </c>
      <c r="AB346" s="31"/>
      <c r="AC346" s="2"/>
    </row>
    <row r="347">
      <c r="A347" s="164" t="s">
        <v>49</v>
      </c>
      <c r="B347" s="165"/>
      <c r="C347" s="166"/>
      <c r="D347" s="165"/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7"/>
      <c r="W347" s="167"/>
      <c r="X347" s="167"/>
      <c r="Y347" s="167"/>
      <c r="Z347" s="167"/>
      <c r="AA347" s="44">
        <f t="shared" si="120"/>
        <v>0</v>
      </c>
      <c r="AB347" s="31"/>
      <c r="AC347" s="2"/>
    </row>
    <row r="348">
      <c r="A348" s="172" t="s">
        <v>50</v>
      </c>
      <c r="B348" s="173"/>
      <c r="C348" s="173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5"/>
      <c r="W348" s="175"/>
      <c r="X348" s="175"/>
      <c r="Y348" s="175"/>
      <c r="Z348" s="175"/>
      <c r="AA348" s="57" t="str">
        <f>AVERAGE(B348:Z348)</f>
        <v>#DIV/0!</v>
      </c>
      <c r="AB348" s="58"/>
      <c r="AC348" s="2"/>
    </row>
    <row r="349" ht="15.75" customHeight="1">
      <c r="A349" s="176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  <c r="AA349" s="59"/>
      <c r="AB349" s="59"/>
      <c r="AC349" s="2"/>
    </row>
    <row r="350">
      <c r="A350" s="151">
        <v>45958.0</v>
      </c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" t="s">
        <v>37</v>
      </c>
      <c r="AB350" s="16" t="s">
        <v>38</v>
      </c>
      <c r="AC350" s="2"/>
    </row>
    <row r="351">
      <c r="A351" s="153" t="s">
        <v>39</v>
      </c>
      <c r="B351" s="182">
        <v>1.0</v>
      </c>
      <c r="C351" s="182">
        <v>1.0</v>
      </c>
      <c r="D351" s="182">
        <v>1.0</v>
      </c>
      <c r="E351" s="182">
        <v>1.0</v>
      </c>
      <c r="F351" s="182">
        <v>1.0</v>
      </c>
      <c r="G351" s="182">
        <v>1.0</v>
      </c>
      <c r="H351" s="183">
        <v>0.0</v>
      </c>
      <c r="I351" s="183">
        <v>0.0</v>
      </c>
      <c r="J351" s="183">
        <v>0.0</v>
      </c>
      <c r="K351" s="183">
        <v>0.0</v>
      </c>
      <c r="L351" s="183">
        <v>0.0</v>
      </c>
      <c r="M351" s="183">
        <v>0.0</v>
      </c>
      <c r="N351" s="183">
        <v>0.0</v>
      </c>
      <c r="O351" s="182">
        <v>1.0</v>
      </c>
      <c r="P351" s="182">
        <v>1.0</v>
      </c>
      <c r="Q351" s="182">
        <v>1.0</v>
      </c>
      <c r="R351" s="131">
        <v>1.0</v>
      </c>
      <c r="S351" s="131">
        <v>1.0</v>
      </c>
      <c r="T351" s="131">
        <v>1.0</v>
      </c>
      <c r="U351" s="131">
        <v>1.0</v>
      </c>
      <c r="V351" s="131">
        <v>1.0</v>
      </c>
      <c r="W351" s="131">
        <v>1.0</v>
      </c>
      <c r="X351" s="131">
        <v>1.0</v>
      </c>
      <c r="Y351" s="131">
        <v>1.0</v>
      </c>
      <c r="Z351" s="131">
        <v>1.0</v>
      </c>
      <c r="AA351" s="20">
        <f t="shared" ref="AA351:AA355" si="121">SUM(B351:Z351)</f>
        <v>18</v>
      </c>
      <c r="AB351" s="21">
        <f t="shared" ref="AB351:AB354" si="122">AA351/(COUNT(B351:Z351)*1)</f>
        <v>0.72</v>
      </c>
      <c r="AC351" s="2"/>
    </row>
    <row r="352">
      <c r="A352" s="153" t="s">
        <v>40</v>
      </c>
      <c r="B352" s="182">
        <v>1.0</v>
      </c>
      <c r="C352" s="182">
        <v>1.0</v>
      </c>
      <c r="D352" s="182">
        <v>1.0</v>
      </c>
      <c r="E352" s="182">
        <v>1.0</v>
      </c>
      <c r="F352" s="182">
        <v>1.0</v>
      </c>
      <c r="G352" s="182">
        <v>1.0</v>
      </c>
      <c r="H352" s="182">
        <v>1.0</v>
      </c>
      <c r="I352" s="183">
        <v>0.0</v>
      </c>
      <c r="J352" s="182">
        <v>1.0</v>
      </c>
      <c r="K352" s="182">
        <v>1.0</v>
      </c>
      <c r="L352" s="182">
        <v>1.0</v>
      </c>
      <c r="M352" s="182">
        <v>1.0</v>
      </c>
      <c r="N352" s="183">
        <v>0.0</v>
      </c>
      <c r="O352" s="182">
        <v>1.0</v>
      </c>
      <c r="P352" s="182">
        <v>1.0</v>
      </c>
      <c r="Q352" s="182">
        <v>1.0</v>
      </c>
      <c r="R352" s="131">
        <v>1.0</v>
      </c>
      <c r="S352" s="131">
        <v>1.0</v>
      </c>
      <c r="T352" s="131">
        <v>1.0</v>
      </c>
      <c r="U352" s="130">
        <v>0.0</v>
      </c>
      <c r="V352" s="131">
        <v>1.0</v>
      </c>
      <c r="W352" s="131">
        <v>1.0</v>
      </c>
      <c r="X352" s="131">
        <v>1.0</v>
      </c>
      <c r="Y352" s="131">
        <v>1.0</v>
      </c>
      <c r="Z352" s="131">
        <v>1.0</v>
      </c>
      <c r="AA352" s="20">
        <f t="shared" si="121"/>
        <v>22</v>
      </c>
      <c r="AB352" s="21">
        <f t="shared" si="122"/>
        <v>0.88</v>
      </c>
      <c r="AC352" s="2"/>
    </row>
    <row r="353">
      <c r="A353" s="153" t="s">
        <v>41</v>
      </c>
      <c r="B353" s="182">
        <v>1.0</v>
      </c>
      <c r="C353" s="182">
        <v>1.0</v>
      </c>
      <c r="D353" s="182">
        <v>1.0</v>
      </c>
      <c r="E353" s="182">
        <v>1.0</v>
      </c>
      <c r="F353" s="182">
        <v>1.0</v>
      </c>
      <c r="G353" s="182">
        <v>1.0</v>
      </c>
      <c r="H353" s="182">
        <v>1.0</v>
      </c>
      <c r="I353" s="183">
        <v>0.0</v>
      </c>
      <c r="J353" s="182">
        <v>1.0</v>
      </c>
      <c r="K353" s="182">
        <v>1.0</v>
      </c>
      <c r="L353" s="182">
        <v>1.0</v>
      </c>
      <c r="M353" s="182">
        <v>1.0</v>
      </c>
      <c r="N353" s="182">
        <v>1.0</v>
      </c>
      <c r="O353" s="182">
        <v>1.0</v>
      </c>
      <c r="P353" s="182">
        <v>1.0</v>
      </c>
      <c r="Q353" s="183">
        <v>0.0</v>
      </c>
      <c r="R353" s="130">
        <v>0.0</v>
      </c>
      <c r="S353" s="131">
        <v>1.0</v>
      </c>
      <c r="T353" s="131">
        <v>1.0</v>
      </c>
      <c r="U353" s="130">
        <v>0.0</v>
      </c>
      <c r="V353" s="131">
        <v>1.0</v>
      </c>
      <c r="W353" s="131">
        <v>1.0</v>
      </c>
      <c r="X353" s="131">
        <v>1.0</v>
      </c>
      <c r="Y353" s="131">
        <v>1.0</v>
      </c>
      <c r="Z353" s="131">
        <v>1.0</v>
      </c>
      <c r="AA353" s="20">
        <f t="shared" si="121"/>
        <v>21</v>
      </c>
      <c r="AB353" s="21">
        <f t="shared" si="122"/>
        <v>0.84</v>
      </c>
      <c r="AC353" s="2"/>
    </row>
    <row r="354">
      <c r="A354" s="153" t="s">
        <v>42</v>
      </c>
      <c r="B354" s="182">
        <v>1.0</v>
      </c>
      <c r="C354" s="182">
        <v>1.0</v>
      </c>
      <c r="D354" s="182">
        <v>1.0</v>
      </c>
      <c r="E354" s="182">
        <v>1.0</v>
      </c>
      <c r="F354" s="182">
        <v>1.0</v>
      </c>
      <c r="G354" s="182">
        <v>1.0</v>
      </c>
      <c r="H354" s="183">
        <v>0.0</v>
      </c>
      <c r="I354" s="183">
        <v>0.0</v>
      </c>
      <c r="J354" s="183">
        <v>0.0</v>
      </c>
      <c r="K354" s="182">
        <v>1.0</v>
      </c>
      <c r="L354" s="182">
        <v>1.0</v>
      </c>
      <c r="M354" s="182">
        <v>1.0</v>
      </c>
      <c r="N354" s="183">
        <v>0.0</v>
      </c>
      <c r="O354" s="183">
        <v>0.0</v>
      </c>
      <c r="P354" s="182">
        <v>1.0</v>
      </c>
      <c r="Q354" s="183">
        <v>0.0</v>
      </c>
      <c r="R354" s="131">
        <v>1.0</v>
      </c>
      <c r="S354" s="131">
        <v>1.0</v>
      </c>
      <c r="T354" s="131">
        <v>1.0</v>
      </c>
      <c r="U354" s="131">
        <v>1.0</v>
      </c>
      <c r="V354" s="131">
        <v>1.0</v>
      </c>
      <c r="W354" s="131">
        <v>1.0</v>
      </c>
      <c r="X354" s="131">
        <v>1.0</v>
      </c>
      <c r="Y354" s="131">
        <v>1.0</v>
      </c>
      <c r="Z354" s="130">
        <v>0.0</v>
      </c>
      <c r="AA354" s="20">
        <f t="shared" si="121"/>
        <v>18</v>
      </c>
      <c r="AB354" s="21">
        <f t="shared" si="122"/>
        <v>0.72</v>
      </c>
      <c r="AC354" s="2"/>
    </row>
    <row r="355">
      <c r="A355" s="153" t="s">
        <v>43</v>
      </c>
      <c r="B355" s="155">
        <f t="shared" ref="B355:Z355" si="123">SUM(B351:B354)</f>
        <v>4</v>
      </c>
      <c r="C355" s="155">
        <f t="shared" si="123"/>
        <v>4</v>
      </c>
      <c r="D355" s="155">
        <f t="shared" si="123"/>
        <v>4</v>
      </c>
      <c r="E355" s="155">
        <f t="shared" si="123"/>
        <v>4</v>
      </c>
      <c r="F355" s="155">
        <f t="shared" si="123"/>
        <v>4</v>
      </c>
      <c r="G355" s="155">
        <f t="shared" si="123"/>
        <v>4</v>
      </c>
      <c r="H355" s="155">
        <f t="shared" si="123"/>
        <v>2</v>
      </c>
      <c r="I355" s="155">
        <f t="shared" si="123"/>
        <v>0</v>
      </c>
      <c r="J355" s="155">
        <f t="shared" si="123"/>
        <v>2</v>
      </c>
      <c r="K355" s="155">
        <f t="shared" si="123"/>
        <v>3</v>
      </c>
      <c r="L355" s="155">
        <f t="shared" si="123"/>
        <v>3</v>
      </c>
      <c r="M355" s="155">
        <f t="shared" si="123"/>
        <v>3</v>
      </c>
      <c r="N355" s="155">
        <f t="shared" si="123"/>
        <v>1</v>
      </c>
      <c r="O355" s="155">
        <f t="shared" si="123"/>
        <v>3</v>
      </c>
      <c r="P355" s="155">
        <f t="shared" si="123"/>
        <v>4</v>
      </c>
      <c r="Q355" s="155">
        <f t="shared" si="123"/>
        <v>2</v>
      </c>
      <c r="R355" s="155">
        <f t="shared" si="123"/>
        <v>3</v>
      </c>
      <c r="S355" s="155">
        <f t="shared" si="123"/>
        <v>4</v>
      </c>
      <c r="T355" s="155">
        <f t="shared" si="123"/>
        <v>4</v>
      </c>
      <c r="U355" s="155">
        <f t="shared" si="123"/>
        <v>2</v>
      </c>
      <c r="V355" s="155">
        <f t="shared" si="123"/>
        <v>4</v>
      </c>
      <c r="W355" s="155">
        <f t="shared" si="123"/>
        <v>4</v>
      </c>
      <c r="X355" s="155">
        <f t="shared" si="123"/>
        <v>4</v>
      </c>
      <c r="Y355" s="155">
        <f t="shared" si="123"/>
        <v>4</v>
      </c>
      <c r="Z355" s="155">
        <f t="shared" si="123"/>
        <v>3</v>
      </c>
      <c r="AA355" s="20">
        <f t="shared" si="121"/>
        <v>79</v>
      </c>
      <c r="AB355" s="23"/>
      <c r="AC355" s="2"/>
    </row>
    <row r="356">
      <c r="A356" s="153" t="s">
        <v>38</v>
      </c>
      <c r="B356" s="156">
        <f t="shared" ref="B356:Z356" si="124">B355/(COUNT(B351:B354)*1)</f>
        <v>1</v>
      </c>
      <c r="C356" s="156">
        <f t="shared" si="124"/>
        <v>1</v>
      </c>
      <c r="D356" s="156">
        <f t="shared" si="124"/>
        <v>1</v>
      </c>
      <c r="E356" s="156">
        <f t="shared" si="124"/>
        <v>1</v>
      </c>
      <c r="F356" s="156">
        <f t="shared" si="124"/>
        <v>1</v>
      </c>
      <c r="G356" s="156">
        <f t="shared" si="124"/>
        <v>1</v>
      </c>
      <c r="H356" s="156">
        <f t="shared" si="124"/>
        <v>0.5</v>
      </c>
      <c r="I356" s="156">
        <f t="shared" si="124"/>
        <v>0</v>
      </c>
      <c r="J356" s="156">
        <f t="shared" si="124"/>
        <v>0.5</v>
      </c>
      <c r="K356" s="156">
        <f t="shared" si="124"/>
        <v>0.75</v>
      </c>
      <c r="L356" s="156">
        <f t="shared" si="124"/>
        <v>0.75</v>
      </c>
      <c r="M356" s="156">
        <f t="shared" si="124"/>
        <v>0.75</v>
      </c>
      <c r="N356" s="156">
        <f t="shared" si="124"/>
        <v>0.25</v>
      </c>
      <c r="O356" s="156">
        <f t="shared" si="124"/>
        <v>0.75</v>
      </c>
      <c r="P356" s="156">
        <f t="shared" si="124"/>
        <v>1</v>
      </c>
      <c r="Q356" s="156">
        <f t="shared" si="124"/>
        <v>0.5</v>
      </c>
      <c r="R356" s="156">
        <f t="shared" si="124"/>
        <v>0.75</v>
      </c>
      <c r="S356" s="156">
        <f t="shared" si="124"/>
        <v>1</v>
      </c>
      <c r="T356" s="156">
        <f t="shared" si="124"/>
        <v>1</v>
      </c>
      <c r="U356" s="156">
        <f t="shared" si="124"/>
        <v>0.5</v>
      </c>
      <c r="V356" s="156">
        <f t="shared" si="124"/>
        <v>1</v>
      </c>
      <c r="W356" s="156">
        <f t="shared" si="124"/>
        <v>1</v>
      </c>
      <c r="X356" s="156">
        <f t="shared" si="124"/>
        <v>1</v>
      </c>
      <c r="Y356" s="156">
        <f t="shared" si="124"/>
        <v>1</v>
      </c>
      <c r="Z356" s="156">
        <f t="shared" si="124"/>
        <v>0.75</v>
      </c>
      <c r="AA356" s="25"/>
      <c r="AB356" s="26">
        <f>SUM(AB351:AB354)/4</f>
        <v>0.79</v>
      </c>
      <c r="AC356" s="2"/>
    </row>
    <row r="357">
      <c r="A357" s="157" t="s">
        <v>74</v>
      </c>
      <c r="B357" s="158"/>
      <c r="C357" s="159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30">
        <f t="shared" ref="AA357:AA359" si="125">SUM(B357:Z357)</f>
        <v>0</v>
      </c>
      <c r="AB357" s="31"/>
      <c r="AC357" s="2"/>
    </row>
    <row r="358">
      <c r="A358" s="160" t="s">
        <v>45</v>
      </c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58"/>
      <c r="W358" s="158"/>
      <c r="X358" s="158"/>
      <c r="Y358" s="158"/>
      <c r="Z358" s="158"/>
      <c r="AA358" s="30">
        <f t="shared" si="125"/>
        <v>0</v>
      </c>
      <c r="AB358" s="31"/>
      <c r="AC358" s="9"/>
    </row>
    <row r="359">
      <c r="A359" s="160" t="s">
        <v>46</v>
      </c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58"/>
      <c r="W359" s="158"/>
      <c r="X359" s="158"/>
      <c r="Y359" s="158"/>
      <c r="Z359" s="158"/>
      <c r="AA359" s="30">
        <f t="shared" si="125"/>
        <v>0</v>
      </c>
      <c r="AB359" s="31"/>
      <c r="AC359" s="9"/>
    </row>
    <row r="360">
      <c r="A360" s="163" t="s">
        <v>47</v>
      </c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7"/>
      <c r="AA360" s="38"/>
      <c r="AB360" s="39"/>
      <c r="AC360" s="2"/>
    </row>
    <row r="361">
      <c r="A361" s="164" t="s">
        <v>48</v>
      </c>
      <c r="B361" s="165"/>
      <c r="C361" s="166"/>
      <c r="D361" s="165"/>
      <c r="E361" s="165"/>
      <c r="F361" s="165"/>
      <c r="G361" s="165"/>
      <c r="H361" s="166">
        <v>1.0</v>
      </c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7"/>
      <c r="W361" s="167"/>
      <c r="X361" s="167"/>
      <c r="Y361" s="167"/>
      <c r="Z361" s="167"/>
      <c r="AA361" s="44">
        <f t="shared" ref="AA361:AA362" si="126">SUM(B361:Z361)</f>
        <v>1</v>
      </c>
      <c r="AB361" s="31"/>
      <c r="AC361" s="2"/>
    </row>
    <row r="362">
      <c r="A362" s="164" t="s">
        <v>49</v>
      </c>
      <c r="B362" s="165"/>
      <c r="C362" s="166"/>
      <c r="D362" s="165"/>
      <c r="E362" s="165"/>
      <c r="F362" s="165"/>
      <c r="G362" s="165"/>
      <c r="H362" s="166">
        <v>20.0</v>
      </c>
      <c r="I362" s="166">
        <v>20.0</v>
      </c>
      <c r="J362" s="166">
        <v>20.0</v>
      </c>
      <c r="K362" s="166">
        <v>20.0</v>
      </c>
      <c r="L362" s="166">
        <v>20.0</v>
      </c>
      <c r="M362" s="166">
        <v>20.0</v>
      </c>
      <c r="N362" s="166">
        <v>20.0</v>
      </c>
      <c r="O362" s="165"/>
      <c r="P362" s="165"/>
      <c r="Q362" s="165"/>
      <c r="R362" s="165"/>
      <c r="S362" s="165"/>
      <c r="T362" s="165"/>
      <c r="U362" s="165"/>
      <c r="V362" s="167"/>
      <c r="W362" s="167"/>
      <c r="X362" s="167"/>
      <c r="Y362" s="167"/>
      <c r="Z362" s="167"/>
      <c r="AA362" s="44">
        <f t="shared" si="126"/>
        <v>140</v>
      </c>
      <c r="AB362" s="31"/>
      <c r="AC362" s="2"/>
    </row>
    <row r="363">
      <c r="A363" s="164" t="s">
        <v>50</v>
      </c>
      <c r="B363" s="166"/>
      <c r="C363" s="166"/>
      <c r="D363" s="165"/>
      <c r="E363" s="165"/>
      <c r="F363" s="165"/>
      <c r="G363" s="165"/>
      <c r="H363" s="166">
        <v>1.0</v>
      </c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7"/>
      <c r="W363" s="167"/>
      <c r="X363" s="167"/>
      <c r="Y363" s="167"/>
      <c r="Z363" s="167"/>
      <c r="AA363" s="44">
        <f>AVERAGE(B363:Z363)</f>
        <v>1</v>
      </c>
      <c r="AB363" s="31"/>
      <c r="AC363" s="2"/>
    </row>
    <row r="364">
      <c r="A364" s="168" t="s">
        <v>51</v>
      </c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7"/>
      <c r="AA364" s="46"/>
      <c r="AB364" s="39"/>
      <c r="AC364" s="2"/>
    </row>
    <row r="365">
      <c r="A365" s="169" t="s">
        <v>48</v>
      </c>
      <c r="B365" s="170"/>
      <c r="C365" s="154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0"/>
      <c r="V365" s="171"/>
      <c r="W365" s="171"/>
      <c r="X365" s="171"/>
      <c r="Y365" s="171"/>
      <c r="Z365" s="171"/>
      <c r="AA365" s="51">
        <f t="shared" ref="AA365:AA366" si="127">SUM(B365:Z365)</f>
        <v>0</v>
      </c>
      <c r="AB365" s="31"/>
      <c r="AC365" s="2"/>
    </row>
    <row r="366">
      <c r="A366" s="169" t="s">
        <v>49</v>
      </c>
      <c r="B366" s="170"/>
      <c r="C366" s="154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0"/>
      <c r="V366" s="171"/>
      <c r="W366" s="171"/>
      <c r="X366" s="171"/>
      <c r="Y366" s="171"/>
      <c r="Z366" s="171"/>
      <c r="AA366" s="51">
        <f t="shared" si="127"/>
        <v>0</v>
      </c>
      <c r="AB366" s="31"/>
      <c r="AC366" s="2"/>
    </row>
    <row r="367">
      <c r="A367" s="169" t="s">
        <v>50</v>
      </c>
      <c r="B367" s="154"/>
      <c r="C367" s="154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0"/>
      <c r="V367" s="171"/>
      <c r="W367" s="171"/>
      <c r="X367" s="171"/>
      <c r="Y367" s="171"/>
      <c r="Z367" s="171"/>
      <c r="AA367" s="51" t="str">
        <f>AVERAGE(B367:Z367)</f>
        <v>#DIV/0!</v>
      </c>
      <c r="AB367" s="31"/>
      <c r="AC367" s="2"/>
    </row>
    <row r="368">
      <c r="A368" s="163" t="s">
        <v>53</v>
      </c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8"/>
      <c r="AB368" s="39"/>
      <c r="AC368" s="2"/>
    </row>
    <row r="369">
      <c r="A369" s="164" t="s">
        <v>48</v>
      </c>
      <c r="B369" s="165"/>
      <c r="C369" s="166"/>
      <c r="D369" s="165"/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7"/>
      <c r="W369" s="167"/>
      <c r="X369" s="167"/>
      <c r="Y369" s="167"/>
      <c r="Z369" s="167"/>
      <c r="AA369" s="44">
        <f t="shared" ref="AA369:AA370" si="128">SUM(B369:Z369)</f>
        <v>0</v>
      </c>
      <c r="AB369" s="31"/>
      <c r="AC369" s="2"/>
    </row>
    <row r="370">
      <c r="A370" s="164" t="s">
        <v>49</v>
      </c>
      <c r="B370" s="165"/>
      <c r="C370" s="166"/>
      <c r="D370" s="165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7"/>
      <c r="W370" s="167"/>
      <c r="X370" s="167"/>
      <c r="Y370" s="167"/>
      <c r="Z370" s="167"/>
      <c r="AA370" s="44">
        <f t="shared" si="128"/>
        <v>0</v>
      </c>
      <c r="AB370" s="31"/>
      <c r="AC370" s="2"/>
    </row>
    <row r="371">
      <c r="A371" s="172" t="s">
        <v>50</v>
      </c>
      <c r="B371" s="173"/>
      <c r="C371" s="173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5"/>
      <c r="W371" s="175"/>
      <c r="X371" s="175"/>
      <c r="Y371" s="175"/>
      <c r="Z371" s="175"/>
      <c r="AA371" s="57" t="str">
        <f>AVERAGE(B371:Z371)</f>
        <v>#DIV/0!</v>
      </c>
      <c r="AB371" s="58"/>
      <c r="AC371" s="2"/>
    </row>
    <row r="372" ht="15.75" customHeight="1">
      <c r="A372" s="176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  <c r="AA372" s="59"/>
      <c r="AB372" s="59"/>
      <c r="AC372" s="2"/>
    </row>
    <row r="373">
      <c r="A373" s="151">
        <v>45959.0</v>
      </c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" t="s">
        <v>37</v>
      </c>
      <c r="AB373" s="16" t="s">
        <v>38</v>
      </c>
      <c r="AC373" s="2"/>
    </row>
    <row r="374">
      <c r="A374" s="153" t="s">
        <v>39</v>
      </c>
      <c r="B374" s="154">
        <v>1.0</v>
      </c>
      <c r="C374" s="154">
        <v>1.0</v>
      </c>
      <c r="D374" s="154">
        <v>1.0</v>
      </c>
      <c r="E374" s="154">
        <v>1.0</v>
      </c>
      <c r="F374" s="154">
        <v>1.0</v>
      </c>
      <c r="G374" s="154">
        <v>1.0</v>
      </c>
      <c r="H374" s="154">
        <v>1.0</v>
      </c>
      <c r="I374" s="154">
        <v>1.0</v>
      </c>
      <c r="J374" s="154">
        <v>1.0</v>
      </c>
      <c r="K374" s="154">
        <v>1.0</v>
      </c>
      <c r="L374" s="154">
        <v>1.0</v>
      </c>
      <c r="M374" s="154">
        <v>1.0</v>
      </c>
      <c r="N374" s="154">
        <v>1.0</v>
      </c>
      <c r="O374" s="154">
        <v>1.0</v>
      </c>
      <c r="P374" s="154">
        <v>1.0</v>
      </c>
      <c r="Q374" s="154">
        <v>0.0</v>
      </c>
      <c r="R374" s="154">
        <v>1.0</v>
      </c>
      <c r="S374" s="154">
        <v>1.0</v>
      </c>
      <c r="T374" s="154">
        <v>1.0</v>
      </c>
      <c r="U374" s="154">
        <v>1.0</v>
      </c>
      <c r="V374" s="154">
        <v>0.0</v>
      </c>
      <c r="W374" s="154">
        <v>1.0</v>
      </c>
      <c r="X374" s="154">
        <v>1.0</v>
      </c>
      <c r="Y374" s="154">
        <v>1.0</v>
      </c>
      <c r="Z374" s="154"/>
      <c r="AA374" s="20">
        <f t="shared" ref="AA374:AA378" si="129">SUM(B374:Z374)</f>
        <v>22</v>
      </c>
      <c r="AB374" s="21">
        <f t="shared" ref="AB374:AB377" si="130">AA374/(COUNT(B374:Z374)*1)</f>
        <v>0.9166666667</v>
      </c>
      <c r="AC374" s="2"/>
    </row>
    <row r="375">
      <c r="A375" s="153" t="s">
        <v>40</v>
      </c>
      <c r="B375" s="154">
        <v>1.0</v>
      </c>
      <c r="C375" s="154">
        <v>1.0</v>
      </c>
      <c r="D375" s="154">
        <v>1.0</v>
      </c>
      <c r="E375" s="154">
        <v>1.0</v>
      </c>
      <c r="F375" s="154">
        <v>1.0</v>
      </c>
      <c r="G375" s="154">
        <v>1.0</v>
      </c>
      <c r="H375" s="154">
        <v>0.0</v>
      </c>
      <c r="I375" s="154">
        <v>1.0</v>
      </c>
      <c r="J375" s="154">
        <v>0.0</v>
      </c>
      <c r="K375" s="154">
        <v>0.0</v>
      </c>
      <c r="L375" s="154">
        <v>1.0</v>
      </c>
      <c r="M375" s="154">
        <v>1.0</v>
      </c>
      <c r="N375" s="154">
        <v>0.0</v>
      </c>
      <c r="O375" s="154">
        <v>1.0</v>
      </c>
      <c r="P375" s="154">
        <v>1.0</v>
      </c>
      <c r="Q375" s="154">
        <v>1.0</v>
      </c>
      <c r="R375" s="154">
        <v>1.0</v>
      </c>
      <c r="S375" s="154">
        <v>1.0</v>
      </c>
      <c r="T375" s="154">
        <v>1.0</v>
      </c>
      <c r="U375" s="154">
        <v>1.0</v>
      </c>
      <c r="V375" s="154">
        <v>0.0</v>
      </c>
      <c r="W375" s="154">
        <v>1.0</v>
      </c>
      <c r="X375" s="154">
        <v>1.0</v>
      </c>
      <c r="Y375" s="154">
        <v>1.0</v>
      </c>
      <c r="Z375" s="154"/>
      <c r="AA375" s="20">
        <f t="shared" si="129"/>
        <v>19</v>
      </c>
      <c r="AB375" s="21">
        <f t="shared" si="130"/>
        <v>0.7916666667</v>
      </c>
      <c r="AC375" s="2"/>
    </row>
    <row r="376">
      <c r="A376" s="153" t="s">
        <v>41</v>
      </c>
      <c r="B376" s="154">
        <v>1.0</v>
      </c>
      <c r="C376" s="154">
        <v>1.0</v>
      </c>
      <c r="D376" s="154">
        <v>0.0</v>
      </c>
      <c r="E376" s="154">
        <v>1.0</v>
      </c>
      <c r="F376" s="154">
        <v>1.0</v>
      </c>
      <c r="G376" s="154">
        <v>0.0</v>
      </c>
      <c r="H376" s="154">
        <v>1.0</v>
      </c>
      <c r="I376" s="154">
        <v>1.0</v>
      </c>
      <c r="J376" s="154">
        <v>0.0</v>
      </c>
      <c r="K376" s="154">
        <v>1.0</v>
      </c>
      <c r="L376" s="154">
        <v>0.0</v>
      </c>
      <c r="M376" s="154">
        <v>1.0</v>
      </c>
      <c r="N376" s="154">
        <v>0.0</v>
      </c>
      <c r="O376" s="154">
        <v>1.0</v>
      </c>
      <c r="P376" s="154">
        <v>1.0</v>
      </c>
      <c r="Q376" s="154">
        <v>0.0</v>
      </c>
      <c r="R376" s="154">
        <v>1.0</v>
      </c>
      <c r="S376" s="154">
        <v>1.0</v>
      </c>
      <c r="T376" s="154">
        <v>1.0</v>
      </c>
      <c r="U376" s="154">
        <v>1.0</v>
      </c>
      <c r="V376" s="154">
        <v>0.0</v>
      </c>
      <c r="W376" s="154">
        <v>1.0</v>
      </c>
      <c r="X376" s="154">
        <v>1.0</v>
      </c>
      <c r="Y376" s="154">
        <v>1.0</v>
      </c>
      <c r="Z376" s="154"/>
      <c r="AA376" s="20">
        <f t="shared" si="129"/>
        <v>17</v>
      </c>
      <c r="AB376" s="21">
        <f t="shared" si="130"/>
        <v>0.7083333333</v>
      </c>
      <c r="AC376" s="2"/>
    </row>
    <row r="377">
      <c r="A377" s="153" t="s">
        <v>42</v>
      </c>
      <c r="B377" s="154">
        <v>1.0</v>
      </c>
      <c r="C377" s="154">
        <v>1.0</v>
      </c>
      <c r="D377" s="154">
        <v>0.0</v>
      </c>
      <c r="E377" s="154">
        <v>1.0</v>
      </c>
      <c r="F377" s="154">
        <v>1.0</v>
      </c>
      <c r="G377" s="154">
        <v>1.0</v>
      </c>
      <c r="H377" s="154">
        <v>0.0</v>
      </c>
      <c r="I377" s="154">
        <v>0.0</v>
      </c>
      <c r="J377" s="154">
        <v>0.0</v>
      </c>
      <c r="K377" s="154">
        <v>1.0</v>
      </c>
      <c r="L377" s="154">
        <v>1.0</v>
      </c>
      <c r="M377" s="154">
        <v>1.0</v>
      </c>
      <c r="N377" s="154">
        <v>1.0</v>
      </c>
      <c r="O377" s="154">
        <v>1.0</v>
      </c>
      <c r="P377" s="154">
        <v>1.0</v>
      </c>
      <c r="Q377" s="154">
        <v>0.0</v>
      </c>
      <c r="R377" s="154">
        <v>0.0</v>
      </c>
      <c r="S377" s="154">
        <v>0.0</v>
      </c>
      <c r="T377" s="154">
        <v>1.0</v>
      </c>
      <c r="U377" s="154">
        <v>1.0</v>
      </c>
      <c r="V377" s="154">
        <v>1.0</v>
      </c>
      <c r="W377" s="154">
        <v>1.0</v>
      </c>
      <c r="X377" s="154">
        <v>1.0</v>
      </c>
      <c r="Y377" s="154">
        <v>1.0</v>
      </c>
      <c r="Z377" s="154"/>
      <c r="AA377" s="20">
        <f t="shared" si="129"/>
        <v>17</v>
      </c>
      <c r="AB377" s="21">
        <f t="shared" si="130"/>
        <v>0.7083333333</v>
      </c>
      <c r="AC377" s="2"/>
    </row>
    <row r="378">
      <c r="A378" s="153" t="s">
        <v>43</v>
      </c>
      <c r="B378" s="155">
        <f t="shared" ref="B378:Z378" si="131">SUM(B374:B377)</f>
        <v>4</v>
      </c>
      <c r="C378" s="155">
        <f t="shared" si="131"/>
        <v>4</v>
      </c>
      <c r="D378" s="155">
        <f t="shared" si="131"/>
        <v>2</v>
      </c>
      <c r="E378" s="155">
        <f t="shared" si="131"/>
        <v>4</v>
      </c>
      <c r="F378" s="155">
        <f t="shared" si="131"/>
        <v>4</v>
      </c>
      <c r="G378" s="155">
        <f t="shared" si="131"/>
        <v>3</v>
      </c>
      <c r="H378" s="155">
        <f t="shared" si="131"/>
        <v>2</v>
      </c>
      <c r="I378" s="155">
        <f t="shared" si="131"/>
        <v>3</v>
      </c>
      <c r="J378" s="155">
        <f t="shared" si="131"/>
        <v>1</v>
      </c>
      <c r="K378" s="155">
        <f t="shared" si="131"/>
        <v>3</v>
      </c>
      <c r="L378" s="155">
        <f t="shared" si="131"/>
        <v>3</v>
      </c>
      <c r="M378" s="155">
        <f t="shared" si="131"/>
        <v>4</v>
      </c>
      <c r="N378" s="155">
        <f t="shared" si="131"/>
        <v>2</v>
      </c>
      <c r="O378" s="155">
        <f t="shared" si="131"/>
        <v>4</v>
      </c>
      <c r="P378" s="155">
        <f t="shared" si="131"/>
        <v>4</v>
      </c>
      <c r="Q378" s="155">
        <f t="shared" si="131"/>
        <v>1</v>
      </c>
      <c r="R378" s="155">
        <f t="shared" si="131"/>
        <v>3</v>
      </c>
      <c r="S378" s="155">
        <f t="shared" si="131"/>
        <v>3</v>
      </c>
      <c r="T378" s="155">
        <f t="shared" si="131"/>
        <v>4</v>
      </c>
      <c r="U378" s="155">
        <f t="shared" si="131"/>
        <v>4</v>
      </c>
      <c r="V378" s="155">
        <f t="shared" si="131"/>
        <v>1</v>
      </c>
      <c r="W378" s="155">
        <f t="shared" si="131"/>
        <v>4</v>
      </c>
      <c r="X378" s="155">
        <f t="shared" si="131"/>
        <v>4</v>
      </c>
      <c r="Y378" s="155">
        <f t="shared" si="131"/>
        <v>4</v>
      </c>
      <c r="Z378" s="155">
        <f t="shared" si="131"/>
        <v>0</v>
      </c>
      <c r="AA378" s="20">
        <f t="shared" si="129"/>
        <v>75</v>
      </c>
      <c r="AB378" s="23"/>
      <c r="AC378" s="2"/>
    </row>
    <row r="379">
      <c r="A379" s="153" t="s">
        <v>38</v>
      </c>
      <c r="B379" s="156">
        <f t="shared" ref="B379:Z379" si="132">B378/(COUNT(B374:B377)*1)</f>
        <v>1</v>
      </c>
      <c r="C379" s="156">
        <f t="shared" si="132"/>
        <v>1</v>
      </c>
      <c r="D379" s="156">
        <f t="shared" si="132"/>
        <v>0.5</v>
      </c>
      <c r="E379" s="156">
        <f t="shared" si="132"/>
        <v>1</v>
      </c>
      <c r="F379" s="156">
        <f t="shared" si="132"/>
        <v>1</v>
      </c>
      <c r="G379" s="156">
        <f t="shared" si="132"/>
        <v>0.75</v>
      </c>
      <c r="H379" s="156">
        <f t="shared" si="132"/>
        <v>0.5</v>
      </c>
      <c r="I379" s="156">
        <f t="shared" si="132"/>
        <v>0.75</v>
      </c>
      <c r="J379" s="156">
        <f t="shared" si="132"/>
        <v>0.25</v>
      </c>
      <c r="K379" s="156">
        <f t="shared" si="132"/>
        <v>0.75</v>
      </c>
      <c r="L379" s="156">
        <f t="shared" si="132"/>
        <v>0.75</v>
      </c>
      <c r="M379" s="156">
        <f t="shared" si="132"/>
        <v>1</v>
      </c>
      <c r="N379" s="156">
        <f t="shared" si="132"/>
        <v>0.5</v>
      </c>
      <c r="O379" s="156">
        <f t="shared" si="132"/>
        <v>1</v>
      </c>
      <c r="P379" s="156">
        <f t="shared" si="132"/>
        <v>1</v>
      </c>
      <c r="Q379" s="156">
        <f t="shared" si="132"/>
        <v>0.25</v>
      </c>
      <c r="R379" s="156">
        <f t="shared" si="132"/>
        <v>0.75</v>
      </c>
      <c r="S379" s="156">
        <f t="shared" si="132"/>
        <v>0.75</v>
      </c>
      <c r="T379" s="156">
        <f t="shared" si="132"/>
        <v>1</v>
      </c>
      <c r="U379" s="156">
        <f t="shared" si="132"/>
        <v>1</v>
      </c>
      <c r="V379" s="156">
        <f t="shared" si="132"/>
        <v>0.25</v>
      </c>
      <c r="W379" s="156">
        <f t="shared" si="132"/>
        <v>1</v>
      </c>
      <c r="X379" s="156">
        <f t="shared" si="132"/>
        <v>1</v>
      </c>
      <c r="Y379" s="156">
        <f t="shared" si="132"/>
        <v>1</v>
      </c>
      <c r="Z379" s="156" t="str">
        <f t="shared" si="132"/>
        <v>#DIV/0!</v>
      </c>
      <c r="AA379" s="25"/>
      <c r="AB379" s="26">
        <f>SUM(AB374:AB377)/4</f>
        <v>0.78125</v>
      </c>
      <c r="AC379" s="2"/>
    </row>
    <row r="380">
      <c r="A380" s="157" t="s">
        <v>74</v>
      </c>
      <c r="B380" s="158"/>
      <c r="C380" s="159"/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30">
        <f t="shared" ref="AA380:AA382" si="133">SUM(B380:Z380)</f>
        <v>0</v>
      </c>
      <c r="AB380" s="31"/>
      <c r="AC380" s="2"/>
    </row>
    <row r="381">
      <c r="A381" s="160" t="s">
        <v>45</v>
      </c>
      <c r="B381" s="161"/>
      <c r="C381" s="161"/>
      <c r="D381" s="161"/>
      <c r="E381" s="161"/>
      <c r="F381" s="161"/>
      <c r="G381" s="162">
        <v>3.0</v>
      </c>
      <c r="H381" s="162">
        <v>6.0</v>
      </c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2">
        <v>3.0</v>
      </c>
      <c r="V381" s="158"/>
      <c r="W381" s="158"/>
      <c r="X381" s="158"/>
      <c r="Y381" s="158"/>
      <c r="Z381" s="158"/>
      <c r="AA381" s="30">
        <f t="shared" si="133"/>
        <v>12</v>
      </c>
      <c r="AB381" s="31"/>
      <c r="AC381" s="9"/>
    </row>
    <row r="382">
      <c r="A382" s="160" t="s">
        <v>46</v>
      </c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58"/>
      <c r="W382" s="158"/>
      <c r="X382" s="158"/>
      <c r="Y382" s="158"/>
      <c r="Z382" s="158"/>
      <c r="AA382" s="30">
        <f t="shared" si="133"/>
        <v>0</v>
      </c>
      <c r="AB382" s="31"/>
      <c r="AC382" s="9"/>
    </row>
    <row r="383">
      <c r="A383" s="163" t="s">
        <v>47</v>
      </c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7"/>
      <c r="AA383" s="38"/>
      <c r="AB383" s="39"/>
      <c r="AC383" s="2"/>
    </row>
    <row r="384">
      <c r="A384" s="164" t="s">
        <v>48</v>
      </c>
      <c r="B384" s="165"/>
      <c r="C384" s="166"/>
      <c r="D384" s="165"/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7"/>
      <c r="W384" s="167"/>
      <c r="X384" s="167"/>
      <c r="Y384" s="167"/>
      <c r="Z384" s="167"/>
      <c r="AA384" s="44">
        <f t="shared" ref="AA384:AA385" si="134">SUM(B384:Z384)</f>
        <v>0</v>
      </c>
      <c r="AB384" s="31"/>
      <c r="AC384" s="2"/>
    </row>
    <row r="385">
      <c r="A385" s="164" t="s">
        <v>49</v>
      </c>
      <c r="B385" s="165"/>
      <c r="C385" s="166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7"/>
      <c r="W385" s="167"/>
      <c r="X385" s="167"/>
      <c r="Y385" s="167"/>
      <c r="Z385" s="167"/>
      <c r="AA385" s="44">
        <f t="shared" si="134"/>
        <v>0</v>
      </c>
      <c r="AB385" s="31"/>
      <c r="AC385" s="2"/>
    </row>
    <row r="386">
      <c r="A386" s="164" t="s">
        <v>50</v>
      </c>
      <c r="B386" s="166"/>
      <c r="C386" s="166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7"/>
      <c r="W386" s="167"/>
      <c r="X386" s="167"/>
      <c r="Y386" s="167"/>
      <c r="Z386" s="167"/>
      <c r="AA386" s="44" t="str">
        <f>AVERAGE(B386:Z386)</f>
        <v>#DIV/0!</v>
      </c>
      <c r="AB386" s="31"/>
      <c r="AC386" s="2"/>
    </row>
    <row r="387">
      <c r="A387" s="168" t="s">
        <v>51</v>
      </c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7"/>
      <c r="AA387" s="46"/>
      <c r="AB387" s="39"/>
      <c r="AC387" s="2"/>
    </row>
    <row r="388">
      <c r="A388" s="169" t="s">
        <v>48</v>
      </c>
      <c r="B388" s="170"/>
      <c r="C388" s="154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1"/>
      <c r="W388" s="171"/>
      <c r="X388" s="171"/>
      <c r="Y388" s="171"/>
      <c r="Z388" s="171"/>
      <c r="AA388" s="51">
        <f t="shared" ref="AA388:AA389" si="135">SUM(B388:Z388)</f>
        <v>0</v>
      </c>
      <c r="AB388" s="31"/>
      <c r="AC388" s="2"/>
    </row>
    <row r="389">
      <c r="A389" s="169" t="s">
        <v>49</v>
      </c>
      <c r="B389" s="170"/>
      <c r="C389" s="154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0"/>
      <c r="V389" s="171"/>
      <c r="W389" s="171"/>
      <c r="X389" s="171"/>
      <c r="Y389" s="171"/>
      <c r="Z389" s="171"/>
      <c r="AA389" s="51">
        <f t="shared" si="135"/>
        <v>0</v>
      </c>
      <c r="AB389" s="31"/>
      <c r="AC389" s="2"/>
    </row>
    <row r="390">
      <c r="A390" s="169" t="s">
        <v>50</v>
      </c>
      <c r="B390" s="154"/>
      <c r="C390" s="154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0"/>
      <c r="V390" s="171"/>
      <c r="W390" s="171"/>
      <c r="X390" s="171"/>
      <c r="Y390" s="171"/>
      <c r="Z390" s="171"/>
      <c r="AA390" s="51" t="str">
        <f>AVERAGE(B390:Z390)</f>
        <v>#DIV/0!</v>
      </c>
      <c r="AB390" s="31"/>
      <c r="AC390" s="2"/>
    </row>
    <row r="391">
      <c r="A391" s="163" t="s">
        <v>53</v>
      </c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7"/>
      <c r="AA391" s="38"/>
      <c r="AB391" s="39"/>
      <c r="AC391" s="2"/>
    </row>
    <row r="392">
      <c r="A392" s="164" t="s">
        <v>48</v>
      </c>
      <c r="B392" s="165"/>
      <c r="C392" s="166"/>
      <c r="D392" s="165"/>
      <c r="E392" s="165"/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7"/>
      <c r="W392" s="167"/>
      <c r="X392" s="167"/>
      <c r="Y392" s="167"/>
      <c r="Z392" s="167"/>
      <c r="AA392" s="44">
        <f t="shared" ref="AA392:AA393" si="136">SUM(B392:Z392)</f>
        <v>0</v>
      </c>
      <c r="AB392" s="31"/>
      <c r="AC392" s="2"/>
    </row>
    <row r="393">
      <c r="A393" s="164" t="s">
        <v>49</v>
      </c>
      <c r="B393" s="165"/>
      <c r="C393" s="166"/>
      <c r="D393" s="165"/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7"/>
      <c r="W393" s="167"/>
      <c r="X393" s="167"/>
      <c r="Y393" s="167"/>
      <c r="Z393" s="167"/>
      <c r="AA393" s="44">
        <f t="shared" si="136"/>
        <v>0</v>
      </c>
      <c r="AB393" s="31"/>
      <c r="AC393" s="2"/>
    </row>
    <row r="394">
      <c r="A394" s="172" t="s">
        <v>50</v>
      </c>
      <c r="B394" s="173"/>
      <c r="C394" s="173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5"/>
      <c r="W394" s="175"/>
      <c r="X394" s="175"/>
      <c r="Y394" s="175"/>
      <c r="Z394" s="175"/>
      <c r="AA394" s="57" t="str">
        <f>AVERAGE(B394:Z394)</f>
        <v>#DIV/0!</v>
      </c>
      <c r="AB394" s="58"/>
      <c r="AC394" s="2"/>
    </row>
    <row r="395" ht="15.75" customHeight="1">
      <c r="A395" s="176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  <c r="AA395" s="59"/>
      <c r="AB395" s="59"/>
      <c r="AC395" s="2"/>
    </row>
    <row r="396">
      <c r="A396" s="151">
        <v>45960.0</v>
      </c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" t="s">
        <v>37</v>
      </c>
      <c r="AB396" s="16" t="s">
        <v>38</v>
      </c>
      <c r="AC396" s="2"/>
    </row>
    <row r="397">
      <c r="A397" s="153" t="s">
        <v>39</v>
      </c>
      <c r="B397" s="154">
        <v>1.0</v>
      </c>
      <c r="C397" s="154">
        <v>1.0</v>
      </c>
      <c r="D397" s="154">
        <v>1.0</v>
      </c>
      <c r="E397" s="154">
        <v>1.0</v>
      </c>
      <c r="F397" s="154">
        <v>1.0</v>
      </c>
      <c r="G397" s="154">
        <v>1.0</v>
      </c>
      <c r="H397" s="154">
        <v>1.0</v>
      </c>
      <c r="I397" s="154">
        <v>0.0</v>
      </c>
      <c r="J397" s="154">
        <v>0.0</v>
      </c>
      <c r="K397" s="154">
        <v>0.0</v>
      </c>
      <c r="L397" s="154">
        <v>0.0</v>
      </c>
      <c r="M397" s="154">
        <v>0.0</v>
      </c>
      <c r="N397" s="154">
        <v>0.0</v>
      </c>
      <c r="O397" s="154">
        <v>1.0</v>
      </c>
      <c r="P397" s="154">
        <v>1.0</v>
      </c>
      <c r="Q397" s="154">
        <v>1.0</v>
      </c>
      <c r="R397" s="154">
        <v>0.0</v>
      </c>
      <c r="S397" s="154">
        <v>1.0</v>
      </c>
      <c r="T397" s="154">
        <v>1.0</v>
      </c>
      <c r="U397" s="154">
        <v>1.0</v>
      </c>
      <c r="V397" s="154">
        <v>1.0</v>
      </c>
      <c r="W397" s="154">
        <v>1.0</v>
      </c>
      <c r="X397" s="154">
        <v>1.0</v>
      </c>
      <c r="Y397" s="154">
        <v>1.0</v>
      </c>
      <c r="Z397" s="154"/>
      <c r="AA397" s="20">
        <f t="shared" ref="AA397:AA401" si="137">SUM(B397:Z397)</f>
        <v>17</v>
      </c>
      <c r="AB397" s="21">
        <f t="shared" ref="AB397:AB400" si="138">AA397/(COUNT(B397:Z397)*1)</f>
        <v>0.7083333333</v>
      </c>
      <c r="AC397" s="2"/>
    </row>
    <row r="398">
      <c r="A398" s="153" t="s">
        <v>40</v>
      </c>
      <c r="B398" s="154">
        <v>1.0</v>
      </c>
      <c r="C398" s="154">
        <v>1.0</v>
      </c>
      <c r="D398" s="154">
        <v>1.0</v>
      </c>
      <c r="E398" s="154">
        <v>1.0</v>
      </c>
      <c r="F398" s="154">
        <v>1.0</v>
      </c>
      <c r="G398" s="154">
        <v>1.0</v>
      </c>
      <c r="H398" s="154">
        <v>1.0</v>
      </c>
      <c r="I398" s="154">
        <v>0.0</v>
      </c>
      <c r="J398" s="154">
        <v>1.0</v>
      </c>
      <c r="K398" s="154">
        <v>1.0</v>
      </c>
      <c r="L398" s="154">
        <v>1.0</v>
      </c>
      <c r="M398" s="154">
        <v>1.0</v>
      </c>
      <c r="N398" s="154">
        <v>1.0</v>
      </c>
      <c r="O398" s="154">
        <v>1.0</v>
      </c>
      <c r="P398" s="154">
        <v>1.0</v>
      </c>
      <c r="Q398" s="154">
        <v>1.0</v>
      </c>
      <c r="R398" s="154">
        <v>0.0</v>
      </c>
      <c r="S398" s="154">
        <v>1.0</v>
      </c>
      <c r="T398" s="154">
        <v>0.0</v>
      </c>
      <c r="U398" s="154">
        <v>0.0</v>
      </c>
      <c r="V398" s="154">
        <v>0.0</v>
      </c>
      <c r="W398" s="154">
        <v>0.0</v>
      </c>
      <c r="X398" s="154">
        <v>0.0</v>
      </c>
      <c r="Y398" s="154">
        <v>0.0</v>
      </c>
      <c r="Z398" s="154"/>
      <c r="AA398" s="20">
        <f t="shared" si="137"/>
        <v>16</v>
      </c>
      <c r="AB398" s="21">
        <f t="shared" si="138"/>
        <v>0.6666666667</v>
      </c>
      <c r="AC398" s="2"/>
    </row>
    <row r="399">
      <c r="A399" s="153" t="s">
        <v>41</v>
      </c>
      <c r="B399" s="154">
        <v>1.0</v>
      </c>
      <c r="C399" s="154">
        <v>1.0</v>
      </c>
      <c r="D399" s="154">
        <v>0.0</v>
      </c>
      <c r="E399" s="154">
        <v>1.0</v>
      </c>
      <c r="F399" s="154">
        <v>1.0</v>
      </c>
      <c r="G399" s="154">
        <v>1.0</v>
      </c>
      <c r="H399" s="154">
        <v>1.0</v>
      </c>
      <c r="I399" s="154">
        <v>1.0</v>
      </c>
      <c r="J399" s="154">
        <v>1.0</v>
      </c>
      <c r="K399" s="154">
        <v>1.0</v>
      </c>
      <c r="L399" s="154">
        <v>1.0</v>
      </c>
      <c r="M399" s="154">
        <v>0.0</v>
      </c>
      <c r="N399" s="154">
        <v>0.0</v>
      </c>
      <c r="O399" s="154">
        <v>1.0</v>
      </c>
      <c r="P399" s="154">
        <v>1.0</v>
      </c>
      <c r="Q399" s="154">
        <v>0.0</v>
      </c>
      <c r="R399" s="154">
        <v>0.0</v>
      </c>
      <c r="S399" s="154">
        <v>1.0</v>
      </c>
      <c r="T399" s="154">
        <v>1.0</v>
      </c>
      <c r="U399" s="154">
        <v>1.0</v>
      </c>
      <c r="V399" s="154">
        <v>1.0</v>
      </c>
      <c r="W399" s="154">
        <v>1.0</v>
      </c>
      <c r="X399" s="154">
        <v>0.0</v>
      </c>
      <c r="Y399" s="154">
        <v>0.0</v>
      </c>
      <c r="Z399" s="154"/>
      <c r="AA399" s="20">
        <f t="shared" si="137"/>
        <v>17</v>
      </c>
      <c r="AB399" s="21">
        <f t="shared" si="138"/>
        <v>0.7083333333</v>
      </c>
      <c r="AC399" s="2"/>
    </row>
    <row r="400">
      <c r="A400" s="153" t="s">
        <v>42</v>
      </c>
      <c r="B400" s="154">
        <v>1.0</v>
      </c>
      <c r="C400" s="154">
        <v>1.0</v>
      </c>
      <c r="D400" s="154">
        <v>0.0</v>
      </c>
      <c r="E400" s="154">
        <v>1.0</v>
      </c>
      <c r="F400" s="154">
        <v>1.0</v>
      </c>
      <c r="G400" s="154">
        <v>1.0</v>
      </c>
      <c r="H400" s="154">
        <v>1.0</v>
      </c>
      <c r="I400" s="154">
        <v>1.0</v>
      </c>
      <c r="J400" s="154">
        <v>1.0</v>
      </c>
      <c r="K400" s="154">
        <v>1.0</v>
      </c>
      <c r="L400" s="154">
        <v>1.0</v>
      </c>
      <c r="M400" s="154">
        <v>1.0</v>
      </c>
      <c r="N400" s="154">
        <v>1.0</v>
      </c>
      <c r="O400" s="154">
        <v>1.0</v>
      </c>
      <c r="P400" s="154">
        <v>1.0</v>
      </c>
      <c r="Q400" s="154">
        <v>0.0</v>
      </c>
      <c r="R400" s="154">
        <v>0.0</v>
      </c>
      <c r="S400" s="154">
        <v>1.0</v>
      </c>
      <c r="T400" s="154">
        <v>0.0</v>
      </c>
      <c r="U400" s="154">
        <v>1.0</v>
      </c>
      <c r="V400" s="154">
        <v>0.0</v>
      </c>
      <c r="W400" s="154">
        <v>1.0</v>
      </c>
      <c r="X400" s="154">
        <v>1.0</v>
      </c>
      <c r="Y400" s="154">
        <v>1.0</v>
      </c>
      <c r="Z400" s="154"/>
      <c r="AA400" s="20">
        <f t="shared" si="137"/>
        <v>19</v>
      </c>
      <c r="AB400" s="21">
        <f t="shared" si="138"/>
        <v>0.7916666667</v>
      </c>
      <c r="AC400" s="2"/>
    </row>
    <row r="401">
      <c r="A401" s="153" t="s">
        <v>43</v>
      </c>
      <c r="B401" s="155">
        <f t="shared" ref="B401:Z401" si="139">SUM(B397:B400)</f>
        <v>4</v>
      </c>
      <c r="C401" s="155">
        <f t="shared" si="139"/>
        <v>4</v>
      </c>
      <c r="D401" s="155">
        <f t="shared" si="139"/>
        <v>2</v>
      </c>
      <c r="E401" s="155">
        <f t="shared" si="139"/>
        <v>4</v>
      </c>
      <c r="F401" s="155">
        <f t="shared" si="139"/>
        <v>4</v>
      </c>
      <c r="G401" s="155">
        <f t="shared" si="139"/>
        <v>4</v>
      </c>
      <c r="H401" s="155">
        <f t="shared" si="139"/>
        <v>4</v>
      </c>
      <c r="I401" s="155">
        <f t="shared" si="139"/>
        <v>2</v>
      </c>
      <c r="J401" s="155">
        <f t="shared" si="139"/>
        <v>3</v>
      </c>
      <c r="K401" s="155">
        <f t="shared" si="139"/>
        <v>3</v>
      </c>
      <c r="L401" s="155">
        <f t="shared" si="139"/>
        <v>3</v>
      </c>
      <c r="M401" s="155">
        <f t="shared" si="139"/>
        <v>2</v>
      </c>
      <c r="N401" s="155">
        <f t="shared" si="139"/>
        <v>2</v>
      </c>
      <c r="O401" s="155">
        <f t="shared" si="139"/>
        <v>4</v>
      </c>
      <c r="P401" s="155">
        <f t="shared" si="139"/>
        <v>4</v>
      </c>
      <c r="Q401" s="155">
        <f t="shared" si="139"/>
        <v>2</v>
      </c>
      <c r="R401" s="155">
        <f t="shared" si="139"/>
        <v>0</v>
      </c>
      <c r="S401" s="155">
        <f t="shared" si="139"/>
        <v>4</v>
      </c>
      <c r="T401" s="155">
        <f t="shared" si="139"/>
        <v>2</v>
      </c>
      <c r="U401" s="155">
        <f t="shared" si="139"/>
        <v>3</v>
      </c>
      <c r="V401" s="155">
        <f t="shared" si="139"/>
        <v>2</v>
      </c>
      <c r="W401" s="155">
        <f t="shared" si="139"/>
        <v>3</v>
      </c>
      <c r="X401" s="155">
        <f t="shared" si="139"/>
        <v>2</v>
      </c>
      <c r="Y401" s="155">
        <f t="shared" si="139"/>
        <v>2</v>
      </c>
      <c r="Z401" s="155">
        <f t="shared" si="139"/>
        <v>0</v>
      </c>
      <c r="AA401" s="20">
        <f t="shared" si="137"/>
        <v>69</v>
      </c>
      <c r="AB401" s="23"/>
      <c r="AC401" s="2"/>
    </row>
    <row r="402">
      <c r="A402" s="153" t="s">
        <v>38</v>
      </c>
      <c r="B402" s="156">
        <f t="shared" ref="B402:Z402" si="140">B401/(COUNT(B397:B400)*1)</f>
        <v>1</v>
      </c>
      <c r="C402" s="156">
        <f t="shared" si="140"/>
        <v>1</v>
      </c>
      <c r="D402" s="156">
        <f t="shared" si="140"/>
        <v>0.5</v>
      </c>
      <c r="E402" s="156">
        <f t="shared" si="140"/>
        <v>1</v>
      </c>
      <c r="F402" s="156">
        <f t="shared" si="140"/>
        <v>1</v>
      </c>
      <c r="G402" s="156">
        <f t="shared" si="140"/>
        <v>1</v>
      </c>
      <c r="H402" s="156">
        <f t="shared" si="140"/>
        <v>1</v>
      </c>
      <c r="I402" s="156">
        <f t="shared" si="140"/>
        <v>0.5</v>
      </c>
      <c r="J402" s="156">
        <f t="shared" si="140"/>
        <v>0.75</v>
      </c>
      <c r="K402" s="156">
        <f t="shared" si="140"/>
        <v>0.75</v>
      </c>
      <c r="L402" s="156">
        <f t="shared" si="140"/>
        <v>0.75</v>
      </c>
      <c r="M402" s="156">
        <f t="shared" si="140"/>
        <v>0.5</v>
      </c>
      <c r="N402" s="156">
        <f t="shared" si="140"/>
        <v>0.5</v>
      </c>
      <c r="O402" s="156">
        <f t="shared" si="140"/>
        <v>1</v>
      </c>
      <c r="P402" s="156">
        <f t="shared" si="140"/>
        <v>1</v>
      </c>
      <c r="Q402" s="156">
        <f t="shared" si="140"/>
        <v>0.5</v>
      </c>
      <c r="R402" s="156">
        <f t="shared" si="140"/>
        <v>0</v>
      </c>
      <c r="S402" s="156">
        <f t="shared" si="140"/>
        <v>1</v>
      </c>
      <c r="T402" s="156">
        <f t="shared" si="140"/>
        <v>0.5</v>
      </c>
      <c r="U402" s="156">
        <f t="shared" si="140"/>
        <v>0.75</v>
      </c>
      <c r="V402" s="156">
        <f t="shared" si="140"/>
        <v>0.5</v>
      </c>
      <c r="W402" s="156">
        <f t="shared" si="140"/>
        <v>0.75</v>
      </c>
      <c r="X402" s="156">
        <f t="shared" si="140"/>
        <v>0.5</v>
      </c>
      <c r="Y402" s="156">
        <f t="shared" si="140"/>
        <v>0.5</v>
      </c>
      <c r="Z402" s="156" t="str">
        <f t="shared" si="140"/>
        <v>#DIV/0!</v>
      </c>
      <c r="AA402" s="25"/>
      <c r="AB402" s="26">
        <f>SUM(AB397:AB400)/4</f>
        <v>0.71875</v>
      </c>
      <c r="AC402" s="2"/>
    </row>
    <row r="403">
      <c r="A403" s="157" t="s">
        <v>74</v>
      </c>
      <c r="B403" s="158"/>
      <c r="C403" s="159"/>
      <c r="D403" s="158"/>
      <c r="E403" s="158"/>
      <c r="F403" s="158"/>
      <c r="G403" s="158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30">
        <f t="shared" ref="AA403:AA405" si="141">SUM(B403:Z403)</f>
        <v>0</v>
      </c>
      <c r="AB403" s="31"/>
      <c r="AC403" s="2"/>
    </row>
    <row r="404">
      <c r="A404" s="160" t="s">
        <v>45</v>
      </c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58"/>
      <c r="W404" s="158"/>
      <c r="X404" s="158"/>
      <c r="Y404" s="158"/>
      <c r="Z404" s="158"/>
      <c r="AA404" s="30">
        <f t="shared" si="141"/>
        <v>0</v>
      </c>
      <c r="AB404" s="31"/>
      <c r="AC404" s="9"/>
    </row>
    <row r="405">
      <c r="A405" s="160" t="s">
        <v>46</v>
      </c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58"/>
      <c r="W405" s="158"/>
      <c r="X405" s="158"/>
      <c r="Y405" s="158"/>
      <c r="Z405" s="158"/>
      <c r="AA405" s="30">
        <f t="shared" si="141"/>
        <v>0</v>
      </c>
      <c r="AB405" s="31"/>
      <c r="AC405" s="9"/>
    </row>
    <row r="406">
      <c r="A406" s="163" t="s">
        <v>47</v>
      </c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8"/>
      <c r="AB406" s="39"/>
      <c r="AC406" s="2"/>
    </row>
    <row r="407">
      <c r="A407" s="164" t="s">
        <v>48</v>
      </c>
      <c r="B407" s="165"/>
      <c r="C407" s="166"/>
      <c r="D407" s="165"/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7"/>
      <c r="W407" s="167"/>
      <c r="X407" s="167"/>
      <c r="Y407" s="167"/>
      <c r="Z407" s="167"/>
      <c r="AA407" s="44">
        <f t="shared" ref="AA407:AA408" si="142">SUM(B407:Z407)</f>
        <v>0</v>
      </c>
      <c r="AB407" s="31"/>
      <c r="AC407" s="2"/>
    </row>
    <row r="408">
      <c r="A408" s="164" t="s">
        <v>49</v>
      </c>
      <c r="B408" s="165"/>
      <c r="C408" s="166"/>
      <c r="D408" s="165"/>
      <c r="E408" s="165"/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7"/>
      <c r="W408" s="167"/>
      <c r="X408" s="167"/>
      <c r="Y408" s="167"/>
      <c r="Z408" s="167"/>
      <c r="AA408" s="44">
        <f t="shared" si="142"/>
        <v>0</v>
      </c>
      <c r="AB408" s="31"/>
      <c r="AC408" s="2"/>
    </row>
    <row r="409">
      <c r="A409" s="164" t="s">
        <v>50</v>
      </c>
      <c r="B409" s="166"/>
      <c r="C409" s="166"/>
      <c r="D409" s="165"/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7"/>
      <c r="W409" s="167"/>
      <c r="X409" s="167"/>
      <c r="Y409" s="167"/>
      <c r="Z409" s="167"/>
      <c r="AA409" s="44" t="str">
        <f>AVERAGE(B409:Z409)</f>
        <v>#DIV/0!</v>
      </c>
      <c r="AB409" s="31"/>
      <c r="AC409" s="2"/>
    </row>
    <row r="410">
      <c r="A410" s="168" t="s">
        <v>51</v>
      </c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7"/>
      <c r="AA410" s="46"/>
      <c r="AB410" s="39"/>
      <c r="AC410" s="2"/>
    </row>
    <row r="411">
      <c r="A411" s="169" t="s">
        <v>48</v>
      </c>
      <c r="B411" s="170"/>
      <c r="C411" s="154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0"/>
      <c r="V411" s="171"/>
      <c r="W411" s="171"/>
      <c r="X411" s="171"/>
      <c r="Y411" s="171"/>
      <c r="Z411" s="171"/>
      <c r="AA411" s="51">
        <f t="shared" ref="AA411:AA412" si="143">SUM(B411:Z411)</f>
        <v>0</v>
      </c>
      <c r="AB411" s="31"/>
      <c r="AC411" s="2"/>
    </row>
    <row r="412">
      <c r="A412" s="169" t="s">
        <v>49</v>
      </c>
      <c r="B412" s="170"/>
      <c r="C412" s="154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0"/>
      <c r="V412" s="171"/>
      <c r="W412" s="171"/>
      <c r="X412" s="171"/>
      <c r="Y412" s="171"/>
      <c r="Z412" s="171"/>
      <c r="AA412" s="51">
        <f t="shared" si="143"/>
        <v>0</v>
      </c>
      <c r="AB412" s="31"/>
      <c r="AC412" s="2"/>
    </row>
    <row r="413">
      <c r="A413" s="169" t="s">
        <v>50</v>
      </c>
      <c r="B413" s="154"/>
      <c r="C413" s="154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0"/>
      <c r="V413" s="171"/>
      <c r="W413" s="171"/>
      <c r="X413" s="171"/>
      <c r="Y413" s="171"/>
      <c r="Z413" s="171"/>
      <c r="AA413" s="51" t="str">
        <f>AVERAGE(B413:Z413)</f>
        <v>#DIV/0!</v>
      </c>
      <c r="AB413" s="31"/>
      <c r="AC413" s="2"/>
    </row>
    <row r="414">
      <c r="A414" s="163" t="s">
        <v>53</v>
      </c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7"/>
      <c r="AA414" s="38"/>
      <c r="AB414" s="39"/>
      <c r="AC414" s="2"/>
    </row>
    <row r="415">
      <c r="A415" s="164" t="s">
        <v>48</v>
      </c>
      <c r="B415" s="165"/>
      <c r="C415" s="166"/>
      <c r="D415" s="165"/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7"/>
      <c r="W415" s="167"/>
      <c r="X415" s="167"/>
      <c r="Y415" s="167"/>
      <c r="Z415" s="167"/>
      <c r="AA415" s="44">
        <f t="shared" ref="AA415:AA416" si="144">SUM(B415:Z415)</f>
        <v>0</v>
      </c>
      <c r="AB415" s="31"/>
      <c r="AC415" s="2"/>
    </row>
    <row r="416">
      <c r="A416" s="164" t="s">
        <v>49</v>
      </c>
      <c r="B416" s="165"/>
      <c r="C416" s="166"/>
      <c r="D416" s="165"/>
      <c r="E416" s="165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7"/>
      <c r="W416" s="167"/>
      <c r="X416" s="167"/>
      <c r="Y416" s="167"/>
      <c r="Z416" s="167"/>
      <c r="AA416" s="44">
        <f t="shared" si="144"/>
        <v>0</v>
      </c>
      <c r="AB416" s="31"/>
      <c r="AC416" s="2"/>
    </row>
    <row r="417">
      <c r="A417" s="172" t="s">
        <v>50</v>
      </c>
      <c r="B417" s="173"/>
      <c r="C417" s="173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5"/>
      <c r="W417" s="175"/>
      <c r="X417" s="175"/>
      <c r="Y417" s="175"/>
      <c r="Z417" s="175"/>
      <c r="AA417" s="57" t="str">
        <f>AVERAGE(B417:Z417)</f>
        <v>#DIV/0!</v>
      </c>
      <c r="AB417" s="58"/>
      <c r="AC417" s="2"/>
    </row>
    <row r="418" ht="15.75" customHeight="1">
      <c r="A418" s="176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  <c r="AA418" s="59"/>
      <c r="AB418" s="59"/>
      <c r="AC418" s="2"/>
    </row>
    <row r="419">
      <c r="A419" s="184" t="s">
        <v>54</v>
      </c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" t="s">
        <v>37</v>
      </c>
      <c r="AB419" s="16" t="s">
        <v>38</v>
      </c>
      <c r="AC419" s="2"/>
    </row>
    <row r="420">
      <c r="A420" s="153" t="s">
        <v>39</v>
      </c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20">
        <f t="shared" ref="AA420:AA424" si="145">SUM(B420:Z420)</f>
        <v>0</v>
      </c>
      <c r="AB420" s="21" t="str">
        <f t="shared" ref="AB420:AB423" si="146">AA420/(COUNT(B420:Z420)*1)</f>
        <v>#DIV/0!</v>
      </c>
      <c r="AC420" s="2"/>
    </row>
    <row r="421">
      <c r="A421" s="153" t="s">
        <v>40</v>
      </c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20">
        <f t="shared" si="145"/>
        <v>0</v>
      </c>
      <c r="AB421" s="21" t="str">
        <f t="shared" si="146"/>
        <v>#DIV/0!</v>
      </c>
      <c r="AC421" s="2"/>
    </row>
    <row r="422">
      <c r="A422" s="153" t="s">
        <v>41</v>
      </c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20">
        <f t="shared" si="145"/>
        <v>0</v>
      </c>
      <c r="AB422" s="21" t="str">
        <f t="shared" si="146"/>
        <v>#DIV/0!</v>
      </c>
      <c r="AC422" s="2"/>
    </row>
    <row r="423">
      <c r="A423" s="153" t="s">
        <v>42</v>
      </c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20">
        <f t="shared" si="145"/>
        <v>0</v>
      </c>
      <c r="AB423" s="21" t="str">
        <f t="shared" si="146"/>
        <v>#DIV/0!</v>
      </c>
      <c r="AC423" s="2"/>
    </row>
    <row r="424">
      <c r="A424" s="153" t="s">
        <v>43</v>
      </c>
      <c r="B424" s="155">
        <f t="shared" ref="B424:Z424" si="147">SUM(B420:B423)</f>
        <v>0</v>
      </c>
      <c r="C424" s="155">
        <f t="shared" si="147"/>
        <v>0</v>
      </c>
      <c r="D424" s="155">
        <f t="shared" si="147"/>
        <v>0</v>
      </c>
      <c r="E424" s="155">
        <f t="shared" si="147"/>
        <v>0</v>
      </c>
      <c r="F424" s="155">
        <f t="shared" si="147"/>
        <v>0</v>
      </c>
      <c r="G424" s="155">
        <f t="shared" si="147"/>
        <v>0</v>
      </c>
      <c r="H424" s="155">
        <f t="shared" si="147"/>
        <v>0</v>
      </c>
      <c r="I424" s="155">
        <f t="shared" si="147"/>
        <v>0</v>
      </c>
      <c r="J424" s="155">
        <f t="shared" si="147"/>
        <v>0</v>
      </c>
      <c r="K424" s="155">
        <f t="shared" si="147"/>
        <v>0</v>
      </c>
      <c r="L424" s="155">
        <f t="shared" si="147"/>
        <v>0</v>
      </c>
      <c r="M424" s="155">
        <f t="shared" si="147"/>
        <v>0</v>
      </c>
      <c r="N424" s="155">
        <f t="shared" si="147"/>
        <v>0</v>
      </c>
      <c r="O424" s="155">
        <f t="shared" si="147"/>
        <v>0</v>
      </c>
      <c r="P424" s="155">
        <f t="shared" si="147"/>
        <v>0</v>
      </c>
      <c r="Q424" s="155">
        <f t="shared" si="147"/>
        <v>0</v>
      </c>
      <c r="R424" s="155">
        <f t="shared" si="147"/>
        <v>0</v>
      </c>
      <c r="S424" s="155">
        <f t="shared" si="147"/>
        <v>0</v>
      </c>
      <c r="T424" s="155">
        <f t="shared" si="147"/>
        <v>0</v>
      </c>
      <c r="U424" s="155">
        <f t="shared" si="147"/>
        <v>0</v>
      </c>
      <c r="V424" s="155">
        <f t="shared" si="147"/>
        <v>0</v>
      </c>
      <c r="W424" s="155">
        <f t="shared" si="147"/>
        <v>0</v>
      </c>
      <c r="X424" s="155">
        <f t="shared" si="147"/>
        <v>0</v>
      </c>
      <c r="Y424" s="155">
        <f t="shared" si="147"/>
        <v>0</v>
      </c>
      <c r="Z424" s="155">
        <f t="shared" si="147"/>
        <v>0</v>
      </c>
      <c r="AA424" s="20">
        <f t="shared" si="145"/>
        <v>0</v>
      </c>
      <c r="AB424" s="23"/>
      <c r="AC424" s="2"/>
    </row>
    <row r="425">
      <c r="A425" s="153" t="s">
        <v>38</v>
      </c>
      <c r="B425" s="156" t="str">
        <f t="shared" ref="B425:Z425" si="148">B424/(COUNT(B420:B423)*1)</f>
        <v>#DIV/0!</v>
      </c>
      <c r="C425" s="156" t="str">
        <f t="shared" si="148"/>
        <v>#DIV/0!</v>
      </c>
      <c r="D425" s="156" t="str">
        <f t="shared" si="148"/>
        <v>#DIV/0!</v>
      </c>
      <c r="E425" s="156" t="str">
        <f t="shared" si="148"/>
        <v>#DIV/0!</v>
      </c>
      <c r="F425" s="156" t="str">
        <f t="shared" si="148"/>
        <v>#DIV/0!</v>
      </c>
      <c r="G425" s="156" t="str">
        <f t="shared" si="148"/>
        <v>#DIV/0!</v>
      </c>
      <c r="H425" s="156" t="str">
        <f t="shared" si="148"/>
        <v>#DIV/0!</v>
      </c>
      <c r="I425" s="156" t="str">
        <f t="shared" si="148"/>
        <v>#DIV/0!</v>
      </c>
      <c r="J425" s="156" t="str">
        <f t="shared" si="148"/>
        <v>#DIV/0!</v>
      </c>
      <c r="K425" s="156" t="str">
        <f t="shared" si="148"/>
        <v>#DIV/0!</v>
      </c>
      <c r="L425" s="156" t="str">
        <f t="shared" si="148"/>
        <v>#DIV/0!</v>
      </c>
      <c r="M425" s="156" t="str">
        <f t="shared" si="148"/>
        <v>#DIV/0!</v>
      </c>
      <c r="N425" s="156" t="str">
        <f t="shared" si="148"/>
        <v>#DIV/0!</v>
      </c>
      <c r="O425" s="156" t="str">
        <f t="shared" si="148"/>
        <v>#DIV/0!</v>
      </c>
      <c r="P425" s="156" t="str">
        <f t="shared" si="148"/>
        <v>#DIV/0!</v>
      </c>
      <c r="Q425" s="156" t="str">
        <f t="shared" si="148"/>
        <v>#DIV/0!</v>
      </c>
      <c r="R425" s="156" t="str">
        <f t="shared" si="148"/>
        <v>#DIV/0!</v>
      </c>
      <c r="S425" s="156" t="str">
        <f t="shared" si="148"/>
        <v>#DIV/0!</v>
      </c>
      <c r="T425" s="156" t="str">
        <f t="shared" si="148"/>
        <v>#DIV/0!</v>
      </c>
      <c r="U425" s="156" t="str">
        <f t="shared" si="148"/>
        <v>#DIV/0!</v>
      </c>
      <c r="V425" s="156" t="str">
        <f t="shared" si="148"/>
        <v>#DIV/0!</v>
      </c>
      <c r="W425" s="156" t="str">
        <f t="shared" si="148"/>
        <v>#DIV/0!</v>
      </c>
      <c r="X425" s="156" t="str">
        <f t="shared" si="148"/>
        <v>#DIV/0!</v>
      </c>
      <c r="Y425" s="156" t="str">
        <f t="shared" si="148"/>
        <v>#DIV/0!</v>
      </c>
      <c r="Z425" s="156" t="str">
        <f t="shared" si="148"/>
        <v>#DIV/0!</v>
      </c>
      <c r="AA425" s="25"/>
      <c r="AB425" s="26" t="str">
        <f>SUM(AB420:AB423)/4</f>
        <v>#DIV/0!</v>
      </c>
      <c r="AC425" s="2"/>
    </row>
    <row r="426">
      <c r="A426" s="157" t="s">
        <v>74</v>
      </c>
      <c r="B426" s="158"/>
      <c r="C426" s="159"/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30">
        <f t="shared" ref="AA426:AA428" si="149">SUM(B426:Z426)</f>
        <v>0</v>
      </c>
      <c r="AB426" s="31"/>
      <c r="AC426" s="2"/>
    </row>
    <row r="427">
      <c r="A427" s="160" t="s">
        <v>45</v>
      </c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58"/>
      <c r="W427" s="158"/>
      <c r="X427" s="158"/>
      <c r="Y427" s="158"/>
      <c r="Z427" s="158"/>
      <c r="AA427" s="30">
        <f t="shared" si="149"/>
        <v>0</v>
      </c>
      <c r="AB427" s="31"/>
      <c r="AC427" s="9"/>
    </row>
    <row r="428">
      <c r="A428" s="160" t="s">
        <v>46</v>
      </c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58"/>
      <c r="W428" s="158"/>
      <c r="X428" s="158"/>
      <c r="Y428" s="158"/>
      <c r="Z428" s="158"/>
      <c r="AA428" s="30">
        <f t="shared" si="149"/>
        <v>0</v>
      </c>
      <c r="AB428" s="31"/>
      <c r="AC428" s="9"/>
    </row>
    <row r="429">
      <c r="A429" s="163" t="s">
        <v>47</v>
      </c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7"/>
      <c r="AA429" s="38"/>
      <c r="AB429" s="39"/>
      <c r="AC429" s="2"/>
    </row>
    <row r="430">
      <c r="A430" s="164" t="s">
        <v>48</v>
      </c>
      <c r="B430" s="165"/>
      <c r="C430" s="166"/>
      <c r="D430" s="165"/>
      <c r="E430" s="165"/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7"/>
      <c r="W430" s="167"/>
      <c r="X430" s="167"/>
      <c r="Y430" s="167"/>
      <c r="Z430" s="167"/>
      <c r="AA430" s="44">
        <f t="shared" ref="AA430:AA431" si="150">SUM(B430:Z430)</f>
        <v>0</v>
      </c>
      <c r="AB430" s="31"/>
      <c r="AC430" s="2"/>
    </row>
    <row r="431">
      <c r="A431" s="164" t="s">
        <v>49</v>
      </c>
      <c r="B431" s="165"/>
      <c r="C431" s="166"/>
      <c r="D431" s="165"/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7"/>
      <c r="W431" s="167"/>
      <c r="X431" s="167"/>
      <c r="Y431" s="167"/>
      <c r="Z431" s="167"/>
      <c r="AA431" s="44">
        <f t="shared" si="150"/>
        <v>0</v>
      </c>
      <c r="AB431" s="31"/>
      <c r="AC431" s="2"/>
    </row>
    <row r="432">
      <c r="A432" s="164" t="s">
        <v>50</v>
      </c>
      <c r="B432" s="166"/>
      <c r="C432" s="166"/>
      <c r="D432" s="165"/>
      <c r="E432" s="165"/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7"/>
      <c r="W432" s="167"/>
      <c r="X432" s="167"/>
      <c r="Y432" s="167"/>
      <c r="Z432" s="167"/>
      <c r="AA432" s="44" t="str">
        <f>AVERAGE(B432:Z432)</f>
        <v>#DIV/0!</v>
      </c>
      <c r="AB432" s="31"/>
      <c r="AC432" s="2"/>
    </row>
    <row r="433">
      <c r="A433" s="168" t="s">
        <v>51</v>
      </c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7"/>
      <c r="AA433" s="46"/>
      <c r="AB433" s="39"/>
      <c r="AC433" s="2"/>
    </row>
    <row r="434">
      <c r="A434" s="169" t="s">
        <v>48</v>
      </c>
      <c r="B434" s="170"/>
      <c r="C434" s="154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1"/>
      <c r="W434" s="171"/>
      <c r="X434" s="171"/>
      <c r="Y434" s="171"/>
      <c r="Z434" s="171"/>
      <c r="AA434" s="51">
        <f t="shared" ref="AA434:AA435" si="151">SUM(B434:Z434)</f>
        <v>0</v>
      </c>
      <c r="AB434" s="31"/>
      <c r="AC434" s="2"/>
    </row>
    <row r="435">
      <c r="A435" s="169" t="s">
        <v>49</v>
      </c>
      <c r="B435" s="170"/>
      <c r="C435" s="154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0"/>
      <c r="V435" s="171"/>
      <c r="W435" s="171"/>
      <c r="X435" s="171"/>
      <c r="Y435" s="171"/>
      <c r="Z435" s="171"/>
      <c r="AA435" s="51">
        <f t="shared" si="151"/>
        <v>0</v>
      </c>
      <c r="AB435" s="31"/>
      <c r="AC435" s="2"/>
    </row>
    <row r="436">
      <c r="A436" s="169" t="s">
        <v>50</v>
      </c>
      <c r="B436" s="154"/>
      <c r="C436" s="154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0"/>
      <c r="V436" s="171"/>
      <c r="W436" s="171"/>
      <c r="X436" s="171"/>
      <c r="Y436" s="171"/>
      <c r="Z436" s="171"/>
      <c r="AA436" s="51" t="str">
        <f>AVERAGE(B436:Z436)</f>
        <v>#DIV/0!</v>
      </c>
      <c r="AB436" s="31"/>
      <c r="AC436" s="2"/>
    </row>
    <row r="437">
      <c r="A437" s="163" t="s">
        <v>53</v>
      </c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7"/>
      <c r="AA437" s="38"/>
      <c r="AB437" s="39"/>
      <c r="AC437" s="2"/>
    </row>
    <row r="438">
      <c r="A438" s="164" t="s">
        <v>48</v>
      </c>
      <c r="B438" s="165"/>
      <c r="C438" s="166"/>
      <c r="D438" s="165"/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7"/>
      <c r="W438" s="167"/>
      <c r="X438" s="167"/>
      <c r="Y438" s="167"/>
      <c r="Z438" s="167"/>
      <c r="AA438" s="44">
        <f t="shared" ref="AA438:AA439" si="152">SUM(B438:Z438)</f>
        <v>0</v>
      </c>
      <c r="AB438" s="31"/>
      <c r="AC438" s="2"/>
    </row>
    <row r="439">
      <c r="A439" s="164" t="s">
        <v>49</v>
      </c>
      <c r="B439" s="165"/>
      <c r="C439" s="166"/>
      <c r="D439" s="165"/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7"/>
      <c r="W439" s="167"/>
      <c r="X439" s="167"/>
      <c r="Y439" s="167"/>
      <c r="Z439" s="167"/>
      <c r="AA439" s="44">
        <f t="shared" si="152"/>
        <v>0</v>
      </c>
      <c r="AB439" s="31"/>
      <c r="AC439" s="2"/>
    </row>
    <row r="440">
      <c r="A440" s="172" t="s">
        <v>50</v>
      </c>
      <c r="B440" s="173"/>
      <c r="C440" s="173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5"/>
      <c r="W440" s="175"/>
      <c r="X440" s="175"/>
      <c r="Y440" s="175"/>
      <c r="Z440" s="175"/>
      <c r="AA440" s="57" t="str">
        <f>AVERAGE(B440:Z440)</f>
        <v>#DIV/0!</v>
      </c>
      <c r="AB440" s="58"/>
      <c r="AC440" s="2"/>
    </row>
    <row r="441" ht="15.75" customHeight="1">
      <c r="A441" s="176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  <c r="AA441" s="59"/>
      <c r="AB441" s="59"/>
      <c r="AC441" s="2"/>
    </row>
    <row r="442">
      <c r="A442" s="184" t="s">
        <v>54</v>
      </c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" t="s">
        <v>37</v>
      </c>
      <c r="AB442" s="16" t="s">
        <v>38</v>
      </c>
      <c r="AC442" s="2"/>
    </row>
    <row r="443">
      <c r="A443" s="153" t="s">
        <v>39</v>
      </c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20">
        <f t="shared" ref="AA443:AA447" si="153">SUM(B443:Z443)</f>
        <v>0</v>
      </c>
      <c r="AB443" s="21" t="str">
        <f t="shared" ref="AB443:AB446" si="154">AA443/(COUNT(B443:Z443)*1)</f>
        <v>#DIV/0!</v>
      </c>
      <c r="AC443" s="2"/>
    </row>
    <row r="444">
      <c r="A444" s="153" t="s">
        <v>40</v>
      </c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20">
        <f t="shared" si="153"/>
        <v>0</v>
      </c>
      <c r="AB444" s="21" t="str">
        <f t="shared" si="154"/>
        <v>#DIV/0!</v>
      </c>
      <c r="AC444" s="2"/>
    </row>
    <row r="445">
      <c r="A445" s="153" t="s">
        <v>41</v>
      </c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20">
        <f t="shared" si="153"/>
        <v>0</v>
      </c>
      <c r="AB445" s="21" t="str">
        <f t="shared" si="154"/>
        <v>#DIV/0!</v>
      </c>
      <c r="AC445" s="2"/>
    </row>
    <row r="446">
      <c r="A446" s="153" t="s">
        <v>42</v>
      </c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20">
        <f t="shared" si="153"/>
        <v>0</v>
      </c>
      <c r="AB446" s="21" t="str">
        <f t="shared" si="154"/>
        <v>#DIV/0!</v>
      </c>
      <c r="AC446" s="2"/>
    </row>
    <row r="447">
      <c r="A447" s="153" t="s">
        <v>43</v>
      </c>
      <c r="B447" s="155">
        <f t="shared" ref="B447:Z447" si="155">SUM(B443:B446)</f>
        <v>0</v>
      </c>
      <c r="C447" s="155">
        <f t="shared" si="155"/>
        <v>0</v>
      </c>
      <c r="D447" s="155">
        <f t="shared" si="155"/>
        <v>0</v>
      </c>
      <c r="E447" s="155">
        <f t="shared" si="155"/>
        <v>0</v>
      </c>
      <c r="F447" s="155">
        <f t="shared" si="155"/>
        <v>0</v>
      </c>
      <c r="G447" s="155">
        <f t="shared" si="155"/>
        <v>0</v>
      </c>
      <c r="H447" s="155">
        <f t="shared" si="155"/>
        <v>0</v>
      </c>
      <c r="I447" s="155">
        <f t="shared" si="155"/>
        <v>0</v>
      </c>
      <c r="J447" s="155">
        <f t="shared" si="155"/>
        <v>0</v>
      </c>
      <c r="K447" s="155">
        <f t="shared" si="155"/>
        <v>0</v>
      </c>
      <c r="L447" s="155">
        <f t="shared" si="155"/>
        <v>0</v>
      </c>
      <c r="M447" s="155">
        <f t="shared" si="155"/>
        <v>0</v>
      </c>
      <c r="N447" s="155">
        <f t="shared" si="155"/>
        <v>0</v>
      </c>
      <c r="O447" s="155">
        <f t="shared" si="155"/>
        <v>0</v>
      </c>
      <c r="P447" s="155">
        <f t="shared" si="155"/>
        <v>0</v>
      </c>
      <c r="Q447" s="155">
        <f t="shared" si="155"/>
        <v>0</v>
      </c>
      <c r="R447" s="155">
        <f t="shared" si="155"/>
        <v>0</v>
      </c>
      <c r="S447" s="155">
        <f t="shared" si="155"/>
        <v>0</v>
      </c>
      <c r="T447" s="155">
        <f t="shared" si="155"/>
        <v>0</v>
      </c>
      <c r="U447" s="155">
        <f t="shared" si="155"/>
        <v>0</v>
      </c>
      <c r="V447" s="155">
        <f t="shared" si="155"/>
        <v>0</v>
      </c>
      <c r="W447" s="155">
        <f t="shared" si="155"/>
        <v>0</v>
      </c>
      <c r="X447" s="155">
        <f t="shared" si="155"/>
        <v>0</v>
      </c>
      <c r="Y447" s="155">
        <f t="shared" si="155"/>
        <v>0</v>
      </c>
      <c r="Z447" s="155">
        <f t="shared" si="155"/>
        <v>0</v>
      </c>
      <c r="AA447" s="20">
        <f t="shared" si="153"/>
        <v>0</v>
      </c>
      <c r="AB447" s="23"/>
      <c r="AC447" s="2"/>
    </row>
    <row r="448">
      <c r="A448" s="153" t="s">
        <v>38</v>
      </c>
      <c r="B448" s="156" t="str">
        <f t="shared" ref="B448:Z448" si="156">B447/(COUNT(B443:B446)*1)</f>
        <v>#DIV/0!</v>
      </c>
      <c r="C448" s="156" t="str">
        <f t="shared" si="156"/>
        <v>#DIV/0!</v>
      </c>
      <c r="D448" s="156" t="str">
        <f t="shared" si="156"/>
        <v>#DIV/0!</v>
      </c>
      <c r="E448" s="156" t="str">
        <f t="shared" si="156"/>
        <v>#DIV/0!</v>
      </c>
      <c r="F448" s="156" t="str">
        <f t="shared" si="156"/>
        <v>#DIV/0!</v>
      </c>
      <c r="G448" s="156" t="str">
        <f t="shared" si="156"/>
        <v>#DIV/0!</v>
      </c>
      <c r="H448" s="156" t="str">
        <f t="shared" si="156"/>
        <v>#DIV/0!</v>
      </c>
      <c r="I448" s="156" t="str">
        <f t="shared" si="156"/>
        <v>#DIV/0!</v>
      </c>
      <c r="J448" s="156" t="str">
        <f t="shared" si="156"/>
        <v>#DIV/0!</v>
      </c>
      <c r="K448" s="156" t="str">
        <f t="shared" si="156"/>
        <v>#DIV/0!</v>
      </c>
      <c r="L448" s="156" t="str">
        <f t="shared" si="156"/>
        <v>#DIV/0!</v>
      </c>
      <c r="M448" s="156" t="str">
        <f t="shared" si="156"/>
        <v>#DIV/0!</v>
      </c>
      <c r="N448" s="156" t="str">
        <f t="shared" si="156"/>
        <v>#DIV/0!</v>
      </c>
      <c r="O448" s="156" t="str">
        <f t="shared" si="156"/>
        <v>#DIV/0!</v>
      </c>
      <c r="P448" s="156" t="str">
        <f t="shared" si="156"/>
        <v>#DIV/0!</v>
      </c>
      <c r="Q448" s="156" t="str">
        <f t="shared" si="156"/>
        <v>#DIV/0!</v>
      </c>
      <c r="R448" s="156" t="str">
        <f t="shared" si="156"/>
        <v>#DIV/0!</v>
      </c>
      <c r="S448" s="156" t="str">
        <f t="shared" si="156"/>
        <v>#DIV/0!</v>
      </c>
      <c r="T448" s="156" t="str">
        <f t="shared" si="156"/>
        <v>#DIV/0!</v>
      </c>
      <c r="U448" s="156" t="str">
        <f t="shared" si="156"/>
        <v>#DIV/0!</v>
      </c>
      <c r="V448" s="156" t="str">
        <f t="shared" si="156"/>
        <v>#DIV/0!</v>
      </c>
      <c r="W448" s="156" t="str">
        <f t="shared" si="156"/>
        <v>#DIV/0!</v>
      </c>
      <c r="X448" s="156" t="str">
        <f t="shared" si="156"/>
        <v>#DIV/0!</v>
      </c>
      <c r="Y448" s="156" t="str">
        <f t="shared" si="156"/>
        <v>#DIV/0!</v>
      </c>
      <c r="Z448" s="156" t="str">
        <f t="shared" si="156"/>
        <v>#DIV/0!</v>
      </c>
      <c r="AA448" s="25"/>
      <c r="AB448" s="26" t="str">
        <f>SUM(AB443:AB446)/4</f>
        <v>#DIV/0!</v>
      </c>
      <c r="AC448" s="2"/>
    </row>
    <row r="449">
      <c r="A449" s="157" t="s">
        <v>74</v>
      </c>
      <c r="B449" s="158"/>
      <c r="C449" s="159"/>
      <c r="D449" s="158"/>
      <c r="E449" s="158"/>
      <c r="F449" s="158"/>
      <c r="G449" s="158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30">
        <f t="shared" ref="AA449:AA451" si="157">SUM(B449:Z449)</f>
        <v>0</v>
      </c>
      <c r="AB449" s="31"/>
      <c r="AC449" s="2"/>
    </row>
    <row r="450">
      <c r="A450" s="160" t="s">
        <v>45</v>
      </c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58"/>
      <c r="W450" s="158"/>
      <c r="X450" s="158"/>
      <c r="Y450" s="158"/>
      <c r="Z450" s="158"/>
      <c r="AA450" s="30">
        <f t="shared" si="157"/>
        <v>0</v>
      </c>
      <c r="AB450" s="31"/>
      <c r="AC450" s="9"/>
    </row>
    <row r="451">
      <c r="A451" s="160" t="s">
        <v>46</v>
      </c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58"/>
      <c r="W451" s="158"/>
      <c r="X451" s="158"/>
      <c r="Y451" s="158"/>
      <c r="Z451" s="158"/>
      <c r="AA451" s="30">
        <f t="shared" si="157"/>
        <v>0</v>
      </c>
      <c r="AB451" s="31"/>
      <c r="AC451" s="9"/>
    </row>
    <row r="452">
      <c r="A452" s="163" t="s">
        <v>47</v>
      </c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7"/>
      <c r="AA452" s="38"/>
      <c r="AB452" s="39"/>
      <c r="AC452" s="2"/>
    </row>
    <row r="453">
      <c r="A453" s="164" t="s">
        <v>48</v>
      </c>
      <c r="B453" s="165"/>
      <c r="C453" s="166"/>
      <c r="D453" s="165"/>
      <c r="E453" s="165"/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7"/>
      <c r="W453" s="167"/>
      <c r="X453" s="167"/>
      <c r="Y453" s="167"/>
      <c r="Z453" s="167"/>
      <c r="AA453" s="44">
        <f t="shared" ref="AA453:AA454" si="158">SUM(B453:Z453)</f>
        <v>0</v>
      </c>
      <c r="AB453" s="31"/>
      <c r="AC453" s="2"/>
    </row>
    <row r="454">
      <c r="A454" s="164" t="s">
        <v>49</v>
      </c>
      <c r="B454" s="165"/>
      <c r="C454" s="166"/>
      <c r="D454" s="165"/>
      <c r="E454" s="165"/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7"/>
      <c r="W454" s="167"/>
      <c r="X454" s="167"/>
      <c r="Y454" s="167"/>
      <c r="Z454" s="167"/>
      <c r="AA454" s="44">
        <f t="shared" si="158"/>
        <v>0</v>
      </c>
      <c r="AB454" s="31"/>
      <c r="AC454" s="2"/>
    </row>
    <row r="455">
      <c r="A455" s="164" t="s">
        <v>50</v>
      </c>
      <c r="B455" s="166"/>
      <c r="C455" s="166"/>
      <c r="D455" s="165"/>
      <c r="E455" s="165"/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7"/>
      <c r="W455" s="167"/>
      <c r="X455" s="167"/>
      <c r="Y455" s="167"/>
      <c r="Z455" s="167"/>
      <c r="AA455" s="44" t="str">
        <f>AVERAGE(B455:Z455)</f>
        <v>#DIV/0!</v>
      </c>
      <c r="AB455" s="31"/>
      <c r="AC455" s="2"/>
    </row>
    <row r="456">
      <c r="A456" s="168" t="s">
        <v>51</v>
      </c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7"/>
      <c r="AA456" s="46"/>
      <c r="AB456" s="39"/>
      <c r="AC456" s="2"/>
    </row>
    <row r="457">
      <c r="A457" s="169" t="s">
        <v>48</v>
      </c>
      <c r="B457" s="170"/>
      <c r="C457" s="154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0"/>
      <c r="V457" s="171"/>
      <c r="W457" s="171"/>
      <c r="X457" s="171"/>
      <c r="Y457" s="171"/>
      <c r="Z457" s="171"/>
      <c r="AA457" s="51">
        <f t="shared" ref="AA457:AA458" si="159">SUM(B457:Z457)</f>
        <v>0</v>
      </c>
      <c r="AB457" s="31"/>
      <c r="AC457" s="2"/>
    </row>
    <row r="458">
      <c r="A458" s="169" t="s">
        <v>49</v>
      </c>
      <c r="B458" s="170"/>
      <c r="C458" s="154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0"/>
      <c r="V458" s="171"/>
      <c r="W458" s="171"/>
      <c r="X458" s="171"/>
      <c r="Y458" s="171"/>
      <c r="Z458" s="171"/>
      <c r="AA458" s="51">
        <f t="shared" si="159"/>
        <v>0</v>
      </c>
      <c r="AB458" s="31"/>
      <c r="AC458" s="2"/>
    </row>
    <row r="459">
      <c r="A459" s="169" t="s">
        <v>50</v>
      </c>
      <c r="B459" s="154"/>
      <c r="C459" s="154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0"/>
      <c r="V459" s="171"/>
      <c r="W459" s="171"/>
      <c r="X459" s="171"/>
      <c r="Y459" s="171"/>
      <c r="Z459" s="171"/>
      <c r="AA459" s="51" t="str">
        <f>AVERAGE(B459:Z459)</f>
        <v>#DIV/0!</v>
      </c>
      <c r="AB459" s="31"/>
      <c r="AC459" s="2"/>
    </row>
    <row r="460">
      <c r="A460" s="163" t="s">
        <v>53</v>
      </c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7"/>
      <c r="AA460" s="38"/>
      <c r="AB460" s="39"/>
      <c r="AC460" s="2"/>
    </row>
    <row r="461">
      <c r="A461" s="164" t="s">
        <v>48</v>
      </c>
      <c r="B461" s="165"/>
      <c r="C461" s="166"/>
      <c r="D461" s="165"/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7"/>
      <c r="W461" s="167"/>
      <c r="X461" s="167"/>
      <c r="Y461" s="167"/>
      <c r="Z461" s="167"/>
      <c r="AA461" s="44">
        <f t="shared" ref="AA461:AA462" si="160">SUM(B461:Z461)</f>
        <v>0</v>
      </c>
      <c r="AB461" s="31"/>
      <c r="AC461" s="2"/>
    </row>
    <row r="462">
      <c r="A462" s="164" t="s">
        <v>49</v>
      </c>
      <c r="B462" s="165"/>
      <c r="C462" s="166"/>
      <c r="D462" s="165"/>
      <c r="E462" s="165"/>
      <c r="F462" s="165"/>
      <c r="G462" s="165"/>
      <c r="H462" s="165"/>
      <c r="I462" s="165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7"/>
      <c r="W462" s="167"/>
      <c r="X462" s="167"/>
      <c r="Y462" s="167"/>
      <c r="Z462" s="167"/>
      <c r="AA462" s="44">
        <f t="shared" si="160"/>
        <v>0</v>
      </c>
      <c r="AB462" s="31"/>
      <c r="AC462" s="2"/>
    </row>
    <row r="463">
      <c r="A463" s="172" t="s">
        <v>50</v>
      </c>
      <c r="B463" s="173"/>
      <c r="C463" s="173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5"/>
      <c r="W463" s="175"/>
      <c r="X463" s="175"/>
      <c r="Y463" s="175"/>
      <c r="Z463" s="175"/>
      <c r="AA463" s="57" t="str">
        <f>AVERAGE(B463:Z463)</f>
        <v>#DIV/0!</v>
      </c>
      <c r="AB463" s="58"/>
      <c r="AC463" s="2"/>
    </row>
    <row r="464" ht="15.75" customHeight="1">
      <c r="A464" s="176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  <c r="AA464" s="59"/>
      <c r="AB464" s="59"/>
      <c r="AC464" s="2"/>
    </row>
    <row r="465">
      <c r="A465" s="184" t="s">
        <v>54</v>
      </c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" t="s">
        <v>37</v>
      </c>
      <c r="AB465" s="16" t="s">
        <v>38</v>
      </c>
      <c r="AC465" s="2"/>
    </row>
    <row r="466">
      <c r="A466" s="153" t="s">
        <v>39</v>
      </c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20">
        <f t="shared" ref="AA466:AA470" si="161">SUM(B466:Z466)</f>
        <v>0</v>
      </c>
      <c r="AB466" s="21" t="str">
        <f t="shared" ref="AB466:AB469" si="162">AA466/(COUNT(B466:Z466)*1)</f>
        <v>#DIV/0!</v>
      </c>
      <c r="AC466" s="2"/>
    </row>
    <row r="467">
      <c r="A467" s="153" t="s">
        <v>40</v>
      </c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20">
        <f t="shared" si="161"/>
        <v>0</v>
      </c>
      <c r="AB467" s="21" t="str">
        <f t="shared" si="162"/>
        <v>#DIV/0!</v>
      </c>
      <c r="AC467" s="2"/>
    </row>
    <row r="468">
      <c r="A468" s="153" t="s">
        <v>41</v>
      </c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20">
        <f t="shared" si="161"/>
        <v>0</v>
      </c>
      <c r="AB468" s="21" t="str">
        <f t="shared" si="162"/>
        <v>#DIV/0!</v>
      </c>
      <c r="AC468" s="2"/>
    </row>
    <row r="469">
      <c r="A469" s="153" t="s">
        <v>42</v>
      </c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20">
        <f t="shared" si="161"/>
        <v>0</v>
      </c>
      <c r="AB469" s="21" t="str">
        <f t="shared" si="162"/>
        <v>#DIV/0!</v>
      </c>
      <c r="AC469" s="2"/>
    </row>
    <row r="470">
      <c r="A470" s="153" t="s">
        <v>43</v>
      </c>
      <c r="B470" s="155">
        <f t="shared" ref="B470:Z470" si="163">SUM(B466:B469)</f>
        <v>0</v>
      </c>
      <c r="C470" s="155">
        <f t="shared" si="163"/>
        <v>0</v>
      </c>
      <c r="D470" s="155">
        <f t="shared" si="163"/>
        <v>0</v>
      </c>
      <c r="E470" s="155">
        <f t="shared" si="163"/>
        <v>0</v>
      </c>
      <c r="F470" s="155">
        <f t="shared" si="163"/>
        <v>0</v>
      </c>
      <c r="G470" s="155">
        <f t="shared" si="163"/>
        <v>0</v>
      </c>
      <c r="H470" s="155">
        <f t="shared" si="163"/>
        <v>0</v>
      </c>
      <c r="I470" s="155">
        <f t="shared" si="163"/>
        <v>0</v>
      </c>
      <c r="J470" s="155">
        <f t="shared" si="163"/>
        <v>0</v>
      </c>
      <c r="K470" s="155">
        <f t="shared" si="163"/>
        <v>0</v>
      </c>
      <c r="L470" s="155">
        <f t="shared" si="163"/>
        <v>0</v>
      </c>
      <c r="M470" s="155">
        <f t="shared" si="163"/>
        <v>0</v>
      </c>
      <c r="N470" s="155">
        <f t="shared" si="163"/>
        <v>0</v>
      </c>
      <c r="O470" s="155">
        <f t="shared" si="163"/>
        <v>0</v>
      </c>
      <c r="P470" s="155">
        <f t="shared" si="163"/>
        <v>0</v>
      </c>
      <c r="Q470" s="155">
        <f t="shared" si="163"/>
        <v>0</v>
      </c>
      <c r="R470" s="155">
        <f t="shared" si="163"/>
        <v>0</v>
      </c>
      <c r="S470" s="155">
        <f t="shared" si="163"/>
        <v>0</v>
      </c>
      <c r="T470" s="155">
        <f t="shared" si="163"/>
        <v>0</v>
      </c>
      <c r="U470" s="155">
        <f t="shared" si="163"/>
        <v>0</v>
      </c>
      <c r="V470" s="155">
        <f t="shared" si="163"/>
        <v>0</v>
      </c>
      <c r="W470" s="155">
        <f t="shared" si="163"/>
        <v>0</v>
      </c>
      <c r="X470" s="155">
        <f t="shared" si="163"/>
        <v>0</v>
      </c>
      <c r="Y470" s="155">
        <f t="shared" si="163"/>
        <v>0</v>
      </c>
      <c r="Z470" s="155">
        <f t="shared" si="163"/>
        <v>0</v>
      </c>
      <c r="AA470" s="20">
        <f t="shared" si="161"/>
        <v>0</v>
      </c>
      <c r="AB470" s="23"/>
      <c r="AC470" s="2"/>
    </row>
    <row r="471">
      <c r="A471" s="153" t="s">
        <v>38</v>
      </c>
      <c r="B471" s="156" t="str">
        <f t="shared" ref="B471:Z471" si="164">B470/(COUNT(B466:B469)*1)</f>
        <v>#DIV/0!</v>
      </c>
      <c r="C471" s="156" t="str">
        <f t="shared" si="164"/>
        <v>#DIV/0!</v>
      </c>
      <c r="D471" s="156" t="str">
        <f t="shared" si="164"/>
        <v>#DIV/0!</v>
      </c>
      <c r="E471" s="156" t="str">
        <f t="shared" si="164"/>
        <v>#DIV/0!</v>
      </c>
      <c r="F471" s="156" t="str">
        <f t="shared" si="164"/>
        <v>#DIV/0!</v>
      </c>
      <c r="G471" s="156" t="str">
        <f t="shared" si="164"/>
        <v>#DIV/0!</v>
      </c>
      <c r="H471" s="156" t="str">
        <f t="shared" si="164"/>
        <v>#DIV/0!</v>
      </c>
      <c r="I471" s="156" t="str">
        <f t="shared" si="164"/>
        <v>#DIV/0!</v>
      </c>
      <c r="J471" s="156" t="str">
        <f t="shared" si="164"/>
        <v>#DIV/0!</v>
      </c>
      <c r="K471" s="156" t="str">
        <f t="shared" si="164"/>
        <v>#DIV/0!</v>
      </c>
      <c r="L471" s="156" t="str">
        <f t="shared" si="164"/>
        <v>#DIV/0!</v>
      </c>
      <c r="M471" s="156" t="str">
        <f t="shared" si="164"/>
        <v>#DIV/0!</v>
      </c>
      <c r="N471" s="156" t="str">
        <f t="shared" si="164"/>
        <v>#DIV/0!</v>
      </c>
      <c r="O471" s="156" t="str">
        <f t="shared" si="164"/>
        <v>#DIV/0!</v>
      </c>
      <c r="P471" s="156" t="str">
        <f t="shared" si="164"/>
        <v>#DIV/0!</v>
      </c>
      <c r="Q471" s="156" t="str">
        <f t="shared" si="164"/>
        <v>#DIV/0!</v>
      </c>
      <c r="R471" s="156" t="str">
        <f t="shared" si="164"/>
        <v>#DIV/0!</v>
      </c>
      <c r="S471" s="156" t="str">
        <f t="shared" si="164"/>
        <v>#DIV/0!</v>
      </c>
      <c r="T471" s="156" t="str">
        <f t="shared" si="164"/>
        <v>#DIV/0!</v>
      </c>
      <c r="U471" s="156" t="str">
        <f t="shared" si="164"/>
        <v>#DIV/0!</v>
      </c>
      <c r="V471" s="156" t="str">
        <f t="shared" si="164"/>
        <v>#DIV/0!</v>
      </c>
      <c r="W471" s="156" t="str">
        <f t="shared" si="164"/>
        <v>#DIV/0!</v>
      </c>
      <c r="X471" s="156" t="str">
        <f t="shared" si="164"/>
        <v>#DIV/0!</v>
      </c>
      <c r="Y471" s="156" t="str">
        <f t="shared" si="164"/>
        <v>#DIV/0!</v>
      </c>
      <c r="Z471" s="156" t="str">
        <f t="shared" si="164"/>
        <v>#DIV/0!</v>
      </c>
      <c r="AA471" s="25"/>
      <c r="AB471" s="26" t="str">
        <f>SUM(AB466:AB469)/4</f>
        <v>#DIV/0!</v>
      </c>
      <c r="AC471" s="2"/>
    </row>
    <row r="472">
      <c r="A472" s="157" t="s">
        <v>74</v>
      </c>
      <c r="B472" s="158"/>
      <c r="C472" s="159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30">
        <f t="shared" ref="AA472:AA474" si="165">SUM(B472:Z472)</f>
        <v>0</v>
      </c>
      <c r="AB472" s="31"/>
      <c r="AC472" s="2"/>
    </row>
    <row r="473">
      <c r="A473" s="160" t="s">
        <v>45</v>
      </c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58"/>
      <c r="W473" s="158"/>
      <c r="X473" s="158"/>
      <c r="Y473" s="158"/>
      <c r="Z473" s="158"/>
      <c r="AA473" s="30">
        <f t="shared" si="165"/>
        <v>0</v>
      </c>
      <c r="AB473" s="31"/>
      <c r="AC473" s="9"/>
    </row>
    <row r="474">
      <c r="A474" s="160" t="s">
        <v>46</v>
      </c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58"/>
      <c r="W474" s="158"/>
      <c r="X474" s="158"/>
      <c r="Y474" s="158"/>
      <c r="Z474" s="158"/>
      <c r="AA474" s="30">
        <f t="shared" si="165"/>
        <v>0</v>
      </c>
      <c r="AB474" s="31"/>
      <c r="AC474" s="9"/>
    </row>
    <row r="475">
      <c r="A475" s="163" t="s">
        <v>47</v>
      </c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7"/>
      <c r="AA475" s="38"/>
      <c r="AB475" s="39"/>
      <c r="AC475" s="2"/>
    </row>
    <row r="476">
      <c r="A476" s="164" t="s">
        <v>48</v>
      </c>
      <c r="B476" s="165"/>
      <c r="C476" s="166"/>
      <c r="D476" s="165"/>
      <c r="E476" s="165"/>
      <c r="F476" s="165"/>
      <c r="G476" s="165"/>
      <c r="H476" s="165"/>
      <c r="I476" s="165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7"/>
      <c r="W476" s="167"/>
      <c r="X476" s="167"/>
      <c r="Y476" s="167"/>
      <c r="Z476" s="167"/>
      <c r="AA476" s="44">
        <f t="shared" ref="AA476:AA477" si="166">SUM(B476:Z476)</f>
        <v>0</v>
      </c>
      <c r="AB476" s="31"/>
      <c r="AC476" s="2"/>
    </row>
    <row r="477">
      <c r="A477" s="164" t="s">
        <v>49</v>
      </c>
      <c r="B477" s="165"/>
      <c r="C477" s="166"/>
      <c r="D477" s="165"/>
      <c r="E477" s="165"/>
      <c r="F477" s="165"/>
      <c r="G477" s="165"/>
      <c r="H477" s="165"/>
      <c r="I477" s="165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7"/>
      <c r="W477" s="167"/>
      <c r="X477" s="167"/>
      <c r="Y477" s="167"/>
      <c r="Z477" s="167"/>
      <c r="AA477" s="44">
        <f t="shared" si="166"/>
        <v>0</v>
      </c>
      <c r="AB477" s="31"/>
      <c r="AC477" s="2"/>
    </row>
    <row r="478">
      <c r="A478" s="164" t="s">
        <v>50</v>
      </c>
      <c r="B478" s="166"/>
      <c r="C478" s="166"/>
      <c r="D478" s="165"/>
      <c r="E478" s="165"/>
      <c r="F478" s="165"/>
      <c r="G478" s="165"/>
      <c r="H478" s="165"/>
      <c r="I478" s="165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7"/>
      <c r="W478" s="167"/>
      <c r="X478" s="167"/>
      <c r="Y478" s="167"/>
      <c r="Z478" s="167"/>
      <c r="AA478" s="44" t="str">
        <f>AVERAGE(B478:Z478)</f>
        <v>#DIV/0!</v>
      </c>
      <c r="AB478" s="31"/>
      <c r="AC478" s="2"/>
    </row>
    <row r="479">
      <c r="A479" s="168" t="s">
        <v>51</v>
      </c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7"/>
      <c r="AA479" s="46"/>
      <c r="AB479" s="39"/>
      <c r="AC479" s="2"/>
    </row>
    <row r="480">
      <c r="A480" s="169" t="s">
        <v>48</v>
      </c>
      <c r="B480" s="170"/>
      <c r="C480" s="154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1"/>
      <c r="W480" s="171"/>
      <c r="X480" s="171"/>
      <c r="Y480" s="171"/>
      <c r="Z480" s="171"/>
      <c r="AA480" s="51">
        <f t="shared" ref="AA480:AA481" si="167">SUM(B480:Z480)</f>
        <v>0</v>
      </c>
      <c r="AB480" s="31"/>
      <c r="AC480" s="2"/>
    </row>
    <row r="481">
      <c r="A481" s="169" t="s">
        <v>49</v>
      </c>
      <c r="B481" s="170"/>
      <c r="C481" s="154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1"/>
      <c r="W481" s="171"/>
      <c r="X481" s="171"/>
      <c r="Y481" s="171"/>
      <c r="Z481" s="171"/>
      <c r="AA481" s="51">
        <f t="shared" si="167"/>
        <v>0</v>
      </c>
      <c r="AB481" s="31"/>
      <c r="AC481" s="2"/>
    </row>
    <row r="482">
      <c r="A482" s="169" t="s">
        <v>50</v>
      </c>
      <c r="B482" s="154"/>
      <c r="C482" s="154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1"/>
      <c r="W482" s="171"/>
      <c r="X482" s="171"/>
      <c r="Y482" s="171"/>
      <c r="Z482" s="171"/>
      <c r="AA482" s="51" t="str">
        <f>AVERAGE(B482:Z482)</f>
        <v>#DIV/0!</v>
      </c>
      <c r="AB482" s="31"/>
      <c r="AC482" s="2"/>
    </row>
    <row r="483">
      <c r="A483" s="163" t="s">
        <v>53</v>
      </c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7"/>
      <c r="AA483" s="38"/>
      <c r="AB483" s="39"/>
      <c r="AC483" s="2"/>
    </row>
    <row r="484">
      <c r="A484" s="164" t="s">
        <v>48</v>
      </c>
      <c r="B484" s="165"/>
      <c r="C484" s="166"/>
      <c r="D484" s="165"/>
      <c r="E484" s="165"/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7"/>
      <c r="W484" s="167"/>
      <c r="X484" s="167"/>
      <c r="Y484" s="167"/>
      <c r="Z484" s="167"/>
      <c r="AA484" s="44">
        <f t="shared" ref="AA484:AA485" si="168">SUM(B484:Z484)</f>
        <v>0</v>
      </c>
      <c r="AB484" s="31"/>
      <c r="AC484" s="2"/>
    </row>
    <row r="485">
      <c r="A485" s="164" t="s">
        <v>49</v>
      </c>
      <c r="B485" s="165"/>
      <c r="C485" s="166"/>
      <c r="D485" s="165"/>
      <c r="E485" s="165"/>
      <c r="F485" s="165"/>
      <c r="G485" s="165"/>
      <c r="H485" s="165"/>
      <c r="I485" s="165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7"/>
      <c r="W485" s="167"/>
      <c r="X485" s="167"/>
      <c r="Y485" s="167"/>
      <c r="Z485" s="167"/>
      <c r="AA485" s="44">
        <f t="shared" si="168"/>
        <v>0</v>
      </c>
      <c r="AB485" s="31"/>
      <c r="AC485" s="2"/>
    </row>
    <row r="486">
      <c r="A486" s="172" t="s">
        <v>50</v>
      </c>
      <c r="B486" s="173"/>
      <c r="C486" s="173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5"/>
      <c r="W486" s="175"/>
      <c r="X486" s="175"/>
      <c r="Y486" s="175"/>
      <c r="Z486" s="175"/>
      <c r="AA486" s="57" t="str">
        <f>AVERAGE(B486:Z486)</f>
        <v>#DIV/0!</v>
      </c>
      <c r="AB486" s="58"/>
      <c r="AC486" s="2"/>
    </row>
    <row r="487">
      <c r="A487" s="179"/>
      <c r="B487" s="180"/>
      <c r="C487" s="180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2"/>
      <c r="AB487" s="2"/>
      <c r="AC487" s="2"/>
    </row>
    <row r="488">
      <c r="A488" s="184" t="s">
        <v>54</v>
      </c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" t="s">
        <v>37</v>
      </c>
      <c r="AB488" s="16" t="s">
        <v>38</v>
      </c>
      <c r="AC488" s="2"/>
    </row>
    <row r="489">
      <c r="A489" s="153" t="s">
        <v>39</v>
      </c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20">
        <f t="shared" ref="AA489:AA493" si="169">SUM(B489:Z489)</f>
        <v>0</v>
      </c>
      <c r="AB489" s="21" t="str">
        <f t="shared" ref="AB489:AB492" si="170">AA489/(COUNT(B489:Z489)*1)</f>
        <v>#DIV/0!</v>
      </c>
      <c r="AC489" s="2"/>
    </row>
    <row r="490">
      <c r="A490" s="153" t="s">
        <v>40</v>
      </c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20">
        <f t="shared" si="169"/>
        <v>0</v>
      </c>
      <c r="AB490" s="21" t="str">
        <f t="shared" si="170"/>
        <v>#DIV/0!</v>
      </c>
      <c r="AC490" s="2"/>
    </row>
    <row r="491">
      <c r="A491" s="153" t="s">
        <v>41</v>
      </c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20">
        <f t="shared" si="169"/>
        <v>0</v>
      </c>
      <c r="AB491" s="21" t="str">
        <f t="shared" si="170"/>
        <v>#DIV/0!</v>
      </c>
      <c r="AC491" s="2"/>
    </row>
    <row r="492">
      <c r="A492" s="153" t="s">
        <v>42</v>
      </c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20">
        <f t="shared" si="169"/>
        <v>0</v>
      </c>
      <c r="AB492" s="21" t="str">
        <f t="shared" si="170"/>
        <v>#DIV/0!</v>
      </c>
      <c r="AC492" s="2"/>
    </row>
    <row r="493">
      <c r="A493" s="153" t="s">
        <v>43</v>
      </c>
      <c r="B493" s="155">
        <f t="shared" ref="B493:Z493" si="171">SUM(B489:B492)</f>
        <v>0</v>
      </c>
      <c r="C493" s="155">
        <f t="shared" si="171"/>
        <v>0</v>
      </c>
      <c r="D493" s="155">
        <f t="shared" si="171"/>
        <v>0</v>
      </c>
      <c r="E493" s="155">
        <f t="shared" si="171"/>
        <v>0</v>
      </c>
      <c r="F493" s="155">
        <f t="shared" si="171"/>
        <v>0</v>
      </c>
      <c r="G493" s="155">
        <f t="shared" si="171"/>
        <v>0</v>
      </c>
      <c r="H493" s="155">
        <f t="shared" si="171"/>
        <v>0</v>
      </c>
      <c r="I493" s="155">
        <f t="shared" si="171"/>
        <v>0</v>
      </c>
      <c r="J493" s="155">
        <f t="shared" si="171"/>
        <v>0</v>
      </c>
      <c r="K493" s="155">
        <f t="shared" si="171"/>
        <v>0</v>
      </c>
      <c r="L493" s="155">
        <f t="shared" si="171"/>
        <v>0</v>
      </c>
      <c r="M493" s="155">
        <f t="shared" si="171"/>
        <v>0</v>
      </c>
      <c r="N493" s="155">
        <f t="shared" si="171"/>
        <v>0</v>
      </c>
      <c r="O493" s="155">
        <f t="shared" si="171"/>
        <v>0</v>
      </c>
      <c r="P493" s="155">
        <f t="shared" si="171"/>
        <v>0</v>
      </c>
      <c r="Q493" s="155">
        <f t="shared" si="171"/>
        <v>0</v>
      </c>
      <c r="R493" s="155">
        <f t="shared" si="171"/>
        <v>0</v>
      </c>
      <c r="S493" s="155">
        <f t="shared" si="171"/>
        <v>0</v>
      </c>
      <c r="T493" s="155">
        <f t="shared" si="171"/>
        <v>0</v>
      </c>
      <c r="U493" s="155">
        <f t="shared" si="171"/>
        <v>0</v>
      </c>
      <c r="V493" s="155">
        <f t="shared" si="171"/>
        <v>0</v>
      </c>
      <c r="W493" s="155">
        <f t="shared" si="171"/>
        <v>0</v>
      </c>
      <c r="X493" s="155">
        <f t="shared" si="171"/>
        <v>0</v>
      </c>
      <c r="Y493" s="155">
        <f t="shared" si="171"/>
        <v>0</v>
      </c>
      <c r="Z493" s="155">
        <f t="shared" si="171"/>
        <v>0</v>
      </c>
      <c r="AA493" s="20">
        <f t="shared" si="169"/>
        <v>0</v>
      </c>
      <c r="AB493" s="23"/>
      <c r="AC493" s="2"/>
    </row>
    <row r="494">
      <c r="A494" s="153" t="s">
        <v>38</v>
      </c>
      <c r="B494" s="156" t="str">
        <f t="shared" ref="B494:Z494" si="172">B493/(COUNT(B489:B492)*1)</f>
        <v>#DIV/0!</v>
      </c>
      <c r="C494" s="156" t="str">
        <f t="shared" si="172"/>
        <v>#DIV/0!</v>
      </c>
      <c r="D494" s="156" t="str">
        <f t="shared" si="172"/>
        <v>#DIV/0!</v>
      </c>
      <c r="E494" s="156" t="str">
        <f t="shared" si="172"/>
        <v>#DIV/0!</v>
      </c>
      <c r="F494" s="156" t="str">
        <f t="shared" si="172"/>
        <v>#DIV/0!</v>
      </c>
      <c r="G494" s="156" t="str">
        <f t="shared" si="172"/>
        <v>#DIV/0!</v>
      </c>
      <c r="H494" s="156" t="str">
        <f t="shared" si="172"/>
        <v>#DIV/0!</v>
      </c>
      <c r="I494" s="156" t="str">
        <f t="shared" si="172"/>
        <v>#DIV/0!</v>
      </c>
      <c r="J494" s="156" t="str">
        <f t="shared" si="172"/>
        <v>#DIV/0!</v>
      </c>
      <c r="K494" s="156" t="str">
        <f t="shared" si="172"/>
        <v>#DIV/0!</v>
      </c>
      <c r="L494" s="156" t="str">
        <f t="shared" si="172"/>
        <v>#DIV/0!</v>
      </c>
      <c r="M494" s="156" t="str">
        <f t="shared" si="172"/>
        <v>#DIV/0!</v>
      </c>
      <c r="N494" s="156" t="str">
        <f t="shared" si="172"/>
        <v>#DIV/0!</v>
      </c>
      <c r="O494" s="156" t="str">
        <f t="shared" si="172"/>
        <v>#DIV/0!</v>
      </c>
      <c r="P494" s="156" t="str">
        <f t="shared" si="172"/>
        <v>#DIV/0!</v>
      </c>
      <c r="Q494" s="156" t="str">
        <f t="shared" si="172"/>
        <v>#DIV/0!</v>
      </c>
      <c r="R494" s="156" t="str">
        <f t="shared" si="172"/>
        <v>#DIV/0!</v>
      </c>
      <c r="S494" s="156" t="str">
        <f t="shared" si="172"/>
        <v>#DIV/0!</v>
      </c>
      <c r="T494" s="156" t="str">
        <f t="shared" si="172"/>
        <v>#DIV/0!</v>
      </c>
      <c r="U494" s="156" t="str">
        <f t="shared" si="172"/>
        <v>#DIV/0!</v>
      </c>
      <c r="V494" s="156" t="str">
        <f t="shared" si="172"/>
        <v>#DIV/0!</v>
      </c>
      <c r="W494" s="156" t="str">
        <f t="shared" si="172"/>
        <v>#DIV/0!</v>
      </c>
      <c r="X494" s="156" t="str">
        <f t="shared" si="172"/>
        <v>#DIV/0!</v>
      </c>
      <c r="Y494" s="156" t="str">
        <f t="shared" si="172"/>
        <v>#DIV/0!</v>
      </c>
      <c r="Z494" s="156" t="str">
        <f t="shared" si="172"/>
        <v>#DIV/0!</v>
      </c>
      <c r="AA494" s="25"/>
      <c r="AB494" s="26" t="str">
        <f>SUM(AB489:AB492)/4</f>
        <v>#DIV/0!</v>
      </c>
      <c r="AC494" s="2"/>
    </row>
    <row r="495">
      <c r="A495" s="157" t="s">
        <v>74</v>
      </c>
      <c r="B495" s="158"/>
      <c r="C495" s="159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30">
        <f t="shared" ref="AA495:AA497" si="173">SUM(B495:Z495)</f>
        <v>0</v>
      </c>
      <c r="AB495" s="31"/>
      <c r="AC495" s="2"/>
    </row>
    <row r="496">
      <c r="A496" s="160" t="s">
        <v>45</v>
      </c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58"/>
      <c r="W496" s="158"/>
      <c r="X496" s="158"/>
      <c r="Y496" s="158"/>
      <c r="Z496" s="158"/>
      <c r="AA496" s="30">
        <f t="shared" si="173"/>
        <v>0</v>
      </c>
      <c r="AB496" s="31"/>
      <c r="AC496" s="9"/>
    </row>
    <row r="497">
      <c r="A497" s="160" t="s">
        <v>46</v>
      </c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58"/>
      <c r="W497" s="158"/>
      <c r="X497" s="158"/>
      <c r="Y497" s="158"/>
      <c r="Z497" s="158"/>
      <c r="AA497" s="30">
        <f t="shared" si="173"/>
        <v>0</v>
      </c>
      <c r="AB497" s="31"/>
      <c r="AC497" s="9"/>
    </row>
    <row r="498">
      <c r="A498" s="163" t="s">
        <v>47</v>
      </c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7"/>
      <c r="AA498" s="38"/>
      <c r="AB498" s="39"/>
      <c r="AC498" s="2"/>
    </row>
    <row r="499">
      <c r="A499" s="164" t="s">
        <v>48</v>
      </c>
      <c r="B499" s="165"/>
      <c r="C499" s="166"/>
      <c r="D499" s="165"/>
      <c r="E499" s="165"/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7"/>
      <c r="W499" s="167"/>
      <c r="X499" s="167"/>
      <c r="Y499" s="167"/>
      <c r="Z499" s="167"/>
      <c r="AA499" s="44">
        <f t="shared" ref="AA499:AA500" si="174">SUM(B499:Z499)</f>
        <v>0</v>
      </c>
      <c r="AB499" s="31"/>
      <c r="AC499" s="2"/>
    </row>
    <row r="500">
      <c r="A500" s="164" t="s">
        <v>49</v>
      </c>
      <c r="B500" s="165"/>
      <c r="C500" s="166"/>
      <c r="D500" s="165"/>
      <c r="E500" s="165"/>
      <c r="F500" s="165"/>
      <c r="G500" s="165"/>
      <c r="H500" s="165"/>
      <c r="I500" s="165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7"/>
      <c r="W500" s="167"/>
      <c r="X500" s="167"/>
      <c r="Y500" s="167"/>
      <c r="Z500" s="167"/>
      <c r="AA500" s="44">
        <f t="shared" si="174"/>
        <v>0</v>
      </c>
      <c r="AB500" s="31"/>
      <c r="AC500" s="2"/>
    </row>
    <row r="501">
      <c r="A501" s="164" t="s">
        <v>50</v>
      </c>
      <c r="B501" s="166"/>
      <c r="C501" s="166"/>
      <c r="D501" s="165"/>
      <c r="E501" s="165"/>
      <c r="F501" s="165"/>
      <c r="G501" s="165"/>
      <c r="H501" s="165"/>
      <c r="I501" s="165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7"/>
      <c r="W501" s="167"/>
      <c r="X501" s="167"/>
      <c r="Y501" s="167"/>
      <c r="Z501" s="167"/>
      <c r="AA501" s="44" t="str">
        <f>AVERAGE(B501:Z501)</f>
        <v>#DIV/0!</v>
      </c>
      <c r="AB501" s="31"/>
      <c r="AC501" s="2"/>
    </row>
    <row r="502">
      <c r="A502" s="168" t="s">
        <v>51</v>
      </c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7"/>
      <c r="AA502" s="46"/>
      <c r="AB502" s="39"/>
      <c r="AC502" s="2"/>
    </row>
    <row r="503">
      <c r="A503" s="169" t="s">
        <v>48</v>
      </c>
      <c r="B503" s="170"/>
      <c r="C503" s="154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0"/>
      <c r="V503" s="171"/>
      <c r="W503" s="171"/>
      <c r="X503" s="171"/>
      <c r="Y503" s="171"/>
      <c r="Z503" s="171"/>
      <c r="AA503" s="51">
        <f t="shared" ref="AA503:AA504" si="175">SUM(B503:Z503)</f>
        <v>0</v>
      </c>
      <c r="AB503" s="31"/>
      <c r="AC503" s="2"/>
    </row>
    <row r="504">
      <c r="A504" s="169" t="s">
        <v>49</v>
      </c>
      <c r="B504" s="170"/>
      <c r="C504" s="154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0"/>
      <c r="V504" s="171"/>
      <c r="W504" s="171"/>
      <c r="X504" s="171"/>
      <c r="Y504" s="171"/>
      <c r="Z504" s="171"/>
      <c r="AA504" s="51">
        <f t="shared" si="175"/>
        <v>0</v>
      </c>
      <c r="AB504" s="31"/>
      <c r="AC504" s="2"/>
    </row>
    <row r="505">
      <c r="A505" s="169" t="s">
        <v>50</v>
      </c>
      <c r="B505" s="154"/>
      <c r="C505" s="154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0"/>
      <c r="V505" s="171"/>
      <c r="W505" s="171"/>
      <c r="X505" s="171"/>
      <c r="Y505" s="171"/>
      <c r="Z505" s="171"/>
      <c r="AA505" s="51" t="str">
        <f>AVERAGE(B505:Z505)</f>
        <v>#DIV/0!</v>
      </c>
      <c r="AB505" s="31"/>
      <c r="AC505" s="2"/>
    </row>
    <row r="506">
      <c r="A506" s="163" t="s">
        <v>53</v>
      </c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7"/>
      <c r="AA506" s="38"/>
      <c r="AB506" s="39"/>
      <c r="AC506" s="2"/>
    </row>
    <row r="507">
      <c r="A507" s="164" t="s">
        <v>48</v>
      </c>
      <c r="B507" s="165"/>
      <c r="C507" s="166"/>
      <c r="D507" s="165"/>
      <c r="E507" s="165"/>
      <c r="F507" s="165"/>
      <c r="G507" s="165"/>
      <c r="H507" s="165"/>
      <c r="I507" s="165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7"/>
      <c r="W507" s="167"/>
      <c r="X507" s="167"/>
      <c r="Y507" s="167"/>
      <c r="Z507" s="167"/>
      <c r="AA507" s="44">
        <f t="shared" ref="AA507:AA508" si="176">SUM(B507:Z507)</f>
        <v>0</v>
      </c>
      <c r="AB507" s="31"/>
      <c r="AC507" s="2"/>
    </row>
    <row r="508">
      <c r="A508" s="164" t="s">
        <v>49</v>
      </c>
      <c r="B508" s="165"/>
      <c r="C508" s="166"/>
      <c r="D508" s="165"/>
      <c r="E508" s="165"/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7"/>
      <c r="W508" s="167"/>
      <c r="X508" s="167"/>
      <c r="Y508" s="167"/>
      <c r="Z508" s="167"/>
      <c r="AA508" s="44">
        <f t="shared" si="176"/>
        <v>0</v>
      </c>
      <c r="AB508" s="31"/>
      <c r="AC508" s="2"/>
    </row>
    <row r="509">
      <c r="A509" s="172" t="s">
        <v>50</v>
      </c>
      <c r="B509" s="173"/>
      <c r="C509" s="173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5"/>
      <c r="W509" s="175"/>
      <c r="X509" s="175"/>
      <c r="Y509" s="175"/>
      <c r="Z509" s="175"/>
      <c r="AA509" s="57" t="str">
        <f>AVERAGE(B509:Z509)</f>
        <v>#DIV/0!</v>
      </c>
      <c r="AB509" s="58"/>
      <c r="AC509" s="2"/>
    </row>
    <row r="510" ht="15.75" customHeight="1">
      <c r="A510" s="176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  <c r="AA510" s="2"/>
      <c r="AB510" s="2"/>
      <c r="AC510" s="144"/>
    </row>
    <row r="511" ht="15.75" customHeight="1">
      <c r="A511" s="185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  <c r="AA511" s="186"/>
      <c r="AB511" s="186"/>
      <c r="AC511" s="144"/>
    </row>
    <row r="512" ht="15.75" customHeight="1">
      <c r="A512" s="72" t="s">
        <v>55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73" t="s">
        <v>56</v>
      </c>
      <c r="AB512" s="73" t="s">
        <v>57</v>
      </c>
      <c r="AC512" s="2"/>
    </row>
    <row r="513" ht="15.75" customHeight="1">
      <c r="A513" s="74" t="s">
        <v>39</v>
      </c>
      <c r="B513" s="187">
        <f t="shared" ref="B513:Z513" si="177">B6+B29+B52+B75+B98+B121+B144+B167+B190+B213+B236+B259+B282+B305+B328+B351+B374+B397+B420+B443+B466+B489</f>
        <v>17</v>
      </c>
      <c r="C513" s="187">
        <f t="shared" si="177"/>
        <v>17</v>
      </c>
      <c r="D513" s="187">
        <f t="shared" si="177"/>
        <v>17</v>
      </c>
      <c r="E513" s="187">
        <f t="shared" si="177"/>
        <v>14</v>
      </c>
      <c r="F513" s="187">
        <f t="shared" si="177"/>
        <v>9</v>
      </c>
      <c r="G513" s="187">
        <f t="shared" si="177"/>
        <v>9</v>
      </c>
      <c r="H513" s="187">
        <f t="shared" si="177"/>
        <v>7</v>
      </c>
      <c r="I513" s="187">
        <f t="shared" si="177"/>
        <v>5</v>
      </c>
      <c r="J513" s="187">
        <f t="shared" si="177"/>
        <v>5</v>
      </c>
      <c r="K513" s="187">
        <f t="shared" si="177"/>
        <v>6</v>
      </c>
      <c r="L513" s="187">
        <f t="shared" si="177"/>
        <v>7</v>
      </c>
      <c r="M513" s="187">
        <f t="shared" si="177"/>
        <v>9</v>
      </c>
      <c r="N513" s="187">
        <f t="shared" si="177"/>
        <v>9</v>
      </c>
      <c r="O513" s="187">
        <f t="shared" si="177"/>
        <v>18</v>
      </c>
      <c r="P513" s="187">
        <f t="shared" si="177"/>
        <v>17</v>
      </c>
      <c r="Q513" s="187">
        <f t="shared" si="177"/>
        <v>11</v>
      </c>
      <c r="R513" s="187">
        <f t="shared" si="177"/>
        <v>9</v>
      </c>
      <c r="S513" s="187">
        <f t="shared" si="177"/>
        <v>8</v>
      </c>
      <c r="T513" s="187">
        <f t="shared" si="177"/>
        <v>11</v>
      </c>
      <c r="U513" s="187">
        <f t="shared" si="177"/>
        <v>12</v>
      </c>
      <c r="V513" s="187">
        <f t="shared" si="177"/>
        <v>11</v>
      </c>
      <c r="W513" s="187">
        <f t="shared" si="177"/>
        <v>13</v>
      </c>
      <c r="X513" s="187">
        <f t="shared" si="177"/>
        <v>13</v>
      </c>
      <c r="Y513" s="187">
        <f t="shared" si="177"/>
        <v>12</v>
      </c>
      <c r="Z513" s="187">
        <f t="shared" si="177"/>
        <v>9</v>
      </c>
      <c r="AA513" s="76">
        <f t="shared" ref="AA513:AA521" si="179">SUM(B513:Z513)</f>
        <v>275</v>
      </c>
      <c r="AB513" s="77">
        <f t="shared" ref="AB513:AB516" si="180">AA513/(COUNT(B6:Z6,B29:Z29,B52:Z52,B75:Z75,B98:Z98,B121:Z121,B144:Z144,B167:Z167,B190:Z190,B213:Z213,B236:Z236,B259:Z259,B282:Z282,B305:Z305,B328:Z328,B351:Z351,B374:Z374,B397:Z397,B420:Z420,B443:Z443,B466:Z466,B489:Z489))</f>
        <v>0.6278538813</v>
      </c>
      <c r="AC513" s="78" t="s">
        <v>39</v>
      </c>
    </row>
    <row r="514" ht="15.75" customHeight="1">
      <c r="A514" s="17" t="s">
        <v>40</v>
      </c>
      <c r="B514" s="22">
        <f t="shared" ref="B514:Z514" si="178">B7+B30+B53+B76+B99+B122+B145+B168+B191+B214+B237+B260+B283+B306+B329+B352+B375+B398+B421+B444+B467+B490</f>
        <v>17</v>
      </c>
      <c r="C514" s="22">
        <f t="shared" si="178"/>
        <v>15</v>
      </c>
      <c r="D514" s="22">
        <f t="shared" si="178"/>
        <v>16</v>
      </c>
      <c r="E514" s="22">
        <f t="shared" si="178"/>
        <v>17</v>
      </c>
      <c r="F514" s="22">
        <f t="shared" si="178"/>
        <v>18</v>
      </c>
      <c r="G514" s="22">
        <f t="shared" si="178"/>
        <v>17</v>
      </c>
      <c r="H514" s="22">
        <f t="shared" si="178"/>
        <v>16</v>
      </c>
      <c r="I514" s="22">
        <f t="shared" si="178"/>
        <v>15</v>
      </c>
      <c r="J514" s="22">
        <f t="shared" si="178"/>
        <v>16</v>
      </c>
      <c r="K514" s="22">
        <f t="shared" si="178"/>
        <v>15</v>
      </c>
      <c r="L514" s="22">
        <f t="shared" si="178"/>
        <v>16</v>
      </c>
      <c r="M514" s="22">
        <f t="shared" si="178"/>
        <v>17</v>
      </c>
      <c r="N514" s="22">
        <f t="shared" si="178"/>
        <v>15</v>
      </c>
      <c r="O514" s="22">
        <f t="shared" si="178"/>
        <v>18</v>
      </c>
      <c r="P514" s="22">
        <f t="shared" si="178"/>
        <v>16</v>
      </c>
      <c r="Q514" s="22">
        <f t="shared" si="178"/>
        <v>15</v>
      </c>
      <c r="R514" s="22">
        <f t="shared" si="178"/>
        <v>15</v>
      </c>
      <c r="S514" s="22">
        <f t="shared" si="178"/>
        <v>14</v>
      </c>
      <c r="T514" s="22">
        <f t="shared" si="178"/>
        <v>13</v>
      </c>
      <c r="U514" s="22">
        <f t="shared" si="178"/>
        <v>12</v>
      </c>
      <c r="V514" s="22">
        <f t="shared" si="178"/>
        <v>13</v>
      </c>
      <c r="W514" s="22">
        <f t="shared" si="178"/>
        <v>14</v>
      </c>
      <c r="X514" s="22">
        <f t="shared" si="178"/>
        <v>14</v>
      </c>
      <c r="Y514" s="22">
        <f t="shared" si="178"/>
        <v>14</v>
      </c>
      <c r="Z514" s="22">
        <f t="shared" si="178"/>
        <v>9</v>
      </c>
      <c r="AA514" s="79">
        <f t="shared" si="179"/>
        <v>377</v>
      </c>
      <c r="AB514" s="80">
        <f t="shared" si="180"/>
        <v>0.8607305936</v>
      </c>
      <c r="AC514" s="81" t="s">
        <v>40</v>
      </c>
    </row>
    <row r="515" ht="15.75" customHeight="1">
      <c r="A515" s="17" t="s">
        <v>41</v>
      </c>
      <c r="B515" s="22">
        <f t="shared" ref="B515:Z515" si="181">B8+B31+B54+B77+B100+B123+B146+B169+B192+B215+B238+B261+B284+B307+B330+B353+B376+B399+B422+B445+B468+B491</f>
        <v>16</v>
      </c>
      <c r="C515" s="22">
        <f t="shared" si="181"/>
        <v>13</v>
      </c>
      <c r="D515" s="22">
        <f t="shared" si="181"/>
        <v>10</v>
      </c>
      <c r="E515" s="22">
        <f t="shared" si="181"/>
        <v>13</v>
      </c>
      <c r="F515" s="22">
        <f t="shared" si="181"/>
        <v>11</v>
      </c>
      <c r="G515" s="22">
        <f t="shared" si="181"/>
        <v>12</v>
      </c>
      <c r="H515" s="22">
        <f t="shared" si="181"/>
        <v>11</v>
      </c>
      <c r="I515" s="22">
        <f t="shared" si="181"/>
        <v>8</v>
      </c>
      <c r="J515" s="22">
        <f t="shared" si="181"/>
        <v>11</v>
      </c>
      <c r="K515" s="22">
        <f t="shared" si="181"/>
        <v>10</v>
      </c>
      <c r="L515" s="22">
        <f t="shared" si="181"/>
        <v>12</v>
      </c>
      <c r="M515" s="22">
        <f t="shared" si="181"/>
        <v>12</v>
      </c>
      <c r="N515" s="22">
        <f t="shared" si="181"/>
        <v>11</v>
      </c>
      <c r="O515" s="22">
        <f t="shared" si="181"/>
        <v>17</v>
      </c>
      <c r="P515" s="22">
        <f t="shared" si="181"/>
        <v>13</v>
      </c>
      <c r="Q515" s="22">
        <f t="shared" si="181"/>
        <v>10</v>
      </c>
      <c r="R515" s="22">
        <f t="shared" si="181"/>
        <v>11</v>
      </c>
      <c r="S515" s="22">
        <f t="shared" si="181"/>
        <v>12</v>
      </c>
      <c r="T515" s="22">
        <f t="shared" si="181"/>
        <v>13</v>
      </c>
      <c r="U515" s="22">
        <f t="shared" si="181"/>
        <v>12</v>
      </c>
      <c r="V515" s="22">
        <f t="shared" si="181"/>
        <v>13</v>
      </c>
      <c r="W515" s="22">
        <f t="shared" si="181"/>
        <v>13</v>
      </c>
      <c r="X515" s="22">
        <f t="shared" si="181"/>
        <v>13</v>
      </c>
      <c r="Y515" s="22">
        <f t="shared" si="181"/>
        <v>13</v>
      </c>
      <c r="Z515" s="22">
        <f t="shared" si="181"/>
        <v>10</v>
      </c>
      <c r="AA515" s="79">
        <f t="shared" si="179"/>
        <v>300</v>
      </c>
      <c r="AB515" s="80">
        <f t="shared" si="180"/>
        <v>0.6849315068</v>
      </c>
      <c r="AC515" s="81" t="s">
        <v>41</v>
      </c>
    </row>
    <row r="516" ht="15.75" customHeight="1">
      <c r="A516" s="17" t="s">
        <v>42</v>
      </c>
      <c r="B516" s="22">
        <f t="shared" ref="B516:Z516" si="182">B9+B32+B55+B78+B101+B124+B147+B170+B193+B216+B239+B262+B285+B308+B331+B354+B377+B400+B423+B446+B469+B492</f>
        <v>17</v>
      </c>
      <c r="C516" s="22">
        <f t="shared" si="182"/>
        <v>17</v>
      </c>
      <c r="D516" s="22">
        <f t="shared" si="182"/>
        <v>15</v>
      </c>
      <c r="E516" s="22">
        <f t="shared" si="182"/>
        <v>14</v>
      </c>
      <c r="F516" s="22">
        <f t="shared" si="182"/>
        <v>14</v>
      </c>
      <c r="G516" s="22">
        <f t="shared" si="182"/>
        <v>13</v>
      </c>
      <c r="H516" s="22">
        <f t="shared" si="182"/>
        <v>12</v>
      </c>
      <c r="I516" s="22">
        <f t="shared" si="182"/>
        <v>12</v>
      </c>
      <c r="J516" s="22">
        <f t="shared" si="182"/>
        <v>7</v>
      </c>
      <c r="K516" s="22">
        <f t="shared" si="182"/>
        <v>11</v>
      </c>
      <c r="L516" s="22">
        <f t="shared" si="182"/>
        <v>11</v>
      </c>
      <c r="M516" s="22">
        <f t="shared" si="182"/>
        <v>12</v>
      </c>
      <c r="N516" s="22">
        <f t="shared" si="182"/>
        <v>12</v>
      </c>
      <c r="O516" s="22">
        <f t="shared" si="182"/>
        <v>16</v>
      </c>
      <c r="P516" s="22">
        <f t="shared" si="182"/>
        <v>14</v>
      </c>
      <c r="Q516" s="22">
        <f t="shared" si="182"/>
        <v>9</v>
      </c>
      <c r="R516" s="22">
        <f t="shared" si="182"/>
        <v>9</v>
      </c>
      <c r="S516" s="22">
        <f t="shared" si="182"/>
        <v>10</v>
      </c>
      <c r="T516" s="22">
        <f t="shared" si="182"/>
        <v>14</v>
      </c>
      <c r="U516" s="22">
        <f t="shared" si="182"/>
        <v>14</v>
      </c>
      <c r="V516" s="22">
        <f t="shared" si="182"/>
        <v>14</v>
      </c>
      <c r="W516" s="22">
        <f t="shared" si="182"/>
        <v>17</v>
      </c>
      <c r="X516" s="22">
        <f t="shared" si="182"/>
        <v>14</v>
      </c>
      <c r="Y516" s="22">
        <f t="shared" si="182"/>
        <v>15</v>
      </c>
      <c r="Z516" s="22">
        <f t="shared" si="182"/>
        <v>8</v>
      </c>
      <c r="AA516" s="79">
        <f t="shared" si="179"/>
        <v>321</v>
      </c>
      <c r="AB516" s="80">
        <f t="shared" si="180"/>
        <v>0.7328767123</v>
      </c>
      <c r="AC516" s="81" t="s">
        <v>42</v>
      </c>
    </row>
    <row r="517" ht="15.75" hidden="1" customHeight="1">
      <c r="A517" s="82"/>
      <c r="B517" s="22">
        <f t="shared" ref="B517:Z517" si="183">B513+B514+B515+B516</f>
        <v>67</v>
      </c>
      <c r="C517" s="22">
        <f t="shared" si="183"/>
        <v>62</v>
      </c>
      <c r="D517" s="22">
        <f t="shared" si="183"/>
        <v>58</v>
      </c>
      <c r="E517" s="22">
        <f t="shared" si="183"/>
        <v>58</v>
      </c>
      <c r="F517" s="22">
        <f t="shared" si="183"/>
        <v>52</v>
      </c>
      <c r="G517" s="22">
        <f t="shared" si="183"/>
        <v>51</v>
      </c>
      <c r="H517" s="22">
        <f t="shared" si="183"/>
        <v>46</v>
      </c>
      <c r="I517" s="22">
        <f t="shared" si="183"/>
        <v>40</v>
      </c>
      <c r="J517" s="22">
        <f t="shared" si="183"/>
        <v>39</v>
      </c>
      <c r="K517" s="22">
        <f t="shared" si="183"/>
        <v>42</v>
      </c>
      <c r="L517" s="22">
        <f t="shared" si="183"/>
        <v>46</v>
      </c>
      <c r="M517" s="22">
        <f t="shared" si="183"/>
        <v>50</v>
      </c>
      <c r="N517" s="22">
        <f t="shared" si="183"/>
        <v>47</v>
      </c>
      <c r="O517" s="22">
        <f t="shared" si="183"/>
        <v>69</v>
      </c>
      <c r="P517" s="22">
        <f t="shared" si="183"/>
        <v>60</v>
      </c>
      <c r="Q517" s="22">
        <f t="shared" si="183"/>
        <v>45</v>
      </c>
      <c r="R517" s="22">
        <f t="shared" si="183"/>
        <v>44</v>
      </c>
      <c r="S517" s="22">
        <f t="shared" si="183"/>
        <v>44</v>
      </c>
      <c r="T517" s="22">
        <f t="shared" si="183"/>
        <v>51</v>
      </c>
      <c r="U517" s="22">
        <f t="shared" si="183"/>
        <v>50</v>
      </c>
      <c r="V517" s="22">
        <f t="shared" si="183"/>
        <v>51</v>
      </c>
      <c r="W517" s="22">
        <f t="shared" si="183"/>
        <v>57</v>
      </c>
      <c r="X517" s="22">
        <f t="shared" si="183"/>
        <v>54</v>
      </c>
      <c r="Y517" s="22">
        <f t="shared" si="183"/>
        <v>54</v>
      </c>
      <c r="Z517" s="22">
        <f t="shared" si="183"/>
        <v>36</v>
      </c>
      <c r="AA517" s="79">
        <f t="shared" si="179"/>
        <v>1273</v>
      </c>
      <c r="AB517" s="83"/>
      <c r="AC517" s="82"/>
    </row>
    <row r="518" ht="15.75" customHeight="1">
      <c r="A518" s="84" t="s">
        <v>58</v>
      </c>
      <c r="B518" s="188">
        <f t="shared" ref="B518:Z518" si="184">B517/(COUNT(B6:B9,B29:B32,B52:B55,B75:B78,B98:B101,B121:B124,B144:B147,B167:B170,B190:B193,B213:B216,B236:B239,B259:B262,B282:B285,B305:B308,B328:B331,B351:B354,B374:B377,B397:B400,B420:B423,B443:B446,B466:B469,B489:B492)*1)</f>
        <v>0.9852941176</v>
      </c>
      <c r="C518" s="188">
        <f t="shared" si="184"/>
        <v>0.9117647059</v>
      </c>
      <c r="D518" s="188">
        <f t="shared" si="184"/>
        <v>0.8529411765</v>
      </c>
      <c r="E518" s="188">
        <f t="shared" si="184"/>
        <v>0.8055555556</v>
      </c>
      <c r="F518" s="188">
        <f t="shared" si="184"/>
        <v>0.7222222222</v>
      </c>
      <c r="G518" s="188">
        <f t="shared" si="184"/>
        <v>0.7083333333</v>
      </c>
      <c r="H518" s="188">
        <f t="shared" si="184"/>
        <v>0.6388888889</v>
      </c>
      <c r="I518" s="188">
        <f t="shared" si="184"/>
        <v>0.5555555556</v>
      </c>
      <c r="J518" s="188">
        <f t="shared" si="184"/>
        <v>0.5416666667</v>
      </c>
      <c r="K518" s="188">
        <f t="shared" si="184"/>
        <v>0.5833333333</v>
      </c>
      <c r="L518" s="188">
        <f t="shared" si="184"/>
        <v>0.6388888889</v>
      </c>
      <c r="M518" s="188">
        <f t="shared" si="184"/>
        <v>0.6944444444</v>
      </c>
      <c r="N518" s="188">
        <f t="shared" si="184"/>
        <v>0.6527777778</v>
      </c>
      <c r="O518" s="188">
        <f t="shared" si="184"/>
        <v>0.9583333333</v>
      </c>
      <c r="P518" s="188">
        <f t="shared" si="184"/>
        <v>0.8333333333</v>
      </c>
      <c r="Q518" s="188">
        <f t="shared" si="184"/>
        <v>0.625</v>
      </c>
      <c r="R518" s="188">
        <f t="shared" si="184"/>
        <v>0.6111111111</v>
      </c>
      <c r="S518" s="188">
        <f t="shared" si="184"/>
        <v>0.6111111111</v>
      </c>
      <c r="T518" s="188">
        <f t="shared" si="184"/>
        <v>0.7083333333</v>
      </c>
      <c r="U518" s="188">
        <f t="shared" si="184"/>
        <v>0.6944444444</v>
      </c>
      <c r="V518" s="188">
        <f t="shared" si="184"/>
        <v>0.7083333333</v>
      </c>
      <c r="W518" s="188">
        <f t="shared" si="184"/>
        <v>0.7916666667</v>
      </c>
      <c r="X518" s="188">
        <f t="shared" si="184"/>
        <v>0.75</v>
      </c>
      <c r="Y518" s="188">
        <f t="shared" si="184"/>
        <v>0.7941176471</v>
      </c>
      <c r="Z518" s="188">
        <f t="shared" si="184"/>
        <v>0.9</v>
      </c>
      <c r="AA518" s="86">
        <f t="shared" si="179"/>
        <v>18.27745098</v>
      </c>
      <c r="AB518" s="80">
        <f>SUM(AB513:AB516)/4</f>
        <v>0.7265981735</v>
      </c>
      <c r="AC518" s="87" t="s">
        <v>58</v>
      </c>
    </row>
    <row r="519">
      <c r="A519" s="189" t="s">
        <v>75</v>
      </c>
      <c r="B519" s="22">
        <f t="shared" ref="B519:Z519" si="185">B12+B35+B58+B81+B104+B127+B150+B173+B196+B219+B242+B265+B288+B311+B334+B357+B380+B403+B426+B449+B472+B495</f>
        <v>0</v>
      </c>
      <c r="C519" s="22">
        <f t="shared" si="185"/>
        <v>10</v>
      </c>
      <c r="D519" s="22">
        <f t="shared" si="185"/>
        <v>10</v>
      </c>
      <c r="E519" s="22">
        <f t="shared" si="185"/>
        <v>90</v>
      </c>
      <c r="F519" s="22">
        <f t="shared" si="185"/>
        <v>120</v>
      </c>
      <c r="G519" s="22">
        <f t="shared" si="185"/>
        <v>130</v>
      </c>
      <c r="H519" s="22">
        <f t="shared" si="185"/>
        <v>130</v>
      </c>
      <c r="I519" s="22">
        <f t="shared" si="185"/>
        <v>170</v>
      </c>
      <c r="J519" s="22">
        <f t="shared" si="185"/>
        <v>160</v>
      </c>
      <c r="K519" s="22">
        <f t="shared" si="185"/>
        <v>150</v>
      </c>
      <c r="L519" s="22">
        <f t="shared" si="185"/>
        <v>95</v>
      </c>
      <c r="M519" s="22">
        <f t="shared" si="185"/>
        <v>70</v>
      </c>
      <c r="N519" s="22">
        <f t="shared" si="185"/>
        <v>35</v>
      </c>
      <c r="O519" s="22">
        <f t="shared" si="185"/>
        <v>0</v>
      </c>
      <c r="P519" s="22">
        <f t="shared" si="185"/>
        <v>0</v>
      </c>
      <c r="Q519" s="22">
        <f t="shared" si="185"/>
        <v>40</v>
      </c>
      <c r="R519" s="22">
        <f t="shared" si="185"/>
        <v>80</v>
      </c>
      <c r="S519" s="22">
        <f t="shared" si="185"/>
        <v>80</v>
      </c>
      <c r="T519" s="22">
        <f t="shared" si="185"/>
        <v>80</v>
      </c>
      <c r="U519" s="22">
        <f t="shared" si="185"/>
        <v>50</v>
      </c>
      <c r="V519" s="22">
        <f t="shared" si="185"/>
        <v>40</v>
      </c>
      <c r="W519" s="22">
        <f t="shared" si="185"/>
        <v>10</v>
      </c>
      <c r="X519" s="22">
        <f t="shared" si="185"/>
        <v>10</v>
      </c>
      <c r="Y519" s="22">
        <f t="shared" si="185"/>
        <v>10</v>
      </c>
      <c r="Z519" s="22">
        <f t="shared" si="185"/>
        <v>5</v>
      </c>
      <c r="AA519" s="89">
        <f t="shared" si="179"/>
        <v>1575</v>
      </c>
      <c r="AB519" s="190" t="s">
        <v>76</v>
      </c>
      <c r="AC519" s="91"/>
    </row>
    <row r="520" ht="15.75" customHeight="1">
      <c r="A520" s="189" t="s">
        <v>45</v>
      </c>
      <c r="B520" s="22">
        <f t="shared" ref="B520:Z520" si="186">B13+B36+B59+B82+B105+B128+B151+B174+B197+B220+B243+B266+B289+B312+B335+B358+B381+B404+B427+B450+B473+B496</f>
        <v>0</v>
      </c>
      <c r="C520" s="22">
        <f t="shared" si="186"/>
        <v>0</v>
      </c>
      <c r="D520" s="22">
        <f t="shared" si="186"/>
        <v>0</v>
      </c>
      <c r="E520" s="22">
        <f t="shared" si="186"/>
        <v>0</v>
      </c>
      <c r="F520" s="22">
        <f t="shared" si="186"/>
        <v>2</v>
      </c>
      <c r="G520" s="22">
        <f t="shared" si="186"/>
        <v>7</v>
      </c>
      <c r="H520" s="22">
        <f t="shared" si="186"/>
        <v>6</v>
      </c>
      <c r="I520" s="22">
        <f t="shared" si="186"/>
        <v>4</v>
      </c>
      <c r="J520" s="22">
        <f t="shared" si="186"/>
        <v>4</v>
      </c>
      <c r="K520" s="22">
        <f t="shared" si="186"/>
        <v>3</v>
      </c>
      <c r="L520" s="22">
        <f t="shared" si="186"/>
        <v>4</v>
      </c>
      <c r="M520" s="22">
        <f t="shared" si="186"/>
        <v>4</v>
      </c>
      <c r="N520" s="22">
        <f t="shared" si="186"/>
        <v>20</v>
      </c>
      <c r="O520" s="22">
        <f t="shared" si="186"/>
        <v>0</v>
      </c>
      <c r="P520" s="22">
        <f t="shared" si="186"/>
        <v>0</v>
      </c>
      <c r="Q520" s="22">
        <f t="shared" si="186"/>
        <v>0</v>
      </c>
      <c r="R520" s="22">
        <f t="shared" si="186"/>
        <v>4</v>
      </c>
      <c r="S520" s="22">
        <f t="shared" si="186"/>
        <v>5</v>
      </c>
      <c r="T520" s="22">
        <f t="shared" si="186"/>
        <v>8</v>
      </c>
      <c r="U520" s="22">
        <f t="shared" si="186"/>
        <v>16</v>
      </c>
      <c r="V520" s="22">
        <f t="shared" si="186"/>
        <v>6</v>
      </c>
      <c r="W520" s="22">
        <f t="shared" si="186"/>
        <v>5</v>
      </c>
      <c r="X520" s="22">
        <f t="shared" si="186"/>
        <v>9</v>
      </c>
      <c r="Y520" s="22">
        <f t="shared" si="186"/>
        <v>0</v>
      </c>
      <c r="Z520" s="22">
        <f t="shared" si="186"/>
        <v>0</v>
      </c>
      <c r="AA520" s="89">
        <f t="shared" si="179"/>
        <v>107</v>
      </c>
      <c r="AB520" s="90" t="s">
        <v>59</v>
      </c>
      <c r="AC520" s="92"/>
    </row>
    <row r="521">
      <c r="A521" s="115" t="s">
        <v>46</v>
      </c>
      <c r="B521" s="22">
        <f t="shared" ref="B521:Z521" si="187">B14+B37+B60+B83+B106+B129+B152+B175+B198+B221+B244+B267+B290+B313+B336+B359+B382+B405+B428+B451+B474+B497</f>
        <v>0</v>
      </c>
      <c r="C521" s="22">
        <f t="shared" si="187"/>
        <v>0</v>
      </c>
      <c r="D521" s="22">
        <f t="shared" si="187"/>
        <v>0</v>
      </c>
      <c r="E521" s="22">
        <f t="shared" si="187"/>
        <v>0</v>
      </c>
      <c r="F521" s="22">
        <f t="shared" si="187"/>
        <v>0</v>
      </c>
      <c r="G521" s="22">
        <f t="shared" si="187"/>
        <v>0</v>
      </c>
      <c r="H521" s="22">
        <f t="shared" si="187"/>
        <v>0</v>
      </c>
      <c r="I521" s="22">
        <f t="shared" si="187"/>
        <v>0</v>
      </c>
      <c r="J521" s="22">
        <f t="shared" si="187"/>
        <v>0</v>
      </c>
      <c r="K521" s="22">
        <f t="shared" si="187"/>
        <v>0</v>
      </c>
      <c r="L521" s="22">
        <f t="shared" si="187"/>
        <v>0</v>
      </c>
      <c r="M521" s="22">
        <f t="shared" si="187"/>
        <v>0</v>
      </c>
      <c r="N521" s="22">
        <f t="shared" si="187"/>
        <v>0</v>
      </c>
      <c r="O521" s="22">
        <f t="shared" si="187"/>
        <v>0</v>
      </c>
      <c r="P521" s="22">
        <f t="shared" si="187"/>
        <v>0</v>
      </c>
      <c r="Q521" s="22">
        <f t="shared" si="187"/>
        <v>0</v>
      </c>
      <c r="R521" s="22">
        <f t="shared" si="187"/>
        <v>0</v>
      </c>
      <c r="S521" s="22">
        <f t="shared" si="187"/>
        <v>0</v>
      </c>
      <c r="T521" s="22">
        <f t="shared" si="187"/>
        <v>0</v>
      </c>
      <c r="U521" s="22">
        <f t="shared" si="187"/>
        <v>0</v>
      </c>
      <c r="V521" s="22">
        <f t="shared" si="187"/>
        <v>0</v>
      </c>
      <c r="W521" s="22">
        <f t="shared" si="187"/>
        <v>0</v>
      </c>
      <c r="X521" s="22">
        <f t="shared" si="187"/>
        <v>0</v>
      </c>
      <c r="Y521" s="22">
        <f t="shared" si="187"/>
        <v>0</v>
      </c>
      <c r="Z521" s="22">
        <f t="shared" si="187"/>
        <v>0</v>
      </c>
      <c r="AA521" s="89">
        <f t="shared" si="179"/>
        <v>0</v>
      </c>
      <c r="AB521" s="90" t="s">
        <v>59</v>
      </c>
      <c r="AC521" s="92"/>
    </row>
    <row r="522">
      <c r="A522" s="94" t="s">
        <v>47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95"/>
      <c r="AB522" s="96" t="s">
        <v>47</v>
      </c>
      <c r="AC522" s="95"/>
    </row>
    <row r="523" ht="15.75" customHeight="1">
      <c r="A523" s="97" t="s">
        <v>48</v>
      </c>
      <c r="B523" s="98">
        <f t="shared" ref="B523:Z523" si="188">B16+B39+B62+B85+B108+B131+B154+B177+B200+B223+B246+B269+B292+B315+B338+B361+B384+B407+B430+B453+B476+B499</f>
        <v>0</v>
      </c>
      <c r="C523" s="98">
        <f t="shared" si="188"/>
        <v>0</v>
      </c>
      <c r="D523" s="98">
        <f t="shared" si="188"/>
        <v>0</v>
      </c>
      <c r="E523" s="98">
        <f t="shared" si="188"/>
        <v>6</v>
      </c>
      <c r="F523" s="98">
        <f t="shared" si="188"/>
        <v>2</v>
      </c>
      <c r="G523" s="98">
        <f t="shared" si="188"/>
        <v>5</v>
      </c>
      <c r="H523" s="98">
        <f t="shared" si="188"/>
        <v>2</v>
      </c>
      <c r="I523" s="98">
        <f t="shared" si="188"/>
        <v>3</v>
      </c>
      <c r="J523" s="98">
        <f t="shared" si="188"/>
        <v>1</v>
      </c>
      <c r="K523" s="98">
        <f t="shared" si="188"/>
        <v>1</v>
      </c>
      <c r="L523" s="98">
        <f t="shared" si="188"/>
        <v>2</v>
      </c>
      <c r="M523" s="98">
        <f t="shared" si="188"/>
        <v>1</v>
      </c>
      <c r="N523" s="98">
        <f t="shared" si="188"/>
        <v>0</v>
      </c>
      <c r="O523" s="98">
        <f t="shared" si="188"/>
        <v>0</v>
      </c>
      <c r="P523" s="98">
        <f t="shared" si="188"/>
        <v>0</v>
      </c>
      <c r="Q523" s="98">
        <f t="shared" si="188"/>
        <v>6</v>
      </c>
      <c r="R523" s="98">
        <f t="shared" si="188"/>
        <v>2</v>
      </c>
      <c r="S523" s="98">
        <f t="shared" si="188"/>
        <v>1</v>
      </c>
      <c r="T523" s="98">
        <f t="shared" si="188"/>
        <v>0</v>
      </c>
      <c r="U523" s="98">
        <f t="shared" si="188"/>
        <v>0</v>
      </c>
      <c r="V523" s="98">
        <f t="shared" si="188"/>
        <v>0</v>
      </c>
      <c r="W523" s="98">
        <f t="shared" si="188"/>
        <v>0</v>
      </c>
      <c r="X523" s="98">
        <f t="shared" si="188"/>
        <v>1</v>
      </c>
      <c r="Y523" s="98">
        <f t="shared" si="188"/>
        <v>0</v>
      </c>
      <c r="Z523" s="98">
        <f t="shared" si="188"/>
        <v>0</v>
      </c>
      <c r="AA523" s="99">
        <f t="shared" ref="AA523:AA524" si="190">SUM(B523:Z523)</f>
        <v>33</v>
      </c>
      <c r="AB523" s="100" t="s">
        <v>60</v>
      </c>
      <c r="AC523" s="95"/>
    </row>
    <row r="524" ht="15.75" customHeight="1">
      <c r="A524" s="97" t="s">
        <v>49</v>
      </c>
      <c r="B524" s="98">
        <f t="shared" ref="B524:Z524" si="189">B17+B40+B63+B86+B109+B132+B155+B178+B201+B224+B247+B270+B293+B316+B339+B362+B385+B408+B431+B454+B477+B500</f>
        <v>0</v>
      </c>
      <c r="C524" s="98">
        <f t="shared" si="189"/>
        <v>0</v>
      </c>
      <c r="D524" s="98">
        <f t="shared" si="189"/>
        <v>0</v>
      </c>
      <c r="E524" s="98">
        <f t="shared" si="189"/>
        <v>120</v>
      </c>
      <c r="F524" s="98">
        <f t="shared" si="189"/>
        <v>140</v>
      </c>
      <c r="G524" s="98">
        <f t="shared" si="189"/>
        <v>180</v>
      </c>
      <c r="H524" s="98">
        <f t="shared" si="189"/>
        <v>200</v>
      </c>
      <c r="I524" s="98">
        <f t="shared" si="189"/>
        <v>190</v>
      </c>
      <c r="J524" s="98">
        <f t="shared" si="189"/>
        <v>200</v>
      </c>
      <c r="K524" s="98">
        <f t="shared" si="189"/>
        <v>180</v>
      </c>
      <c r="L524" s="98">
        <f t="shared" si="189"/>
        <v>140</v>
      </c>
      <c r="M524" s="98">
        <f t="shared" si="189"/>
        <v>125</v>
      </c>
      <c r="N524" s="98">
        <f t="shared" si="189"/>
        <v>90</v>
      </c>
      <c r="O524" s="98">
        <f t="shared" si="189"/>
        <v>0</v>
      </c>
      <c r="P524" s="98">
        <f t="shared" si="189"/>
        <v>0</v>
      </c>
      <c r="Q524" s="98">
        <f t="shared" si="189"/>
        <v>100</v>
      </c>
      <c r="R524" s="98">
        <f t="shared" si="189"/>
        <v>140</v>
      </c>
      <c r="S524" s="98">
        <f t="shared" si="189"/>
        <v>140</v>
      </c>
      <c r="T524" s="98">
        <f t="shared" si="189"/>
        <v>120</v>
      </c>
      <c r="U524" s="98">
        <f t="shared" si="189"/>
        <v>80</v>
      </c>
      <c r="V524" s="98">
        <f t="shared" si="189"/>
        <v>80</v>
      </c>
      <c r="W524" s="98">
        <f t="shared" si="189"/>
        <v>40</v>
      </c>
      <c r="X524" s="98">
        <f t="shared" si="189"/>
        <v>40</v>
      </c>
      <c r="Y524" s="98">
        <f t="shared" si="189"/>
        <v>40</v>
      </c>
      <c r="Z524" s="98">
        <f t="shared" si="189"/>
        <v>5</v>
      </c>
      <c r="AA524" s="99">
        <f t="shared" si="190"/>
        <v>2350</v>
      </c>
      <c r="AB524" s="100" t="s">
        <v>61</v>
      </c>
      <c r="AC524" s="95"/>
    </row>
    <row r="525" ht="15.75" customHeight="1">
      <c r="A525" s="101" t="s">
        <v>62</v>
      </c>
      <c r="B525" s="102">
        <f t="shared" ref="B525:Z525" si="191">SUM(B18,B41,B64,B87,B110,B133,B156,B179,B202,B225,B248,B271,B294,B317,B340,B363,B386,B409,B432,B455,B478,B501)</f>
        <v>0</v>
      </c>
      <c r="C525" s="102">
        <f t="shared" si="191"/>
        <v>0</v>
      </c>
      <c r="D525" s="102">
        <f t="shared" si="191"/>
        <v>0</v>
      </c>
      <c r="E525" s="102">
        <f t="shared" si="191"/>
        <v>6</v>
      </c>
      <c r="F525" s="102">
        <f t="shared" si="191"/>
        <v>2</v>
      </c>
      <c r="G525" s="102">
        <f t="shared" si="191"/>
        <v>5</v>
      </c>
      <c r="H525" s="102">
        <f t="shared" si="191"/>
        <v>2</v>
      </c>
      <c r="I525" s="102">
        <f t="shared" si="191"/>
        <v>3</v>
      </c>
      <c r="J525" s="102">
        <f t="shared" si="191"/>
        <v>1</v>
      </c>
      <c r="K525" s="102">
        <f t="shared" si="191"/>
        <v>1</v>
      </c>
      <c r="L525" s="102">
        <f t="shared" si="191"/>
        <v>2</v>
      </c>
      <c r="M525" s="102">
        <f t="shared" si="191"/>
        <v>1</v>
      </c>
      <c r="N525" s="102">
        <f t="shared" si="191"/>
        <v>0</v>
      </c>
      <c r="O525" s="102">
        <f t="shared" si="191"/>
        <v>0</v>
      </c>
      <c r="P525" s="102">
        <f t="shared" si="191"/>
        <v>0</v>
      </c>
      <c r="Q525" s="102">
        <f t="shared" si="191"/>
        <v>5</v>
      </c>
      <c r="R525" s="102">
        <f t="shared" si="191"/>
        <v>2</v>
      </c>
      <c r="S525" s="102">
        <f t="shared" si="191"/>
        <v>1</v>
      </c>
      <c r="T525" s="102">
        <f t="shared" si="191"/>
        <v>0</v>
      </c>
      <c r="U525" s="102">
        <f t="shared" si="191"/>
        <v>0</v>
      </c>
      <c r="V525" s="102">
        <f t="shared" si="191"/>
        <v>0</v>
      </c>
      <c r="W525" s="102">
        <f t="shared" si="191"/>
        <v>0</v>
      </c>
      <c r="X525" s="102">
        <f t="shared" si="191"/>
        <v>1</v>
      </c>
      <c r="Y525" s="102">
        <f t="shared" si="191"/>
        <v>0</v>
      </c>
      <c r="Z525" s="102">
        <f t="shared" si="191"/>
        <v>0</v>
      </c>
      <c r="AA525" s="103"/>
      <c r="AB525" s="104"/>
      <c r="AC525" s="105"/>
    </row>
    <row r="526" ht="15.75" customHeight="1">
      <c r="A526" s="106" t="s">
        <v>50</v>
      </c>
      <c r="B526" s="107" t="str">
        <f t="shared" ref="B526:Z526" si="192">B525/COUNT(B18,B41,B64,B87,B110,B133,B156,B179,B202,B225,B248,B271,B294,B317,B340,B363,B386,B409,B432,B455,B478,B501)</f>
        <v>#DIV/0!</v>
      </c>
      <c r="C526" s="107" t="str">
        <f t="shared" si="192"/>
        <v>#DIV/0!</v>
      </c>
      <c r="D526" s="107" t="str">
        <f t="shared" si="192"/>
        <v>#DIV/0!</v>
      </c>
      <c r="E526" s="107">
        <f t="shared" si="192"/>
        <v>1</v>
      </c>
      <c r="F526" s="107">
        <f t="shared" si="192"/>
        <v>1</v>
      </c>
      <c r="G526" s="107">
        <f t="shared" si="192"/>
        <v>1</v>
      </c>
      <c r="H526" s="107">
        <f t="shared" si="192"/>
        <v>1</v>
      </c>
      <c r="I526" s="107">
        <f t="shared" si="192"/>
        <v>1</v>
      </c>
      <c r="J526" s="107">
        <f t="shared" si="192"/>
        <v>1</v>
      </c>
      <c r="K526" s="107">
        <f t="shared" si="192"/>
        <v>1</v>
      </c>
      <c r="L526" s="107">
        <f t="shared" si="192"/>
        <v>1</v>
      </c>
      <c r="M526" s="107">
        <f t="shared" si="192"/>
        <v>1</v>
      </c>
      <c r="N526" s="107" t="str">
        <f t="shared" si="192"/>
        <v>#DIV/0!</v>
      </c>
      <c r="O526" s="107" t="str">
        <f t="shared" si="192"/>
        <v>#DIV/0!</v>
      </c>
      <c r="P526" s="107" t="str">
        <f t="shared" si="192"/>
        <v>#DIV/0!</v>
      </c>
      <c r="Q526" s="107">
        <f t="shared" si="192"/>
        <v>1</v>
      </c>
      <c r="R526" s="107">
        <f t="shared" si="192"/>
        <v>1</v>
      </c>
      <c r="S526" s="107">
        <f t="shared" si="192"/>
        <v>1</v>
      </c>
      <c r="T526" s="107" t="str">
        <f t="shared" si="192"/>
        <v>#DIV/0!</v>
      </c>
      <c r="U526" s="107" t="str">
        <f t="shared" si="192"/>
        <v>#DIV/0!</v>
      </c>
      <c r="V526" s="107" t="str">
        <f t="shared" si="192"/>
        <v>#DIV/0!</v>
      </c>
      <c r="W526" s="107" t="str">
        <f t="shared" si="192"/>
        <v>#DIV/0!</v>
      </c>
      <c r="X526" s="107">
        <f t="shared" si="192"/>
        <v>1</v>
      </c>
      <c r="Y526" s="107" t="str">
        <f t="shared" si="192"/>
        <v>#DIV/0!</v>
      </c>
      <c r="Z526" s="107" t="str">
        <f t="shared" si="192"/>
        <v>#DIV/0!</v>
      </c>
      <c r="AA526" s="108">
        <f>round(AVERAGEif(B526:Z526, "&gt;0"),0)</f>
        <v>1</v>
      </c>
      <c r="AB526" s="109" t="s">
        <v>63</v>
      </c>
      <c r="AC526" s="110"/>
    </row>
    <row r="527" ht="15.75" customHeight="1">
      <c r="A527" s="111" t="s">
        <v>51</v>
      </c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3"/>
      <c r="AB527" s="114" t="s">
        <v>51</v>
      </c>
      <c r="AC527" s="113"/>
    </row>
    <row r="528" ht="15.75" customHeight="1">
      <c r="A528" s="115" t="s">
        <v>48</v>
      </c>
      <c r="B528" s="20">
        <f t="shared" ref="B528:Z528" si="193">B20+B43+B66+B89+B112+B135+B158+B181+B204+B227+B250+B273+B296+B319+B342+B365+B388+B411+B434+B457+B480+B503</f>
        <v>0</v>
      </c>
      <c r="C528" s="20">
        <f t="shared" si="193"/>
        <v>0</v>
      </c>
      <c r="D528" s="20">
        <f t="shared" si="193"/>
        <v>0</v>
      </c>
      <c r="E528" s="20">
        <f t="shared" si="193"/>
        <v>0</v>
      </c>
      <c r="F528" s="20">
        <f t="shared" si="193"/>
        <v>0</v>
      </c>
      <c r="G528" s="20">
        <f t="shared" si="193"/>
        <v>0</v>
      </c>
      <c r="H528" s="20">
        <f t="shared" si="193"/>
        <v>0</v>
      </c>
      <c r="I528" s="20">
        <f t="shared" si="193"/>
        <v>0</v>
      </c>
      <c r="J528" s="20">
        <f t="shared" si="193"/>
        <v>0</v>
      </c>
      <c r="K528" s="20">
        <f t="shared" si="193"/>
        <v>0</v>
      </c>
      <c r="L528" s="20">
        <f t="shared" si="193"/>
        <v>0</v>
      </c>
      <c r="M528" s="20">
        <f t="shared" si="193"/>
        <v>0</v>
      </c>
      <c r="N528" s="20">
        <f t="shared" si="193"/>
        <v>0</v>
      </c>
      <c r="O528" s="20">
        <f t="shared" si="193"/>
        <v>0</v>
      </c>
      <c r="P528" s="20">
        <f t="shared" si="193"/>
        <v>0</v>
      </c>
      <c r="Q528" s="20">
        <f t="shared" si="193"/>
        <v>0</v>
      </c>
      <c r="R528" s="20">
        <f t="shared" si="193"/>
        <v>0</v>
      </c>
      <c r="S528" s="20">
        <f t="shared" si="193"/>
        <v>0</v>
      </c>
      <c r="T528" s="20">
        <f t="shared" si="193"/>
        <v>0</v>
      </c>
      <c r="U528" s="20">
        <f t="shared" si="193"/>
        <v>0</v>
      </c>
      <c r="V528" s="20">
        <f t="shared" si="193"/>
        <v>0</v>
      </c>
      <c r="W528" s="20">
        <f t="shared" si="193"/>
        <v>0</v>
      </c>
      <c r="X528" s="20">
        <f t="shared" si="193"/>
        <v>0</v>
      </c>
      <c r="Y528" s="20">
        <f t="shared" si="193"/>
        <v>0</v>
      </c>
      <c r="Z528" s="20">
        <f t="shared" si="193"/>
        <v>0</v>
      </c>
      <c r="AA528" s="116">
        <f t="shared" ref="AA528:AA529" si="195">SUM(B528:Z528)</f>
        <v>0</v>
      </c>
      <c r="AB528" s="114" t="s">
        <v>64</v>
      </c>
      <c r="AC528" s="113"/>
    </row>
    <row r="529" ht="15.75" customHeight="1">
      <c r="A529" s="115" t="s">
        <v>49</v>
      </c>
      <c r="B529" s="20">
        <f t="shared" ref="B529:Z529" si="194">B21+B44+B67+B90+B113+B136+B159+B182+B205+B228+B251+B274+B297+B320+B343+B366+B389+B412+B435+B458+B481+B504</f>
        <v>0</v>
      </c>
      <c r="C529" s="20">
        <f t="shared" si="194"/>
        <v>0</v>
      </c>
      <c r="D529" s="20">
        <f t="shared" si="194"/>
        <v>0</v>
      </c>
      <c r="E529" s="20">
        <f t="shared" si="194"/>
        <v>0</v>
      </c>
      <c r="F529" s="20">
        <f t="shared" si="194"/>
        <v>0</v>
      </c>
      <c r="G529" s="20">
        <f t="shared" si="194"/>
        <v>0</v>
      </c>
      <c r="H529" s="20">
        <f t="shared" si="194"/>
        <v>0</v>
      </c>
      <c r="I529" s="20">
        <f t="shared" si="194"/>
        <v>0</v>
      </c>
      <c r="J529" s="20">
        <f t="shared" si="194"/>
        <v>0</v>
      </c>
      <c r="K529" s="20">
        <f t="shared" si="194"/>
        <v>0</v>
      </c>
      <c r="L529" s="20">
        <f t="shared" si="194"/>
        <v>0</v>
      </c>
      <c r="M529" s="20">
        <f t="shared" si="194"/>
        <v>0</v>
      </c>
      <c r="N529" s="20">
        <f t="shared" si="194"/>
        <v>0</v>
      </c>
      <c r="O529" s="20">
        <f t="shared" si="194"/>
        <v>0</v>
      </c>
      <c r="P529" s="20">
        <f t="shared" si="194"/>
        <v>0</v>
      </c>
      <c r="Q529" s="20">
        <f t="shared" si="194"/>
        <v>0</v>
      </c>
      <c r="R529" s="20">
        <f t="shared" si="194"/>
        <v>0</v>
      </c>
      <c r="S529" s="20">
        <f t="shared" si="194"/>
        <v>0</v>
      </c>
      <c r="T529" s="20">
        <f t="shared" si="194"/>
        <v>0</v>
      </c>
      <c r="U529" s="20">
        <f t="shared" si="194"/>
        <v>0</v>
      </c>
      <c r="V529" s="20">
        <f t="shared" si="194"/>
        <v>0</v>
      </c>
      <c r="W529" s="20">
        <f t="shared" si="194"/>
        <v>0</v>
      </c>
      <c r="X529" s="20">
        <f t="shared" si="194"/>
        <v>0</v>
      </c>
      <c r="Y529" s="20">
        <f t="shared" si="194"/>
        <v>0</v>
      </c>
      <c r="Z529" s="20">
        <f t="shared" si="194"/>
        <v>0</v>
      </c>
      <c r="AA529" s="116">
        <f t="shared" si="195"/>
        <v>0</v>
      </c>
      <c r="AB529" s="114" t="s">
        <v>65</v>
      </c>
      <c r="AC529" s="113"/>
    </row>
    <row r="530" ht="15.75" customHeight="1">
      <c r="A530" s="101" t="s">
        <v>62</v>
      </c>
      <c r="B530" s="102">
        <f t="shared" ref="B530:Z530" si="196">sum(B22,B45,B68,B91,B114,B137,B160,B183,B206,B229,B252,B275,B298,B321,B344,B367,B390,B413,B436,B459,B482,B505)</f>
        <v>0</v>
      </c>
      <c r="C530" s="102">
        <f t="shared" si="196"/>
        <v>0</v>
      </c>
      <c r="D530" s="102">
        <f t="shared" si="196"/>
        <v>0</v>
      </c>
      <c r="E530" s="102">
        <f t="shared" si="196"/>
        <v>0</v>
      </c>
      <c r="F530" s="102">
        <f t="shared" si="196"/>
        <v>0</v>
      </c>
      <c r="G530" s="102">
        <f t="shared" si="196"/>
        <v>0</v>
      </c>
      <c r="H530" s="102">
        <f t="shared" si="196"/>
        <v>0</v>
      </c>
      <c r="I530" s="102">
        <f t="shared" si="196"/>
        <v>0</v>
      </c>
      <c r="J530" s="102">
        <f t="shared" si="196"/>
        <v>0</v>
      </c>
      <c r="K530" s="102">
        <f t="shared" si="196"/>
        <v>0</v>
      </c>
      <c r="L530" s="102">
        <f t="shared" si="196"/>
        <v>0</v>
      </c>
      <c r="M530" s="102">
        <f t="shared" si="196"/>
        <v>0</v>
      </c>
      <c r="N530" s="102">
        <f t="shared" si="196"/>
        <v>0</v>
      </c>
      <c r="O530" s="102">
        <f t="shared" si="196"/>
        <v>0</v>
      </c>
      <c r="P530" s="102">
        <f t="shared" si="196"/>
        <v>0</v>
      </c>
      <c r="Q530" s="102">
        <f t="shared" si="196"/>
        <v>0</v>
      </c>
      <c r="R530" s="102">
        <f t="shared" si="196"/>
        <v>0</v>
      </c>
      <c r="S530" s="102">
        <f t="shared" si="196"/>
        <v>0</v>
      </c>
      <c r="T530" s="102">
        <f t="shared" si="196"/>
        <v>0</v>
      </c>
      <c r="U530" s="102">
        <f t="shared" si="196"/>
        <v>0</v>
      </c>
      <c r="V530" s="102">
        <f t="shared" si="196"/>
        <v>0</v>
      </c>
      <c r="W530" s="102">
        <f t="shared" si="196"/>
        <v>0</v>
      </c>
      <c r="X530" s="102">
        <f t="shared" si="196"/>
        <v>0</v>
      </c>
      <c r="Y530" s="102">
        <f t="shared" si="196"/>
        <v>0</v>
      </c>
      <c r="Z530" s="102">
        <f t="shared" si="196"/>
        <v>0</v>
      </c>
      <c r="AA530" s="105"/>
      <c r="AB530" s="104"/>
      <c r="AC530" s="105"/>
    </row>
    <row r="531" ht="15.75" customHeight="1">
      <c r="A531" s="115" t="s">
        <v>50</v>
      </c>
      <c r="B531" s="20" t="str">
        <f t="shared" ref="B531:Z531" si="197">B530/count(B22,B45,B68,B91,B114,B137,B160,B183,B206,B229,B252,B275,B298,B321,B344,B367,B390,B413,B436,B459,B482,B505)</f>
        <v>#DIV/0!</v>
      </c>
      <c r="C531" s="20" t="str">
        <f t="shared" si="197"/>
        <v>#DIV/0!</v>
      </c>
      <c r="D531" s="20" t="str">
        <f t="shared" si="197"/>
        <v>#DIV/0!</v>
      </c>
      <c r="E531" s="20" t="str">
        <f t="shared" si="197"/>
        <v>#DIV/0!</v>
      </c>
      <c r="F531" s="20" t="str">
        <f t="shared" si="197"/>
        <v>#DIV/0!</v>
      </c>
      <c r="G531" s="20" t="str">
        <f t="shared" si="197"/>
        <v>#DIV/0!</v>
      </c>
      <c r="H531" s="20" t="str">
        <f t="shared" si="197"/>
        <v>#DIV/0!</v>
      </c>
      <c r="I531" s="20" t="str">
        <f t="shared" si="197"/>
        <v>#DIV/0!</v>
      </c>
      <c r="J531" s="20" t="str">
        <f t="shared" si="197"/>
        <v>#DIV/0!</v>
      </c>
      <c r="K531" s="20" t="str">
        <f t="shared" si="197"/>
        <v>#DIV/0!</v>
      </c>
      <c r="L531" s="20" t="str">
        <f t="shared" si="197"/>
        <v>#DIV/0!</v>
      </c>
      <c r="M531" s="20" t="str">
        <f t="shared" si="197"/>
        <v>#DIV/0!</v>
      </c>
      <c r="N531" s="20" t="str">
        <f t="shared" si="197"/>
        <v>#DIV/0!</v>
      </c>
      <c r="O531" s="20" t="str">
        <f t="shared" si="197"/>
        <v>#DIV/0!</v>
      </c>
      <c r="P531" s="20" t="str">
        <f t="shared" si="197"/>
        <v>#DIV/0!</v>
      </c>
      <c r="Q531" s="20" t="str">
        <f t="shared" si="197"/>
        <v>#DIV/0!</v>
      </c>
      <c r="R531" s="20" t="str">
        <f t="shared" si="197"/>
        <v>#DIV/0!</v>
      </c>
      <c r="S531" s="20" t="str">
        <f t="shared" si="197"/>
        <v>#DIV/0!</v>
      </c>
      <c r="T531" s="20" t="str">
        <f t="shared" si="197"/>
        <v>#DIV/0!</v>
      </c>
      <c r="U531" s="20" t="str">
        <f t="shared" si="197"/>
        <v>#DIV/0!</v>
      </c>
      <c r="V531" s="20" t="str">
        <f t="shared" si="197"/>
        <v>#DIV/0!</v>
      </c>
      <c r="W531" s="20" t="str">
        <f t="shared" si="197"/>
        <v>#DIV/0!</v>
      </c>
      <c r="X531" s="20" t="str">
        <f t="shared" si="197"/>
        <v>#DIV/0!</v>
      </c>
      <c r="Y531" s="20" t="str">
        <f t="shared" si="197"/>
        <v>#DIV/0!</v>
      </c>
      <c r="Z531" s="20" t="str">
        <f t="shared" si="197"/>
        <v>#DIV/0!</v>
      </c>
      <c r="AA531" s="116" t="str">
        <f>round(AVERAGEif(B531:Z531, "&gt;0"),0)</f>
        <v>#DIV/0!</v>
      </c>
      <c r="AB531" s="114" t="s">
        <v>63</v>
      </c>
      <c r="AC531" s="113"/>
    </row>
    <row r="532" ht="15.75" customHeight="1">
      <c r="A532" s="117" t="s">
        <v>53</v>
      </c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9"/>
      <c r="AB532" s="120" t="s">
        <v>53</v>
      </c>
      <c r="AC532" s="119"/>
    </row>
    <row r="533" ht="15.75" customHeight="1">
      <c r="A533" s="97" t="s">
        <v>48</v>
      </c>
      <c r="B533" s="98">
        <f t="shared" ref="B533:Z533" si="198">B24+B47+B70+B93+B116+B139+B162+B185+B208+B231+B254+B277+B300+B323+B346+B369+B392+B415+B438+B461+B484+B507</f>
        <v>0</v>
      </c>
      <c r="C533" s="98">
        <f t="shared" si="198"/>
        <v>0</v>
      </c>
      <c r="D533" s="98">
        <f t="shared" si="198"/>
        <v>0</v>
      </c>
      <c r="E533" s="98">
        <f t="shared" si="198"/>
        <v>0</v>
      </c>
      <c r="F533" s="98">
        <f t="shared" si="198"/>
        <v>0</v>
      </c>
      <c r="G533" s="98">
        <f t="shared" si="198"/>
        <v>0</v>
      </c>
      <c r="H533" s="98">
        <f t="shared" si="198"/>
        <v>0</v>
      </c>
      <c r="I533" s="98">
        <f t="shared" si="198"/>
        <v>0</v>
      </c>
      <c r="J533" s="98">
        <f t="shared" si="198"/>
        <v>0</v>
      </c>
      <c r="K533" s="98">
        <f t="shared" si="198"/>
        <v>0</v>
      </c>
      <c r="L533" s="98">
        <f t="shared" si="198"/>
        <v>0</v>
      </c>
      <c r="M533" s="98">
        <f t="shared" si="198"/>
        <v>0</v>
      </c>
      <c r="N533" s="98">
        <f t="shared" si="198"/>
        <v>0</v>
      </c>
      <c r="O533" s="98">
        <f t="shared" si="198"/>
        <v>0</v>
      </c>
      <c r="P533" s="98">
        <f t="shared" si="198"/>
        <v>0</v>
      </c>
      <c r="Q533" s="98">
        <f t="shared" si="198"/>
        <v>0</v>
      </c>
      <c r="R533" s="98">
        <f t="shared" si="198"/>
        <v>0</v>
      </c>
      <c r="S533" s="98">
        <f t="shared" si="198"/>
        <v>0</v>
      </c>
      <c r="T533" s="98">
        <f t="shared" si="198"/>
        <v>0</v>
      </c>
      <c r="U533" s="98">
        <f t="shared" si="198"/>
        <v>0</v>
      </c>
      <c r="V533" s="98">
        <f t="shared" si="198"/>
        <v>0</v>
      </c>
      <c r="W533" s="98">
        <f t="shared" si="198"/>
        <v>0</v>
      </c>
      <c r="X533" s="98">
        <f t="shared" si="198"/>
        <v>0</v>
      </c>
      <c r="Y533" s="98">
        <f t="shared" si="198"/>
        <v>0</v>
      </c>
      <c r="Z533" s="98">
        <f t="shared" si="198"/>
        <v>0</v>
      </c>
      <c r="AA533" s="121">
        <f t="shared" ref="AA533:AA534" si="200">SUM(B533:Z533)</f>
        <v>0</v>
      </c>
      <c r="AB533" s="120" t="s">
        <v>66</v>
      </c>
      <c r="AC533" s="119"/>
    </row>
    <row r="534" ht="15.75" customHeight="1">
      <c r="A534" s="97" t="s">
        <v>49</v>
      </c>
      <c r="B534" s="98">
        <f t="shared" ref="B534:Z534" si="199">B25+B48+B71+B94+B117+B140+B163+B186+B209+B232+B255+B278+B301+B324+B347+B370+B393+B416+B439+B462+B485+B508</f>
        <v>0</v>
      </c>
      <c r="C534" s="98">
        <f t="shared" si="199"/>
        <v>0</v>
      </c>
      <c r="D534" s="98">
        <f t="shared" si="199"/>
        <v>0</v>
      </c>
      <c r="E534" s="98">
        <f t="shared" si="199"/>
        <v>0</v>
      </c>
      <c r="F534" s="98">
        <f t="shared" si="199"/>
        <v>0</v>
      </c>
      <c r="G534" s="98">
        <f t="shared" si="199"/>
        <v>0</v>
      </c>
      <c r="H534" s="98">
        <f t="shared" si="199"/>
        <v>0</v>
      </c>
      <c r="I534" s="98">
        <f t="shared" si="199"/>
        <v>0</v>
      </c>
      <c r="J534" s="98">
        <f t="shared" si="199"/>
        <v>0</v>
      </c>
      <c r="K534" s="98">
        <f t="shared" si="199"/>
        <v>0</v>
      </c>
      <c r="L534" s="98">
        <f t="shared" si="199"/>
        <v>0</v>
      </c>
      <c r="M534" s="98">
        <f t="shared" si="199"/>
        <v>0</v>
      </c>
      <c r="N534" s="98">
        <f t="shared" si="199"/>
        <v>0</v>
      </c>
      <c r="O534" s="98">
        <f t="shared" si="199"/>
        <v>0</v>
      </c>
      <c r="P534" s="98">
        <f t="shared" si="199"/>
        <v>0</v>
      </c>
      <c r="Q534" s="98">
        <f t="shared" si="199"/>
        <v>0</v>
      </c>
      <c r="R534" s="98">
        <f t="shared" si="199"/>
        <v>0</v>
      </c>
      <c r="S534" s="98">
        <f t="shared" si="199"/>
        <v>0</v>
      </c>
      <c r="T534" s="98">
        <f t="shared" si="199"/>
        <v>0</v>
      </c>
      <c r="U534" s="98">
        <f t="shared" si="199"/>
        <v>0</v>
      </c>
      <c r="V534" s="98">
        <f t="shared" si="199"/>
        <v>0</v>
      </c>
      <c r="W534" s="98">
        <f t="shared" si="199"/>
        <v>0</v>
      </c>
      <c r="X534" s="98">
        <f t="shared" si="199"/>
        <v>0</v>
      </c>
      <c r="Y534" s="98">
        <f t="shared" si="199"/>
        <v>0</v>
      </c>
      <c r="Z534" s="98">
        <f t="shared" si="199"/>
        <v>0</v>
      </c>
      <c r="AA534" s="121">
        <f t="shared" si="200"/>
        <v>0</v>
      </c>
      <c r="AB534" s="120" t="s">
        <v>67</v>
      </c>
      <c r="AC534" s="119"/>
    </row>
    <row r="535" ht="15.75" customHeight="1">
      <c r="A535" s="122" t="s">
        <v>62</v>
      </c>
      <c r="B535" s="123">
        <f t="shared" ref="B535:Z535" si="201">sum(B26,B49,B72,B95,B118,B141,B164,B187,B210,B233,B256,B279,B302,B325,B348,B371,B394,B417,B440,B463,B486,B509)</f>
        <v>0</v>
      </c>
      <c r="C535" s="123">
        <f t="shared" si="201"/>
        <v>0</v>
      </c>
      <c r="D535" s="123">
        <f t="shared" si="201"/>
        <v>0</v>
      </c>
      <c r="E535" s="123">
        <f t="shared" si="201"/>
        <v>0</v>
      </c>
      <c r="F535" s="123">
        <f t="shared" si="201"/>
        <v>0</v>
      </c>
      <c r="G535" s="123">
        <f t="shared" si="201"/>
        <v>0</v>
      </c>
      <c r="H535" s="123">
        <f t="shared" si="201"/>
        <v>0</v>
      </c>
      <c r="I535" s="123">
        <f t="shared" si="201"/>
        <v>0</v>
      </c>
      <c r="J535" s="123">
        <f t="shared" si="201"/>
        <v>0</v>
      </c>
      <c r="K535" s="123">
        <f t="shared" si="201"/>
        <v>0</v>
      </c>
      <c r="L535" s="123">
        <f t="shared" si="201"/>
        <v>0</v>
      </c>
      <c r="M535" s="123">
        <f t="shared" si="201"/>
        <v>0</v>
      </c>
      <c r="N535" s="123">
        <f t="shared" si="201"/>
        <v>0</v>
      </c>
      <c r="O535" s="123">
        <f t="shared" si="201"/>
        <v>0</v>
      </c>
      <c r="P535" s="123">
        <f t="shared" si="201"/>
        <v>0</v>
      </c>
      <c r="Q535" s="123">
        <f t="shared" si="201"/>
        <v>0</v>
      </c>
      <c r="R535" s="123">
        <f t="shared" si="201"/>
        <v>0</v>
      </c>
      <c r="S535" s="123">
        <f t="shared" si="201"/>
        <v>0</v>
      </c>
      <c r="T535" s="123">
        <f t="shared" si="201"/>
        <v>0</v>
      </c>
      <c r="U535" s="123">
        <f t="shared" si="201"/>
        <v>0</v>
      </c>
      <c r="V535" s="123">
        <f t="shared" si="201"/>
        <v>0</v>
      </c>
      <c r="W535" s="123">
        <f t="shared" si="201"/>
        <v>0</v>
      </c>
      <c r="X535" s="123">
        <f t="shared" si="201"/>
        <v>0</v>
      </c>
      <c r="Y535" s="123">
        <f t="shared" si="201"/>
        <v>0</v>
      </c>
      <c r="Z535" s="123">
        <f t="shared" si="201"/>
        <v>0</v>
      </c>
      <c r="AA535" s="124"/>
      <c r="AB535" s="124"/>
      <c r="AC535" s="122"/>
    </row>
    <row r="536" ht="15.75" customHeight="1">
      <c r="A536" s="106" t="s">
        <v>50</v>
      </c>
      <c r="B536" s="107" t="str">
        <f t="shared" ref="B536:Z536" si="202">B535/count(B26,B49,B72,B95,B118,B141,B164,B187,B210,B233,B256,B279,B302,B325,B348,B371,B394,B417,B440,B463,B486,B509)</f>
        <v>#DIV/0!</v>
      </c>
      <c r="C536" s="107" t="str">
        <f t="shared" si="202"/>
        <v>#DIV/0!</v>
      </c>
      <c r="D536" s="107" t="str">
        <f t="shared" si="202"/>
        <v>#DIV/0!</v>
      </c>
      <c r="E536" s="107" t="str">
        <f t="shared" si="202"/>
        <v>#DIV/0!</v>
      </c>
      <c r="F536" s="107" t="str">
        <f t="shared" si="202"/>
        <v>#DIV/0!</v>
      </c>
      <c r="G536" s="107" t="str">
        <f t="shared" si="202"/>
        <v>#DIV/0!</v>
      </c>
      <c r="H536" s="107" t="str">
        <f t="shared" si="202"/>
        <v>#DIV/0!</v>
      </c>
      <c r="I536" s="107" t="str">
        <f t="shared" si="202"/>
        <v>#DIV/0!</v>
      </c>
      <c r="J536" s="107" t="str">
        <f t="shared" si="202"/>
        <v>#DIV/0!</v>
      </c>
      <c r="K536" s="107" t="str">
        <f t="shared" si="202"/>
        <v>#DIV/0!</v>
      </c>
      <c r="L536" s="107" t="str">
        <f t="shared" si="202"/>
        <v>#DIV/0!</v>
      </c>
      <c r="M536" s="107" t="str">
        <f t="shared" si="202"/>
        <v>#DIV/0!</v>
      </c>
      <c r="N536" s="107" t="str">
        <f t="shared" si="202"/>
        <v>#DIV/0!</v>
      </c>
      <c r="O536" s="107" t="str">
        <f t="shared" si="202"/>
        <v>#DIV/0!</v>
      </c>
      <c r="P536" s="107" t="str">
        <f t="shared" si="202"/>
        <v>#DIV/0!</v>
      </c>
      <c r="Q536" s="107" t="str">
        <f t="shared" si="202"/>
        <v>#DIV/0!</v>
      </c>
      <c r="R536" s="107" t="str">
        <f t="shared" si="202"/>
        <v>#DIV/0!</v>
      </c>
      <c r="S536" s="107" t="str">
        <f t="shared" si="202"/>
        <v>#DIV/0!</v>
      </c>
      <c r="T536" s="107" t="str">
        <f t="shared" si="202"/>
        <v>#DIV/0!</v>
      </c>
      <c r="U536" s="107" t="str">
        <f t="shared" si="202"/>
        <v>#DIV/0!</v>
      </c>
      <c r="V536" s="107" t="str">
        <f t="shared" si="202"/>
        <v>#DIV/0!</v>
      </c>
      <c r="W536" s="107" t="str">
        <f t="shared" si="202"/>
        <v>#DIV/0!</v>
      </c>
      <c r="X536" s="107" t="str">
        <f t="shared" si="202"/>
        <v>#DIV/0!</v>
      </c>
      <c r="Y536" s="107" t="str">
        <f t="shared" si="202"/>
        <v>#DIV/0!</v>
      </c>
      <c r="Z536" s="107" t="str">
        <f t="shared" si="202"/>
        <v>#DIV/0!</v>
      </c>
      <c r="AA536" s="125" t="str">
        <f>round(AVERAGEif(B536:Z536, "&gt;0"),0)</f>
        <v>#DIV/0!</v>
      </c>
      <c r="AB536" s="126" t="s">
        <v>63</v>
      </c>
      <c r="AC536" s="127"/>
    </row>
  </sheetData>
  <mergeCells count="78">
    <mergeCell ref="A222:Z222"/>
    <mergeCell ref="A226:Z226"/>
    <mergeCell ref="A230:Z230"/>
    <mergeCell ref="A245:Z245"/>
    <mergeCell ref="A249:Z249"/>
    <mergeCell ref="A253:Z253"/>
    <mergeCell ref="A268:Z268"/>
    <mergeCell ref="A272:Z272"/>
    <mergeCell ref="A276:Z276"/>
    <mergeCell ref="A291:Z291"/>
    <mergeCell ref="A295:Z295"/>
    <mergeCell ref="A299:Z299"/>
    <mergeCell ref="A314:Z314"/>
    <mergeCell ref="A318:Z318"/>
    <mergeCell ref="A322:Z322"/>
    <mergeCell ref="A337:Z337"/>
    <mergeCell ref="A341:Z341"/>
    <mergeCell ref="A345:Z345"/>
    <mergeCell ref="A360:Z360"/>
    <mergeCell ref="A364:Z364"/>
    <mergeCell ref="A368:Z368"/>
    <mergeCell ref="A383:Z383"/>
    <mergeCell ref="A387:Z387"/>
    <mergeCell ref="A391:Z391"/>
    <mergeCell ref="A406:Z406"/>
    <mergeCell ref="A410:Z410"/>
    <mergeCell ref="A414:Z414"/>
    <mergeCell ref="A429:Z429"/>
    <mergeCell ref="A483:Z483"/>
    <mergeCell ref="A498:Z498"/>
    <mergeCell ref="A502:Z502"/>
    <mergeCell ref="A506:Z506"/>
    <mergeCell ref="A433:Z433"/>
    <mergeCell ref="A437:Z437"/>
    <mergeCell ref="A452:Z452"/>
    <mergeCell ref="A456:Z456"/>
    <mergeCell ref="A460:Z460"/>
    <mergeCell ref="A475:Z475"/>
    <mergeCell ref="A479:Z479"/>
    <mergeCell ref="Q2:R2"/>
    <mergeCell ref="S2:T2"/>
    <mergeCell ref="U2:V2"/>
    <mergeCell ref="W2:Y2"/>
    <mergeCell ref="A1:AB1"/>
    <mergeCell ref="C2:D2"/>
    <mergeCell ref="E2:F2"/>
    <mergeCell ref="G2:H2"/>
    <mergeCell ref="I2:J2"/>
    <mergeCell ref="K2:L2"/>
    <mergeCell ref="M2:P2"/>
    <mergeCell ref="A4:AB4"/>
    <mergeCell ref="A15:Z15"/>
    <mergeCell ref="A19:Z19"/>
    <mergeCell ref="A23:Z23"/>
    <mergeCell ref="A38:Z38"/>
    <mergeCell ref="A42:Z42"/>
    <mergeCell ref="A46:Z46"/>
    <mergeCell ref="A61:Z61"/>
    <mergeCell ref="A65:Z65"/>
    <mergeCell ref="A69:Z69"/>
    <mergeCell ref="A84:Z84"/>
    <mergeCell ref="A88:Z88"/>
    <mergeCell ref="A92:Z92"/>
    <mergeCell ref="A107:Z107"/>
    <mergeCell ref="A111:Z111"/>
    <mergeCell ref="A115:Z115"/>
    <mergeCell ref="A130:Z130"/>
    <mergeCell ref="A134:Z134"/>
    <mergeCell ref="A138:Z138"/>
    <mergeCell ref="A153:Z153"/>
    <mergeCell ref="A157:Z157"/>
    <mergeCell ref="A161:Z161"/>
    <mergeCell ref="A176:Z176"/>
    <mergeCell ref="A180:Z180"/>
    <mergeCell ref="A184:Z184"/>
    <mergeCell ref="A199:Z199"/>
    <mergeCell ref="A203:Z203"/>
    <mergeCell ref="A207:Z20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5.71"/>
    <col customWidth="1" min="2" max="2" width="8.86"/>
    <col customWidth="1" min="3" max="4" width="5.86"/>
    <col customWidth="1" min="5" max="5" width="9.43"/>
    <col customWidth="1" min="6" max="14" width="5.86"/>
    <col customWidth="1" min="15" max="16" width="8.71"/>
    <col customWidth="1" min="17" max="17" width="6.43"/>
    <col customWidth="1" min="18" max="23" width="5.86"/>
    <col customWidth="1" min="24" max="24" width="12.71"/>
    <col customWidth="1" min="25" max="25" width="5.86"/>
    <col customWidth="1" min="26" max="26" width="9.57"/>
    <col customWidth="1" min="27" max="27" width="8.14"/>
    <col customWidth="1" min="28" max="28" width="9.14"/>
    <col customWidth="1" min="29" max="29" width="28.0"/>
  </cols>
  <sheetData>
    <row r="1">
      <c r="A1" s="1" t="s">
        <v>0</v>
      </c>
      <c r="AC1" s="2"/>
    </row>
    <row r="2">
      <c r="A2" s="3"/>
      <c r="B2" s="4"/>
      <c r="C2" s="5" t="s">
        <v>1</v>
      </c>
      <c r="D2" s="6"/>
      <c r="E2" s="5" t="s">
        <v>2</v>
      </c>
      <c r="F2" s="6"/>
      <c r="G2" s="5" t="s">
        <v>3</v>
      </c>
      <c r="H2" s="6"/>
      <c r="I2" s="5" t="s">
        <v>4</v>
      </c>
      <c r="J2" s="6"/>
      <c r="K2" s="5" t="s">
        <v>5</v>
      </c>
      <c r="L2" s="6"/>
      <c r="M2" s="5" t="s">
        <v>6</v>
      </c>
      <c r="N2" s="7"/>
      <c r="O2" s="7"/>
      <c r="P2" s="6"/>
      <c r="Q2" s="5" t="s">
        <v>7</v>
      </c>
      <c r="R2" s="6"/>
      <c r="S2" s="5" t="s">
        <v>8</v>
      </c>
      <c r="T2" s="6"/>
      <c r="U2" s="5" t="s">
        <v>9</v>
      </c>
      <c r="V2" s="6"/>
      <c r="W2" s="5" t="s">
        <v>1</v>
      </c>
      <c r="X2" s="7"/>
      <c r="Y2" s="6"/>
      <c r="Z2" s="8"/>
      <c r="AA2" s="3"/>
      <c r="AB2" s="3"/>
      <c r="AC2" s="9"/>
    </row>
    <row r="3">
      <c r="A3" s="3"/>
      <c r="B3" s="10" t="s">
        <v>10</v>
      </c>
      <c r="C3" s="10" t="s">
        <v>11</v>
      </c>
      <c r="D3" s="11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3"/>
      <c r="AB3" s="3"/>
      <c r="AC3" s="9"/>
    </row>
    <row r="4">
      <c r="A4" s="1" t="s">
        <v>77</v>
      </c>
      <c r="AC4" s="12" t="s">
        <v>36</v>
      </c>
    </row>
    <row r="5">
      <c r="A5" s="13">
        <v>45964.0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 t="s">
        <v>37</v>
      </c>
      <c r="AB5" s="16" t="s">
        <v>38</v>
      </c>
      <c r="AC5" s="2"/>
    </row>
    <row r="6">
      <c r="A6" s="17" t="s">
        <v>39</v>
      </c>
      <c r="B6" s="131">
        <v>1.0</v>
      </c>
      <c r="C6" s="131">
        <v>1.0</v>
      </c>
      <c r="D6" s="131">
        <v>1.0</v>
      </c>
      <c r="E6" s="131">
        <v>1.0</v>
      </c>
      <c r="F6" s="131">
        <v>1.0</v>
      </c>
      <c r="G6" s="131">
        <v>1.0</v>
      </c>
      <c r="H6" s="131">
        <v>1.0</v>
      </c>
      <c r="I6" s="131">
        <v>1.0</v>
      </c>
      <c r="J6" s="131">
        <v>1.0</v>
      </c>
      <c r="K6" s="131">
        <v>1.0</v>
      </c>
      <c r="L6" s="131">
        <v>1.0</v>
      </c>
      <c r="M6" s="131">
        <v>1.0</v>
      </c>
      <c r="N6" s="131">
        <v>1.0</v>
      </c>
      <c r="O6" s="131">
        <v>1.0</v>
      </c>
      <c r="P6" s="131">
        <v>1.0</v>
      </c>
      <c r="Q6" s="131">
        <v>1.0</v>
      </c>
      <c r="R6" s="131">
        <v>1.0</v>
      </c>
      <c r="S6" s="131">
        <v>1.0</v>
      </c>
      <c r="T6" s="131">
        <v>1.0</v>
      </c>
      <c r="U6" s="131">
        <v>1.0</v>
      </c>
      <c r="V6" s="131">
        <v>1.0</v>
      </c>
      <c r="W6" s="131">
        <v>1.0</v>
      </c>
      <c r="X6" s="131">
        <v>1.0</v>
      </c>
      <c r="Y6" s="131">
        <v>1.0</v>
      </c>
      <c r="Z6" s="131">
        <v>1.0</v>
      </c>
      <c r="AA6" s="20">
        <f t="shared" ref="AA6:AA10" si="1">SUM(B6:Z6)</f>
        <v>25</v>
      </c>
      <c r="AB6" s="21">
        <f t="shared" ref="AB6:AB9" si="2">AA6/(COUNT(B6:Z6)*1)</f>
        <v>1</v>
      </c>
      <c r="AC6" s="2"/>
    </row>
    <row r="7">
      <c r="A7" s="17" t="s">
        <v>40</v>
      </c>
      <c r="B7" s="131">
        <v>1.0</v>
      </c>
      <c r="C7" s="131">
        <v>1.0</v>
      </c>
      <c r="D7" s="131">
        <v>1.0</v>
      </c>
      <c r="E7" s="131">
        <v>1.0</v>
      </c>
      <c r="F7" s="131">
        <v>1.0</v>
      </c>
      <c r="G7" s="131">
        <v>1.0</v>
      </c>
      <c r="H7" s="131">
        <v>1.0</v>
      </c>
      <c r="I7" s="131">
        <v>1.0</v>
      </c>
      <c r="J7" s="131">
        <v>1.0</v>
      </c>
      <c r="K7" s="131">
        <v>1.0</v>
      </c>
      <c r="L7" s="131">
        <v>1.0</v>
      </c>
      <c r="M7" s="131">
        <v>1.0</v>
      </c>
      <c r="N7" s="130">
        <v>0.0</v>
      </c>
      <c r="O7" s="131">
        <v>1.0</v>
      </c>
      <c r="P7" s="131">
        <v>1.0</v>
      </c>
      <c r="Q7" s="131">
        <v>1.0</v>
      </c>
      <c r="R7" s="130">
        <v>0.0</v>
      </c>
      <c r="S7" s="131">
        <v>1.0</v>
      </c>
      <c r="T7" s="131">
        <v>1.0</v>
      </c>
      <c r="U7" s="131">
        <v>1.0</v>
      </c>
      <c r="V7" s="130">
        <v>0.0</v>
      </c>
      <c r="W7" s="130">
        <v>0.0</v>
      </c>
      <c r="X7" s="131">
        <v>1.0</v>
      </c>
      <c r="Y7" s="131">
        <v>1.0</v>
      </c>
      <c r="Z7" s="131">
        <v>1.0</v>
      </c>
      <c r="AA7" s="20">
        <f t="shared" si="1"/>
        <v>21</v>
      </c>
      <c r="AB7" s="21">
        <f t="shared" si="2"/>
        <v>0.84</v>
      </c>
      <c r="AC7" s="2"/>
    </row>
    <row r="8">
      <c r="A8" s="17" t="s">
        <v>41</v>
      </c>
      <c r="B8" s="131">
        <v>1.0</v>
      </c>
      <c r="C8" s="131">
        <v>1.0</v>
      </c>
      <c r="D8" s="131">
        <v>1.0</v>
      </c>
      <c r="E8" s="131">
        <v>1.0</v>
      </c>
      <c r="F8" s="131">
        <v>1.0</v>
      </c>
      <c r="G8" s="131">
        <v>1.0</v>
      </c>
      <c r="H8" s="131">
        <v>1.0</v>
      </c>
      <c r="I8" s="131">
        <v>1.0</v>
      </c>
      <c r="J8" s="131">
        <v>1.0</v>
      </c>
      <c r="K8" s="131">
        <v>1.0</v>
      </c>
      <c r="L8" s="131">
        <v>1.0</v>
      </c>
      <c r="M8" s="131">
        <v>1.0</v>
      </c>
      <c r="N8" s="131">
        <v>1.0</v>
      </c>
      <c r="O8" s="131">
        <v>1.0</v>
      </c>
      <c r="P8" s="130">
        <v>0.0</v>
      </c>
      <c r="Q8" s="131">
        <v>1.0</v>
      </c>
      <c r="R8" s="131">
        <v>1.0</v>
      </c>
      <c r="S8" s="131">
        <v>1.0</v>
      </c>
      <c r="T8" s="130">
        <v>0.0</v>
      </c>
      <c r="U8" s="131">
        <v>1.0</v>
      </c>
      <c r="V8" s="131">
        <v>1.0</v>
      </c>
      <c r="W8" s="131">
        <v>1.0</v>
      </c>
      <c r="X8" s="131">
        <v>1.0</v>
      </c>
      <c r="Y8" s="131">
        <v>1.0</v>
      </c>
      <c r="Z8" s="131">
        <v>1.0</v>
      </c>
      <c r="AA8" s="20">
        <f t="shared" si="1"/>
        <v>23</v>
      </c>
      <c r="AB8" s="21">
        <f t="shared" si="2"/>
        <v>0.92</v>
      </c>
      <c r="AC8" s="2"/>
    </row>
    <row r="9">
      <c r="A9" s="17" t="s">
        <v>42</v>
      </c>
      <c r="B9" s="131">
        <v>1.0</v>
      </c>
      <c r="C9" s="131">
        <v>1.0</v>
      </c>
      <c r="D9" s="131">
        <v>1.0</v>
      </c>
      <c r="E9" s="131">
        <v>1.0</v>
      </c>
      <c r="F9" s="131">
        <v>1.0</v>
      </c>
      <c r="G9" s="131">
        <v>1.0</v>
      </c>
      <c r="H9" s="131">
        <v>1.0</v>
      </c>
      <c r="I9" s="131">
        <v>1.0</v>
      </c>
      <c r="J9" s="131">
        <v>1.0</v>
      </c>
      <c r="K9" s="131">
        <v>1.0</v>
      </c>
      <c r="L9" s="131">
        <v>1.0</v>
      </c>
      <c r="M9" s="131">
        <v>1.0</v>
      </c>
      <c r="N9" s="131">
        <v>1.0</v>
      </c>
      <c r="O9" s="131">
        <v>1.0</v>
      </c>
      <c r="P9" s="131">
        <v>1.0</v>
      </c>
      <c r="Q9" s="131">
        <v>1.0</v>
      </c>
      <c r="R9" s="131">
        <v>1.0</v>
      </c>
      <c r="S9" s="131">
        <v>1.0</v>
      </c>
      <c r="T9" s="131">
        <v>1.0</v>
      </c>
      <c r="U9" s="131">
        <v>1.0</v>
      </c>
      <c r="V9" s="131">
        <v>1.0</v>
      </c>
      <c r="W9" s="131">
        <v>1.0</v>
      </c>
      <c r="X9" s="131">
        <v>1.0</v>
      </c>
      <c r="Y9" s="131">
        <v>1.0</v>
      </c>
      <c r="Z9" s="131">
        <v>1.0</v>
      </c>
      <c r="AA9" s="20">
        <f t="shared" si="1"/>
        <v>25</v>
      </c>
      <c r="AB9" s="21">
        <f t="shared" si="2"/>
        <v>1</v>
      </c>
      <c r="AC9" s="2"/>
    </row>
    <row r="10">
      <c r="A10" s="17" t="s">
        <v>43</v>
      </c>
      <c r="B10" s="22">
        <f t="shared" ref="B10:Z10" si="3">SUM(B6:B9)</f>
        <v>4</v>
      </c>
      <c r="C10" s="22">
        <f t="shared" si="3"/>
        <v>4</v>
      </c>
      <c r="D10" s="22">
        <f t="shared" si="3"/>
        <v>4</v>
      </c>
      <c r="E10" s="22">
        <f t="shared" si="3"/>
        <v>4</v>
      </c>
      <c r="F10" s="22">
        <f t="shared" si="3"/>
        <v>4</v>
      </c>
      <c r="G10" s="22">
        <f t="shared" si="3"/>
        <v>4</v>
      </c>
      <c r="H10" s="22">
        <f t="shared" si="3"/>
        <v>4</v>
      </c>
      <c r="I10" s="22">
        <f t="shared" si="3"/>
        <v>4</v>
      </c>
      <c r="J10" s="22">
        <f t="shared" si="3"/>
        <v>4</v>
      </c>
      <c r="K10" s="22">
        <f t="shared" si="3"/>
        <v>4</v>
      </c>
      <c r="L10" s="22">
        <f t="shared" si="3"/>
        <v>4</v>
      </c>
      <c r="M10" s="22">
        <f t="shared" si="3"/>
        <v>4</v>
      </c>
      <c r="N10" s="22">
        <f t="shared" si="3"/>
        <v>3</v>
      </c>
      <c r="O10" s="22">
        <f t="shared" si="3"/>
        <v>4</v>
      </c>
      <c r="P10" s="22">
        <f t="shared" si="3"/>
        <v>3</v>
      </c>
      <c r="Q10" s="22">
        <f t="shared" si="3"/>
        <v>4</v>
      </c>
      <c r="R10" s="22">
        <f t="shared" si="3"/>
        <v>3</v>
      </c>
      <c r="S10" s="22">
        <f t="shared" si="3"/>
        <v>4</v>
      </c>
      <c r="T10" s="22">
        <f t="shared" si="3"/>
        <v>3</v>
      </c>
      <c r="U10" s="22">
        <f t="shared" si="3"/>
        <v>4</v>
      </c>
      <c r="V10" s="22">
        <f t="shared" si="3"/>
        <v>3</v>
      </c>
      <c r="W10" s="22">
        <f t="shared" si="3"/>
        <v>3</v>
      </c>
      <c r="X10" s="22">
        <f t="shared" si="3"/>
        <v>4</v>
      </c>
      <c r="Y10" s="22">
        <f t="shared" si="3"/>
        <v>4</v>
      </c>
      <c r="Z10" s="22">
        <f t="shared" si="3"/>
        <v>4</v>
      </c>
      <c r="AA10" s="20">
        <f t="shared" si="1"/>
        <v>94</v>
      </c>
      <c r="AB10" s="23"/>
      <c r="AC10" s="2"/>
    </row>
    <row r="11">
      <c r="A11" s="17" t="s">
        <v>38</v>
      </c>
      <c r="B11" s="24">
        <f t="shared" ref="B11:Z11" si="4">B10/(COUNT(B6:B9)*1)</f>
        <v>1</v>
      </c>
      <c r="C11" s="24">
        <f t="shared" si="4"/>
        <v>1</v>
      </c>
      <c r="D11" s="24">
        <f t="shared" si="4"/>
        <v>1</v>
      </c>
      <c r="E11" s="24">
        <f t="shared" si="4"/>
        <v>1</v>
      </c>
      <c r="F11" s="24">
        <f t="shared" si="4"/>
        <v>1</v>
      </c>
      <c r="G11" s="24">
        <f t="shared" si="4"/>
        <v>1</v>
      </c>
      <c r="H11" s="24">
        <f t="shared" si="4"/>
        <v>1</v>
      </c>
      <c r="I11" s="24">
        <f t="shared" si="4"/>
        <v>1</v>
      </c>
      <c r="J11" s="24">
        <f t="shared" si="4"/>
        <v>1</v>
      </c>
      <c r="K11" s="24">
        <f t="shared" si="4"/>
        <v>1</v>
      </c>
      <c r="L11" s="24">
        <f t="shared" si="4"/>
        <v>1</v>
      </c>
      <c r="M11" s="24">
        <f t="shared" si="4"/>
        <v>1</v>
      </c>
      <c r="N11" s="24">
        <f t="shared" si="4"/>
        <v>0.75</v>
      </c>
      <c r="O11" s="24">
        <f t="shared" si="4"/>
        <v>1</v>
      </c>
      <c r="P11" s="24">
        <f t="shared" si="4"/>
        <v>0.75</v>
      </c>
      <c r="Q11" s="24">
        <f t="shared" si="4"/>
        <v>1</v>
      </c>
      <c r="R11" s="24">
        <f t="shared" si="4"/>
        <v>0.75</v>
      </c>
      <c r="S11" s="24">
        <f t="shared" si="4"/>
        <v>1</v>
      </c>
      <c r="T11" s="24">
        <f t="shared" si="4"/>
        <v>0.75</v>
      </c>
      <c r="U11" s="24">
        <f t="shared" si="4"/>
        <v>1</v>
      </c>
      <c r="V11" s="24">
        <f t="shared" si="4"/>
        <v>0.75</v>
      </c>
      <c r="W11" s="24">
        <f t="shared" si="4"/>
        <v>0.75</v>
      </c>
      <c r="X11" s="24">
        <f t="shared" si="4"/>
        <v>1</v>
      </c>
      <c r="Y11" s="24">
        <f t="shared" si="4"/>
        <v>1</v>
      </c>
      <c r="Z11" s="24">
        <f t="shared" si="4"/>
        <v>1</v>
      </c>
      <c r="AA11" s="25"/>
      <c r="AB11" s="26">
        <f>SUM(AB6:AB9)/4</f>
        <v>0.94</v>
      </c>
      <c r="AC11" s="2"/>
    </row>
    <row r="12">
      <c r="A12" s="27" t="s">
        <v>75</v>
      </c>
      <c r="B12" s="28"/>
      <c r="C12" s="29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30">
        <f t="shared" ref="AA12:AA14" si="5">SUM(B12:Z12)</f>
        <v>0</v>
      </c>
      <c r="AB12" s="31"/>
      <c r="AC12" s="2"/>
    </row>
    <row r="13">
      <c r="A13" s="32" t="s">
        <v>45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28"/>
      <c r="W13" s="28"/>
      <c r="X13" s="28"/>
      <c r="Y13" s="28"/>
      <c r="Z13" s="28"/>
      <c r="AA13" s="30">
        <f t="shared" si="5"/>
        <v>0</v>
      </c>
      <c r="AB13" s="31"/>
      <c r="AC13" s="9"/>
    </row>
    <row r="14">
      <c r="A14" s="34" t="s">
        <v>46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28"/>
      <c r="W14" s="28"/>
      <c r="X14" s="28"/>
      <c r="Y14" s="28"/>
      <c r="Z14" s="28"/>
      <c r="AA14" s="30">
        <f t="shared" si="5"/>
        <v>0</v>
      </c>
      <c r="AB14" s="31"/>
      <c r="AC14" s="9"/>
    </row>
    <row r="15">
      <c r="A15" s="35" t="s">
        <v>47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8"/>
      <c r="AB15" s="39"/>
      <c r="AC15" s="2"/>
    </row>
    <row r="16">
      <c r="A16" s="40" t="s">
        <v>48</v>
      </c>
      <c r="B16" s="41"/>
      <c r="C16" s="42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3"/>
      <c r="W16" s="43"/>
      <c r="X16" s="43"/>
      <c r="Y16" s="43"/>
      <c r="Z16" s="43"/>
      <c r="AA16" s="44">
        <f t="shared" ref="AA16:AA17" si="6">SUM(B16:Z16)</f>
        <v>0</v>
      </c>
      <c r="AB16" s="31"/>
      <c r="AC16" s="2"/>
    </row>
    <row r="17">
      <c r="A17" s="40" t="s">
        <v>49</v>
      </c>
      <c r="B17" s="41"/>
      <c r="C17" s="42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3"/>
      <c r="W17" s="43"/>
      <c r="X17" s="43"/>
      <c r="Y17" s="43"/>
      <c r="Z17" s="43"/>
      <c r="AA17" s="44">
        <f t="shared" si="6"/>
        <v>0</v>
      </c>
      <c r="AB17" s="31"/>
      <c r="AC17" s="2"/>
    </row>
    <row r="18">
      <c r="A18" s="40" t="s">
        <v>50</v>
      </c>
      <c r="B18" s="42"/>
      <c r="C18" s="42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3"/>
      <c r="W18" s="43"/>
      <c r="X18" s="43"/>
      <c r="Y18" s="43"/>
      <c r="Z18" s="43"/>
      <c r="AA18" s="44" t="str">
        <f>AVERAGE(B18:Z18)</f>
        <v>#DIV/0!</v>
      </c>
      <c r="AB18" s="31"/>
      <c r="AC18" s="2"/>
    </row>
    <row r="19">
      <c r="A19" s="45" t="s">
        <v>51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7"/>
      <c r="AA19" s="46"/>
      <c r="AB19" s="39"/>
      <c r="AC19" s="2"/>
    </row>
    <row r="20">
      <c r="A20" s="47" t="s">
        <v>48</v>
      </c>
      <c r="B20" s="48"/>
      <c r="C20" s="49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50"/>
      <c r="W20" s="50"/>
      <c r="X20" s="50"/>
      <c r="Y20" s="50"/>
      <c r="Z20" s="50"/>
      <c r="AA20" s="51">
        <f t="shared" ref="AA20:AA21" si="7">SUM(B20:Z20)</f>
        <v>0</v>
      </c>
      <c r="AB20" s="31"/>
      <c r="AC20" s="2"/>
    </row>
    <row r="21">
      <c r="A21" s="47" t="s">
        <v>49</v>
      </c>
      <c r="B21" s="48"/>
      <c r="C21" s="49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50"/>
      <c r="W21" s="50"/>
      <c r="X21" s="50"/>
      <c r="Y21" s="50"/>
      <c r="Z21" s="50"/>
      <c r="AA21" s="51">
        <f t="shared" si="7"/>
        <v>0</v>
      </c>
      <c r="AB21" s="31"/>
      <c r="AC21" s="2"/>
    </row>
    <row r="22">
      <c r="A22" s="47" t="s">
        <v>52</v>
      </c>
      <c r="B22" s="49"/>
      <c r="C22" s="49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50"/>
      <c r="W22" s="50"/>
      <c r="X22" s="50"/>
      <c r="Y22" s="50"/>
      <c r="Z22" s="50"/>
      <c r="AA22" s="51" t="str">
        <f>AVERAGE(B22:Z22)</f>
        <v>#DIV/0!</v>
      </c>
      <c r="AB22" s="31"/>
      <c r="AC22" s="2"/>
    </row>
    <row r="23">
      <c r="A23" s="52" t="s">
        <v>53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7"/>
      <c r="AA23" s="38"/>
      <c r="AB23" s="39"/>
      <c r="AC23" s="2"/>
    </row>
    <row r="24">
      <c r="A24" s="40" t="s">
        <v>48</v>
      </c>
      <c r="B24" s="41"/>
      <c r="C24" s="42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3"/>
      <c r="W24" s="43"/>
      <c r="X24" s="43"/>
      <c r="Y24" s="43"/>
      <c r="Z24" s="43"/>
      <c r="AA24" s="44">
        <f t="shared" ref="AA24:AA25" si="8">SUM(B24:Z24)</f>
        <v>0</v>
      </c>
      <c r="AB24" s="31"/>
      <c r="AC24" s="2"/>
    </row>
    <row r="25">
      <c r="A25" s="40" t="s">
        <v>49</v>
      </c>
      <c r="B25" s="41"/>
      <c r="C25" s="42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3"/>
      <c r="W25" s="43"/>
      <c r="X25" s="43"/>
      <c r="Y25" s="43"/>
      <c r="Z25" s="43"/>
      <c r="AA25" s="44">
        <f t="shared" si="8"/>
        <v>0</v>
      </c>
      <c r="AB25" s="31"/>
      <c r="AC25" s="2"/>
    </row>
    <row r="26">
      <c r="A26" s="53" t="s">
        <v>50</v>
      </c>
      <c r="B26" s="54"/>
      <c r="C26" s="54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6"/>
      <c r="W26" s="56"/>
      <c r="X26" s="56"/>
      <c r="Y26" s="56"/>
      <c r="Z26" s="56"/>
      <c r="AA26" s="57" t="str">
        <f>AVERAGE(B26:Z26)</f>
        <v>#DIV/0!</v>
      </c>
      <c r="AB26" s="58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59"/>
      <c r="AB27" s="59"/>
      <c r="AC27" s="2"/>
    </row>
    <row r="28">
      <c r="A28" s="13">
        <v>45965.0</v>
      </c>
      <c r="B28" s="14"/>
      <c r="C28" s="14"/>
      <c r="D28" s="14"/>
      <c r="E28" s="70"/>
      <c r="F28" s="70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 t="s">
        <v>37</v>
      </c>
      <c r="AB28" s="16" t="s">
        <v>38</v>
      </c>
      <c r="AC28" s="2"/>
    </row>
    <row r="29">
      <c r="A29" s="17" t="s">
        <v>39</v>
      </c>
      <c r="B29" s="19">
        <v>1.0</v>
      </c>
      <c r="C29" s="19">
        <v>1.0</v>
      </c>
      <c r="D29" s="19">
        <v>1.0</v>
      </c>
      <c r="E29" s="19">
        <v>1.0</v>
      </c>
      <c r="F29" s="19">
        <v>1.0</v>
      </c>
      <c r="G29" s="19">
        <v>1.0</v>
      </c>
      <c r="H29" s="19">
        <v>1.0</v>
      </c>
      <c r="I29" s="19">
        <v>1.0</v>
      </c>
      <c r="J29" s="19">
        <v>1.0</v>
      </c>
      <c r="K29" s="19">
        <v>1.0</v>
      </c>
      <c r="L29" s="19">
        <v>1.0</v>
      </c>
      <c r="M29" s="19">
        <v>1.0</v>
      </c>
      <c r="N29" s="19">
        <v>1.0</v>
      </c>
      <c r="O29" s="19">
        <v>1.0</v>
      </c>
      <c r="P29" s="19">
        <v>1.0</v>
      </c>
      <c r="Q29" s="19">
        <v>1.0</v>
      </c>
      <c r="R29" s="19">
        <v>1.0</v>
      </c>
      <c r="S29" s="19">
        <v>1.0</v>
      </c>
      <c r="T29" s="19">
        <v>1.0</v>
      </c>
      <c r="U29" s="19">
        <v>1.0</v>
      </c>
      <c r="V29" s="19">
        <v>1.0</v>
      </c>
      <c r="W29" s="19">
        <v>1.0</v>
      </c>
      <c r="X29" s="19">
        <v>1.0</v>
      </c>
      <c r="Y29" s="19">
        <v>1.0</v>
      </c>
      <c r="Z29" s="18"/>
      <c r="AA29" s="20">
        <f t="shared" ref="AA29:AA33" si="9">SUM(B29:Z29)</f>
        <v>24</v>
      </c>
      <c r="AB29" s="21">
        <f t="shared" ref="AB29:AB32" si="10">AA29/(COUNT(B29:Z29)*1)</f>
        <v>1</v>
      </c>
      <c r="AC29" s="2"/>
    </row>
    <row r="30">
      <c r="A30" s="17" t="s">
        <v>40</v>
      </c>
      <c r="B30" s="19">
        <v>1.0</v>
      </c>
      <c r="C30" s="19">
        <v>1.0</v>
      </c>
      <c r="D30" s="19">
        <v>1.0</v>
      </c>
      <c r="E30" s="19">
        <v>1.0</v>
      </c>
      <c r="F30" s="19">
        <v>0.0</v>
      </c>
      <c r="G30" s="19">
        <v>1.0</v>
      </c>
      <c r="H30" s="19">
        <v>1.0</v>
      </c>
      <c r="I30" s="19">
        <v>1.0</v>
      </c>
      <c r="J30" s="19">
        <v>1.0</v>
      </c>
      <c r="K30" s="19">
        <v>1.0</v>
      </c>
      <c r="L30" s="19">
        <v>1.0</v>
      </c>
      <c r="M30" s="19">
        <v>1.0</v>
      </c>
      <c r="N30" s="19">
        <v>1.0</v>
      </c>
      <c r="O30" s="19">
        <v>1.0</v>
      </c>
      <c r="P30" s="19">
        <v>1.0</v>
      </c>
      <c r="Q30" s="19">
        <v>0.0</v>
      </c>
      <c r="R30" s="19">
        <v>0.0</v>
      </c>
      <c r="S30" s="19">
        <v>0.0</v>
      </c>
      <c r="T30" s="19">
        <v>0.0</v>
      </c>
      <c r="U30" s="19">
        <v>1.0</v>
      </c>
      <c r="V30" s="19">
        <v>1.0</v>
      </c>
      <c r="W30" s="19">
        <v>1.0</v>
      </c>
      <c r="X30" s="19">
        <v>1.0</v>
      </c>
      <c r="Y30" s="19">
        <v>1.0</v>
      </c>
      <c r="Z30" s="18"/>
      <c r="AA30" s="20">
        <f t="shared" si="9"/>
        <v>19</v>
      </c>
      <c r="AB30" s="21">
        <f t="shared" si="10"/>
        <v>0.7916666667</v>
      </c>
      <c r="AC30" s="2"/>
    </row>
    <row r="31">
      <c r="A31" s="17" t="s">
        <v>41</v>
      </c>
      <c r="B31" s="19">
        <v>1.0</v>
      </c>
      <c r="C31" s="19">
        <v>1.0</v>
      </c>
      <c r="D31" s="19">
        <v>1.0</v>
      </c>
      <c r="E31" s="19">
        <v>1.0</v>
      </c>
      <c r="F31" s="19">
        <v>0.0</v>
      </c>
      <c r="G31" s="19">
        <v>0.0</v>
      </c>
      <c r="H31" s="19">
        <v>1.0</v>
      </c>
      <c r="I31" s="19">
        <v>1.0</v>
      </c>
      <c r="J31" s="19">
        <v>1.0</v>
      </c>
      <c r="K31" s="19">
        <v>1.0</v>
      </c>
      <c r="L31" s="19">
        <v>0.0</v>
      </c>
      <c r="M31" s="19">
        <v>0.0</v>
      </c>
      <c r="N31" s="19">
        <v>0.0</v>
      </c>
      <c r="O31" s="19">
        <v>1.0</v>
      </c>
      <c r="P31" s="19">
        <v>1.0</v>
      </c>
      <c r="Q31" s="19">
        <v>1.0</v>
      </c>
      <c r="R31" s="19">
        <v>1.0</v>
      </c>
      <c r="S31" s="19">
        <v>1.0</v>
      </c>
      <c r="T31" s="19">
        <v>1.0</v>
      </c>
      <c r="U31" s="19">
        <v>1.0</v>
      </c>
      <c r="V31" s="19">
        <v>1.0</v>
      </c>
      <c r="W31" s="19">
        <v>0.0</v>
      </c>
      <c r="X31" s="19">
        <v>0.0</v>
      </c>
      <c r="Y31" s="19">
        <v>0.0</v>
      </c>
      <c r="Z31" s="18"/>
      <c r="AA31" s="20">
        <f t="shared" si="9"/>
        <v>16</v>
      </c>
      <c r="AB31" s="21">
        <f t="shared" si="10"/>
        <v>0.6666666667</v>
      </c>
      <c r="AC31" s="2"/>
    </row>
    <row r="32">
      <c r="A32" s="17" t="s">
        <v>42</v>
      </c>
      <c r="B32" s="19">
        <v>1.0</v>
      </c>
      <c r="C32" s="19">
        <v>1.0</v>
      </c>
      <c r="D32" s="19">
        <v>1.0</v>
      </c>
      <c r="E32" s="19">
        <v>1.0</v>
      </c>
      <c r="F32" s="19">
        <v>0.0</v>
      </c>
      <c r="G32" s="19">
        <v>1.0</v>
      </c>
      <c r="H32" s="19">
        <v>1.0</v>
      </c>
      <c r="I32" s="19">
        <v>1.0</v>
      </c>
      <c r="J32" s="19">
        <v>1.0</v>
      </c>
      <c r="K32" s="19">
        <v>1.0</v>
      </c>
      <c r="L32" s="19">
        <v>1.0</v>
      </c>
      <c r="M32" s="19">
        <v>1.0</v>
      </c>
      <c r="N32" s="19">
        <v>1.0</v>
      </c>
      <c r="O32" s="19">
        <v>1.0</v>
      </c>
      <c r="P32" s="19">
        <v>1.0</v>
      </c>
      <c r="Q32" s="19">
        <v>1.0</v>
      </c>
      <c r="R32" s="19">
        <v>1.0</v>
      </c>
      <c r="S32" s="19">
        <v>0.0</v>
      </c>
      <c r="T32" s="19">
        <v>1.0</v>
      </c>
      <c r="U32" s="19">
        <v>1.0</v>
      </c>
      <c r="V32" s="19">
        <v>1.0</v>
      </c>
      <c r="W32" s="19">
        <v>1.0</v>
      </c>
      <c r="X32" s="19">
        <v>1.0</v>
      </c>
      <c r="Y32" s="19">
        <v>1.0</v>
      </c>
      <c r="Z32" s="18"/>
      <c r="AA32" s="20">
        <f t="shared" si="9"/>
        <v>22</v>
      </c>
      <c r="AB32" s="21">
        <f t="shared" si="10"/>
        <v>0.9166666667</v>
      </c>
      <c r="AC32" s="2"/>
    </row>
    <row r="33">
      <c r="A33" s="17" t="s">
        <v>43</v>
      </c>
      <c r="B33" s="22">
        <f t="shared" ref="B33:Z33" si="11">SUM(B29:B32)</f>
        <v>4</v>
      </c>
      <c r="C33" s="22">
        <f t="shared" si="11"/>
        <v>4</v>
      </c>
      <c r="D33" s="22">
        <f t="shared" si="11"/>
        <v>4</v>
      </c>
      <c r="E33" s="22">
        <f t="shared" si="11"/>
        <v>4</v>
      </c>
      <c r="F33" s="22">
        <f t="shared" si="11"/>
        <v>1</v>
      </c>
      <c r="G33" s="22">
        <f t="shared" si="11"/>
        <v>3</v>
      </c>
      <c r="H33" s="22">
        <f t="shared" si="11"/>
        <v>4</v>
      </c>
      <c r="I33" s="22">
        <f t="shared" si="11"/>
        <v>4</v>
      </c>
      <c r="J33" s="22">
        <f t="shared" si="11"/>
        <v>4</v>
      </c>
      <c r="K33" s="22">
        <f t="shared" si="11"/>
        <v>4</v>
      </c>
      <c r="L33" s="22">
        <f t="shared" si="11"/>
        <v>3</v>
      </c>
      <c r="M33" s="22">
        <f t="shared" si="11"/>
        <v>3</v>
      </c>
      <c r="N33" s="22">
        <f t="shared" si="11"/>
        <v>3</v>
      </c>
      <c r="O33" s="22">
        <f t="shared" si="11"/>
        <v>4</v>
      </c>
      <c r="P33" s="22">
        <f t="shared" si="11"/>
        <v>4</v>
      </c>
      <c r="Q33" s="22">
        <f t="shared" si="11"/>
        <v>3</v>
      </c>
      <c r="R33" s="22">
        <f t="shared" si="11"/>
        <v>3</v>
      </c>
      <c r="S33" s="22">
        <f t="shared" si="11"/>
        <v>2</v>
      </c>
      <c r="T33" s="22">
        <f t="shared" si="11"/>
        <v>3</v>
      </c>
      <c r="U33" s="22">
        <f t="shared" si="11"/>
        <v>4</v>
      </c>
      <c r="V33" s="22">
        <f t="shared" si="11"/>
        <v>4</v>
      </c>
      <c r="W33" s="22">
        <f t="shared" si="11"/>
        <v>3</v>
      </c>
      <c r="X33" s="22">
        <f t="shared" si="11"/>
        <v>3</v>
      </c>
      <c r="Y33" s="22">
        <f t="shared" si="11"/>
        <v>3</v>
      </c>
      <c r="Z33" s="22">
        <f t="shared" si="11"/>
        <v>0</v>
      </c>
      <c r="AA33" s="20">
        <f t="shared" si="9"/>
        <v>81</v>
      </c>
      <c r="AB33" s="23"/>
      <c r="AC33" s="2"/>
    </row>
    <row r="34">
      <c r="A34" s="17" t="s">
        <v>38</v>
      </c>
      <c r="B34" s="24">
        <f t="shared" ref="B34:Z34" si="12">B33/(COUNT(B29:B32)*1)</f>
        <v>1</v>
      </c>
      <c r="C34" s="24">
        <f t="shared" si="12"/>
        <v>1</v>
      </c>
      <c r="D34" s="24">
        <f t="shared" si="12"/>
        <v>1</v>
      </c>
      <c r="E34" s="24">
        <f t="shared" si="12"/>
        <v>1</v>
      </c>
      <c r="F34" s="24">
        <f t="shared" si="12"/>
        <v>0.25</v>
      </c>
      <c r="G34" s="24">
        <f t="shared" si="12"/>
        <v>0.75</v>
      </c>
      <c r="H34" s="24">
        <f t="shared" si="12"/>
        <v>1</v>
      </c>
      <c r="I34" s="24">
        <f t="shared" si="12"/>
        <v>1</v>
      </c>
      <c r="J34" s="24">
        <f t="shared" si="12"/>
        <v>1</v>
      </c>
      <c r="K34" s="24">
        <f t="shared" si="12"/>
        <v>1</v>
      </c>
      <c r="L34" s="24">
        <f t="shared" si="12"/>
        <v>0.75</v>
      </c>
      <c r="M34" s="24">
        <f t="shared" si="12"/>
        <v>0.75</v>
      </c>
      <c r="N34" s="24">
        <f t="shared" si="12"/>
        <v>0.75</v>
      </c>
      <c r="O34" s="24">
        <f t="shared" si="12"/>
        <v>1</v>
      </c>
      <c r="P34" s="24">
        <f t="shared" si="12"/>
        <v>1</v>
      </c>
      <c r="Q34" s="24">
        <f t="shared" si="12"/>
        <v>0.75</v>
      </c>
      <c r="R34" s="24">
        <f t="shared" si="12"/>
        <v>0.75</v>
      </c>
      <c r="S34" s="24">
        <f t="shared" si="12"/>
        <v>0.5</v>
      </c>
      <c r="T34" s="24">
        <f t="shared" si="12"/>
        <v>0.75</v>
      </c>
      <c r="U34" s="24">
        <f t="shared" si="12"/>
        <v>1</v>
      </c>
      <c r="V34" s="24">
        <f t="shared" si="12"/>
        <v>1</v>
      </c>
      <c r="W34" s="24">
        <f t="shared" si="12"/>
        <v>0.75</v>
      </c>
      <c r="X34" s="24">
        <f t="shared" si="12"/>
        <v>0.75</v>
      </c>
      <c r="Y34" s="24">
        <f t="shared" si="12"/>
        <v>0.75</v>
      </c>
      <c r="Z34" s="24" t="str">
        <f t="shared" si="12"/>
        <v>#DIV/0!</v>
      </c>
      <c r="AA34" s="25"/>
      <c r="AB34" s="26">
        <f>SUM(AB29:AB32)/4</f>
        <v>0.84375</v>
      </c>
      <c r="AC34" s="2"/>
    </row>
    <row r="35">
      <c r="A35" s="27" t="s">
        <v>75</v>
      </c>
      <c r="B35" s="28"/>
      <c r="C35" s="29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30">
        <f t="shared" ref="AA35:AA37" si="13">SUM(B35:Z35)</f>
        <v>0</v>
      </c>
      <c r="AB35" s="31"/>
      <c r="AC35" s="2"/>
    </row>
    <row r="36">
      <c r="A36" s="32" t="s">
        <v>45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28"/>
      <c r="W36" s="28"/>
      <c r="X36" s="28"/>
      <c r="Y36" s="28"/>
      <c r="Z36" s="28"/>
      <c r="AA36" s="30">
        <f t="shared" si="13"/>
        <v>0</v>
      </c>
      <c r="AB36" s="31"/>
      <c r="AC36" s="9"/>
    </row>
    <row r="37">
      <c r="A37" s="34" t="s">
        <v>46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28"/>
      <c r="W37" s="28"/>
      <c r="X37" s="28"/>
      <c r="Y37" s="28"/>
      <c r="Z37" s="28"/>
      <c r="AA37" s="30">
        <f t="shared" si="13"/>
        <v>0</v>
      </c>
      <c r="AB37" s="31"/>
      <c r="AC37" s="9"/>
    </row>
    <row r="38">
      <c r="A38" s="35" t="s">
        <v>47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7"/>
      <c r="AA38" s="38"/>
      <c r="AB38" s="39"/>
      <c r="AC38" s="2"/>
    </row>
    <row r="39">
      <c r="A39" s="40" t="s">
        <v>48</v>
      </c>
      <c r="B39" s="41"/>
      <c r="C39" s="42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3"/>
      <c r="W39" s="43"/>
      <c r="X39" s="43"/>
      <c r="Y39" s="43"/>
      <c r="Z39" s="43"/>
      <c r="AA39" s="44">
        <f t="shared" ref="AA39:AA40" si="14">SUM(B39:Z39)</f>
        <v>0</v>
      </c>
      <c r="AB39" s="31"/>
      <c r="AC39" s="2"/>
    </row>
    <row r="40">
      <c r="A40" s="40" t="s">
        <v>49</v>
      </c>
      <c r="B40" s="41"/>
      <c r="C40" s="42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3"/>
      <c r="W40" s="43"/>
      <c r="X40" s="43"/>
      <c r="Y40" s="43"/>
      <c r="Z40" s="43"/>
      <c r="AA40" s="44">
        <f t="shared" si="14"/>
        <v>0</v>
      </c>
      <c r="AB40" s="31"/>
      <c r="AC40" s="2"/>
    </row>
    <row r="41">
      <c r="A41" s="40" t="s">
        <v>50</v>
      </c>
      <c r="B41" s="42"/>
      <c r="C41" s="42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3"/>
      <c r="W41" s="43"/>
      <c r="X41" s="43"/>
      <c r="Y41" s="43"/>
      <c r="Z41" s="43"/>
      <c r="AA41" s="44" t="str">
        <f>AVERAGE(B41:Z41)</f>
        <v>#DIV/0!</v>
      </c>
      <c r="AB41" s="31"/>
      <c r="AC41" s="2"/>
    </row>
    <row r="42">
      <c r="A42" s="45" t="s">
        <v>51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7"/>
      <c r="AA42" s="46"/>
      <c r="AB42" s="39"/>
      <c r="AC42" s="2"/>
    </row>
    <row r="43">
      <c r="A43" s="47" t="s">
        <v>48</v>
      </c>
      <c r="B43" s="48"/>
      <c r="C43" s="49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50"/>
      <c r="W43" s="50"/>
      <c r="X43" s="50"/>
      <c r="Y43" s="50"/>
      <c r="Z43" s="50"/>
      <c r="AA43" s="51">
        <f t="shared" ref="AA43:AA44" si="15">SUM(B43:Z43)</f>
        <v>0</v>
      </c>
      <c r="AB43" s="31"/>
      <c r="AC43" s="2"/>
    </row>
    <row r="44">
      <c r="A44" s="47" t="s">
        <v>49</v>
      </c>
      <c r="B44" s="48"/>
      <c r="C44" s="49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50"/>
      <c r="W44" s="50"/>
      <c r="X44" s="50"/>
      <c r="Y44" s="50"/>
      <c r="Z44" s="50"/>
      <c r="AA44" s="51">
        <f t="shared" si="15"/>
        <v>0</v>
      </c>
      <c r="AB44" s="31"/>
      <c r="AC44" s="2"/>
    </row>
    <row r="45">
      <c r="A45" s="47" t="s">
        <v>50</v>
      </c>
      <c r="B45" s="49"/>
      <c r="C45" s="49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50"/>
      <c r="W45" s="50"/>
      <c r="X45" s="50"/>
      <c r="Y45" s="50"/>
      <c r="Z45" s="50"/>
      <c r="AA45" s="51" t="str">
        <f>AVERAGE(B45:Z45)</f>
        <v>#DIV/0!</v>
      </c>
      <c r="AB45" s="31"/>
      <c r="AC45" s="2"/>
    </row>
    <row r="46">
      <c r="A46" s="52" t="s">
        <v>53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7"/>
      <c r="AA46" s="38"/>
      <c r="AB46" s="39"/>
      <c r="AC46" s="2"/>
    </row>
    <row r="47">
      <c r="A47" s="40" t="s">
        <v>48</v>
      </c>
      <c r="B47" s="41"/>
      <c r="C47" s="42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3"/>
      <c r="W47" s="43"/>
      <c r="X47" s="43"/>
      <c r="Y47" s="43"/>
      <c r="Z47" s="43"/>
      <c r="AA47" s="44">
        <f t="shared" ref="AA47:AA48" si="16">SUM(B47:Z47)</f>
        <v>0</v>
      </c>
      <c r="AB47" s="31"/>
      <c r="AC47" s="2"/>
    </row>
    <row r="48">
      <c r="A48" s="40" t="s">
        <v>49</v>
      </c>
      <c r="B48" s="41"/>
      <c r="C48" s="42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3"/>
      <c r="W48" s="43"/>
      <c r="X48" s="43"/>
      <c r="Y48" s="43"/>
      <c r="Z48" s="43"/>
      <c r="AA48" s="44">
        <f t="shared" si="16"/>
        <v>0</v>
      </c>
      <c r="AB48" s="31"/>
      <c r="AC48" s="2"/>
    </row>
    <row r="49">
      <c r="A49" s="53" t="s">
        <v>50</v>
      </c>
      <c r="B49" s="54"/>
      <c r="C49" s="54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6"/>
      <c r="W49" s="56"/>
      <c r="X49" s="56"/>
      <c r="Y49" s="56"/>
      <c r="Z49" s="56"/>
      <c r="AA49" s="57" t="str">
        <f>AVERAGE(B49:Z49)</f>
        <v>#DIV/0!</v>
      </c>
      <c r="AB49" s="58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59"/>
      <c r="AB50" s="59"/>
      <c r="AC50" s="2"/>
    </row>
    <row r="51">
      <c r="A51" s="13">
        <v>45966.0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5" t="s">
        <v>37</v>
      </c>
      <c r="AB51" s="16" t="s">
        <v>38</v>
      </c>
      <c r="AC51" s="2"/>
    </row>
    <row r="52">
      <c r="A52" s="17" t="s">
        <v>39</v>
      </c>
      <c r="B52" s="19">
        <v>1.0</v>
      </c>
      <c r="C52" s="19">
        <v>1.0</v>
      </c>
      <c r="D52" s="19">
        <v>1.0</v>
      </c>
      <c r="E52" s="19">
        <v>1.0</v>
      </c>
      <c r="F52" s="19">
        <v>1.0</v>
      </c>
      <c r="G52" s="19">
        <v>1.0</v>
      </c>
      <c r="H52" s="19">
        <v>1.0</v>
      </c>
      <c r="I52" s="19">
        <v>1.0</v>
      </c>
      <c r="J52" s="19">
        <v>0.0</v>
      </c>
      <c r="K52" s="19">
        <v>1.0</v>
      </c>
      <c r="L52" s="19">
        <v>1.0</v>
      </c>
      <c r="M52" s="19">
        <v>1.0</v>
      </c>
      <c r="N52" s="19">
        <v>1.0</v>
      </c>
      <c r="O52" s="19">
        <v>1.0</v>
      </c>
      <c r="P52" s="19">
        <v>1.0</v>
      </c>
      <c r="Q52" s="19">
        <v>1.0</v>
      </c>
      <c r="R52" s="19">
        <v>1.0</v>
      </c>
      <c r="S52" s="19">
        <v>1.0</v>
      </c>
      <c r="T52" s="19">
        <v>1.0</v>
      </c>
      <c r="U52" s="19">
        <v>0.0</v>
      </c>
      <c r="V52" s="19">
        <v>0.0</v>
      </c>
      <c r="W52" s="19">
        <v>1.0</v>
      </c>
      <c r="X52" s="19">
        <v>1.0</v>
      </c>
      <c r="Y52" s="19">
        <v>1.0</v>
      </c>
      <c r="Z52" s="19">
        <v>1.0</v>
      </c>
      <c r="AA52" s="20">
        <f t="shared" ref="AA52:AA56" si="17">SUM(B52:Z52)</f>
        <v>22</v>
      </c>
      <c r="AB52" s="21">
        <f t="shared" ref="AB52:AB55" si="18">AA52/(COUNT(B52:Z52)*1)</f>
        <v>0.88</v>
      </c>
      <c r="AC52" s="2"/>
    </row>
    <row r="53">
      <c r="A53" s="17" t="s">
        <v>40</v>
      </c>
      <c r="B53" s="19">
        <v>1.0</v>
      </c>
      <c r="C53" s="19">
        <v>1.0</v>
      </c>
      <c r="D53" s="19">
        <v>1.0</v>
      </c>
      <c r="E53" s="19">
        <v>1.0</v>
      </c>
      <c r="F53" s="19">
        <v>1.0</v>
      </c>
      <c r="G53" s="19">
        <v>1.0</v>
      </c>
      <c r="H53" s="19">
        <v>1.0</v>
      </c>
      <c r="I53" s="19">
        <v>1.0</v>
      </c>
      <c r="J53" s="19">
        <v>1.0</v>
      </c>
      <c r="K53" s="19">
        <v>1.0</v>
      </c>
      <c r="L53" s="19">
        <v>1.0</v>
      </c>
      <c r="M53" s="19">
        <v>1.0</v>
      </c>
      <c r="N53" s="19">
        <v>1.0</v>
      </c>
      <c r="O53" s="19">
        <v>1.0</v>
      </c>
      <c r="P53" s="19">
        <v>1.0</v>
      </c>
      <c r="Q53" s="19">
        <v>1.0</v>
      </c>
      <c r="R53" s="19">
        <v>1.0</v>
      </c>
      <c r="S53" s="19">
        <v>1.0</v>
      </c>
      <c r="T53" s="19">
        <v>1.0</v>
      </c>
      <c r="U53" s="19">
        <v>1.0</v>
      </c>
      <c r="V53" s="19">
        <v>1.0</v>
      </c>
      <c r="W53" s="19">
        <v>1.0</v>
      </c>
      <c r="X53" s="19">
        <v>1.0</v>
      </c>
      <c r="Y53" s="19">
        <v>1.0</v>
      </c>
      <c r="Z53" s="19">
        <v>1.0</v>
      </c>
      <c r="AA53" s="20">
        <f t="shared" si="17"/>
        <v>25</v>
      </c>
      <c r="AB53" s="21">
        <f t="shared" si="18"/>
        <v>1</v>
      </c>
      <c r="AC53" s="2"/>
    </row>
    <row r="54">
      <c r="A54" s="17" t="s">
        <v>41</v>
      </c>
      <c r="B54" s="19">
        <v>1.0</v>
      </c>
      <c r="C54" s="19">
        <v>1.0</v>
      </c>
      <c r="D54" s="19">
        <v>1.0</v>
      </c>
      <c r="E54" s="19">
        <v>1.0</v>
      </c>
      <c r="F54" s="19">
        <v>1.0</v>
      </c>
      <c r="G54" s="19">
        <v>1.0</v>
      </c>
      <c r="H54" s="19">
        <v>1.0</v>
      </c>
      <c r="I54" s="19">
        <v>1.0</v>
      </c>
      <c r="J54" s="19">
        <v>0.0</v>
      </c>
      <c r="K54" s="19">
        <v>1.0</v>
      </c>
      <c r="L54" s="19">
        <v>1.0</v>
      </c>
      <c r="M54" s="19">
        <v>1.0</v>
      </c>
      <c r="N54" s="19">
        <v>1.0</v>
      </c>
      <c r="O54" s="19">
        <v>1.0</v>
      </c>
      <c r="P54" s="19">
        <v>1.0</v>
      </c>
      <c r="Q54" s="19">
        <v>1.0</v>
      </c>
      <c r="R54" s="19">
        <v>1.0</v>
      </c>
      <c r="S54" s="19">
        <v>1.0</v>
      </c>
      <c r="T54" s="19">
        <v>0.0</v>
      </c>
      <c r="U54" s="19">
        <v>0.0</v>
      </c>
      <c r="V54" s="19">
        <v>1.0</v>
      </c>
      <c r="W54" s="19">
        <v>1.0</v>
      </c>
      <c r="X54" s="19">
        <v>1.0</v>
      </c>
      <c r="Y54" s="19">
        <v>1.0</v>
      </c>
      <c r="Z54" s="19">
        <v>1.0</v>
      </c>
      <c r="AA54" s="20">
        <f t="shared" si="17"/>
        <v>22</v>
      </c>
      <c r="AB54" s="21">
        <f t="shared" si="18"/>
        <v>0.88</v>
      </c>
      <c r="AC54" s="2"/>
    </row>
    <row r="55">
      <c r="A55" s="17" t="s">
        <v>42</v>
      </c>
      <c r="B55" s="19">
        <v>1.0</v>
      </c>
      <c r="C55" s="19">
        <v>1.0</v>
      </c>
      <c r="D55" s="19">
        <v>1.0</v>
      </c>
      <c r="E55" s="19">
        <v>1.0</v>
      </c>
      <c r="F55" s="19">
        <v>1.0</v>
      </c>
      <c r="G55" s="19">
        <v>1.0</v>
      </c>
      <c r="H55" s="19">
        <v>1.0</v>
      </c>
      <c r="I55" s="19">
        <v>1.0</v>
      </c>
      <c r="J55" s="19">
        <v>1.0</v>
      </c>
      <c r="K55" s="19">
        <v>1.0</v>
      </c>
      <c r="L55" s="19">
        <v>1.0</v>
      </c>
      <c r="M55" s="19">
        <v>1.0</v>
      </c>
      <c r="N55" s="19">
        <v>1.0</v>
      </c>
      <c r="O55" s="19">
        <v>1.0</v>
      </c>
      <c r="P55" s="19">
        <v>1.0</v>
      </c>
      <c r="Q55" s="19">
        <v>1.0</v>
      </c>
      <c r="R55" s="19">
        <v>1.0</v>
      </c>
      <c r="S55" s="19">
        <v>1.0</v>
      </c>
      <c r="T55" s="19">
        <v>1.0</v>
      </c>
      <c r="U55" s="19">
        <v>1.0</v>
      </c>
      <c r="V55" s="19">
        <v>1.0</v>
      </c>
      <c r="W55" s="19">
        <v>1.0</v>
      </c>
      <c r="X55" s="19">
        <v>0.0</v>
      </c>
      <c r="Y55" s="19">
        <v>1.0</v>
      </c>
      <c r="Z55" s="19">
        <v>1.0</v>
      </c>
      <c r="AA55" s="20">
        <f t="shared" si="17"/>
        <v>24</v>
      </c>
      <c r="AB55" s="21">
        <f t="shared" si="18"/>
        <v>0.96</v>
      </c>
      <c r="AC55" s="2"/>
    </row>
    <row r="56">
      <c r="A56" s="17" t="s">
        <v>43</v>
      </c>
      <c r="B56" s="22">
        <f t="shared" ref="B56:Z56" si="19">SUM(B52:B55)</f>
        <v>4</v>
      </c>
      <c r="C56" s="22">
        <f t="shared" si="19"/>
        <v>4</v>
      </c>
      <c r="D56" s="22">
        <f t="shared" si="19"/>
        <v>4</v>
      </c>
      <c r="E56" s="22">
        <f t="shared" si="19"/>
        <v>4</v>
      </c>
      <c r="F56" s="22">
        <f t="shared" si="19"/>
        <v>4</v>
      </c>
      <c r="G56" s="22">
        <f t="shared" si="19"/>
        <v>4</v>
      </c>
      <c r="H56" s="22">
        <f t="shared" si="19"/>
        <v>4</v>
      </c>
      <c r="I56" s="22">
        <f t="shared" si="19"/>
        <v>4</v>
      </c>
      <c r="J56" s="22">
        <f t="shared" si="19"/>
        <v>2</v>
      </c>
      <c r="K56" s="22">
        <f t="shared" si="19"/>
        <v>4</v>
      </c>
      <c r="L56" s="22">
        <f t="shared" si="19"/>
        <v>4</v>
      </c>
      <c r="M56" s="22">
        <f t="shared" si="19"/>
        <v>4</v>
      </c>
      <c r="N56" s="22">
        <f t="shared" si="19"/>
        <v>4</v>
      </c>
      <c r="O56" s="22">
        <f t="shared" si="19"/>
        <v>4</v>
      </c>
      <c r="P56" s="22">
        <f t="shared" si="19"/>
        <v>4</v>
      </c>
      <c r="Q56" s="22">
        <f t="shared" si="19"/>
        <v>4</v>
      </c>
      <c r="R56" s="22">
        <f t="shared" si="19"/>
        <v>4</v>
      </c>
      <c r="S56" s="22">
        <f t="shared" si="19"/>
        <v>4</v>
      </c>
      <c r="T56" s="22">
        <f t="shared" si="19"/>
        <v>3</v>
      </c>
      <c r="U56" s="22">
        <f t="shared" si="19"/>
        <v>2</v>
      </c>
      <c r="V56" s="22">
        <f t="shared" si="19"/>
        <v>3</v>
      </c>
      <c r="W56" s="22">
        <f t="shared" si="19"/>
        <v>4</v>
      </c>
      <c r="X56" s="22">
        <f t="shared" si="19"/>
        <v>3</v>
      </c>
      <c r="Y56" s="22">
        <f t="shared" si="19"/>
        <v>4</v>
      </c>
      <c r="Z56" s="22">
        <f t="shared" si="19"/>
        <v>4</v>
      </c>
      <c r="AA56" s="20">
        <f t="shared" si="17"/>
        <v>93</v>
      </c>
      <c r="AB56" s="23"/>
      <c r="AC56" s="2"/>
    </row>
    <row r="57">
      <c r="A57" s="17" t="s">
        <v>38</v>
      </c>
      <c r="B57" s="24">
        <f t="shared" ref="B57:Z57" si="20">B56/(COUNT(B52:B55)*1)</f>
        <v>1</v>
      </c>
      <c r="C57" s="24">
        <f t="shared" si="20"/>
        <v>1</v>
      </c>
      <c r="D57" s="24">
        <f t="shared" si="20"/>
        <v>1</v>
      </c>
      <c r="E57" s="24">
        <f t="shared" si="20"/>
        <v>1</v>
      </c>
      <c r="F57" s="24">
        <f t="shared" si="20"/>
        <v>1</v>
      </c>
      <c r="G57" s="24">
        <f t="shared" si="20"/>
        <v>1</v>
      </c>
      <c r="H57" s="24">
        <f t="shared" si="20"/>
        <v>1</v>
      </c>
      <c r="I57" s="24">
        <f t="shared" si="20"/>
        <v>1</v>
      </c>
      <c r="J57" s="24">
        <f t="shared" si="20"/>
        <v>0.5</v>
      </c>
      <c r="K57" s="24">
        <f t="shared" si="20"/>
        <v>1</v>
      </c>
      <c r="L57" s="24">
        <f t="shared" si="20"/>
        <v>1</v>
      </c>
      <c r="M57" s="24">
        <f t="shared" si="20"/>
        <v>1</v>
      </c>
      <c r="N57" s="24">
        <f t="shared" si="20"/>
        <v>1</v>
      </c>
      <c r="O57" s="24">
        <f t="shared" si="20"/>
        <v>1</v>
      </c>
      <c r="P57" s="24">
        <f t="shared" si="20"/>
        <v>1</v>
      </c>
      <c r="Q57" s="24">
        <f t="shared" si="20"/>
        <v>1</v>
      </c>
      <c r="R57" s="24">
        <f t="shared" si="20"/>
        <v>1</v>
      </c>
      <c r="S57" s="24">
        <f t="shared" si="20"/>
        <v>1</v>
      </c>
      <c r="T57" s="24">
        <f t="shared" si="20"/>
        <v>0.75</v>
      </c>
      <c r="U57" s="24">
        <f t="shared" si="20"/>
        <v>0.5</v>
      </c>
      <c r="V57" s="24">
        <f t="shared" si="20"/>
        <v>0.75</v>
      </c>
      <c r="W57" s="24">
        <f t="shared" si="20"/>
        <v>1</v>
      </c>
      <c r="X57" s="24">
        <f t="shared" si="20"/>
        <v>0.75</v>
      </c>
      <c r="Y57" s="24">
        <f t="shared" si="20"/>
        <v>1</v>
      </c>
      <c r="Z57" s="24">
        <f t="shared" si="20"/>
        <v>1</v>
      </c>
      <c r="AA57" s="25"/>
      <c r="AB57" s="26">
        <f>SUM(AB52:AB55)/4</f>
        <v>0.93</v>
      </c>
      <c r="AC57" s="2"/>
    </row>
    <row r="58">
      <c r="A58" s="27" t="s">
        <v>75</v>
      </c>
      <c r="B58" s="28"/>
      <c r="C58" s="29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30">
        <f t="shared" ref="AA58:AA60" si="21">SUM(B58:Z58)</f>
        <v>0</v>
      </c>
      <c r="AB58" s="31"/>
      <c r="AC58" s="2"/>
    </row>
    <row r="59">
      <c r="A59" s="32" t="s">
        <v>45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28"/>
      <c r="W59" s="28"/>
      <c r="X59" s="28"/>
      <c r="Y59" s="28"/>
      <c r="Z59" s="28"/>
      <c r="AA59" s="30">
        <f t="shared" si="21"/>
        <v>0</v>
      </c>
      <c r="AB59" s="31"/>
      <c r="AC59" s="9"/>
    </row>
    <row r="60">
      <c r="A60" s="34" t="s">
        <v>46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28"/>
      <c r="W60" s="28"/>
      <c r="X60" s="28"/>
      <c r="Y60" s="28"/>
      <c r="Z60" s="28"/>
      <c r="AA60" s="30">
        <f t="shared" si="21"/>
        <v>0</v>
      </c>
      <c r="AB60" s="31"/>
      <c r="AC60" s="9"/>
    </row>
    <row r="61">
      <c r="A61" s="35" t="s">
        <v>47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7"/>
      <c r="AA61" s="38"/>
      <c r="AB61" s="39"/>
      <c r="AC61" s="2"/>
    </row>
    <row r="62">
      <c r="A62" s="40" t="s">
        <v>48</v>
      </c>
      <c r="B62" s="41"/>
      <c r="C62" s="42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3"/>
      <c r="W62" s="43"/>
      <c r="X62" s="43"/>
      <c r="Y62" s="43"/>
      <c r="Z62" s="43"/>
      <c r="AA62" s="44">
        <f t="shared" ref="AA62:AA63" si="22">SUM(B62:Z62)</f>
        <v>0</v>
      </c>
      <c r="AB62" s="31"/>
      <c r="AC62" s="2"/>
    </row>
    <row r="63">
      <c r="A63" s="40" t="s">
        <v>49</v>
      </c>
      <c r="B63" s="41"/>
      <c r="C63" s="42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3"/>
      <c r="W63" s="43"/>
      <c r="X63" s="43"/>
      <c r="Y63" s="43"/>
      <c r="Z63" s="43"/>
      <c r="AA63" s="44">
        <f t="shared" si="22"/>
        <v>0</v>
      </c>
      <c r="AB63" s="31"/>
      <c r="AC63" s="2"/>
    </row>
    <row r="64">
      <c r="A64" s="40" t="s">
        <v>50</v>
      </c>
      <c r="B64" s="42"/>
      <c r="C64" s="42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3"/>
      <c r="W64" s="43"/>
      <c r="X64" s="43"/>
      <c r="Y64" s="43"/>
      <c r="Z64" s="43"/>
      <c r="AA64" s="44" t="str">
        <f>AVERAGE(B64:Z64)</f>
        <v>#DIV/0!</v>
      </c>
      <c r="AB64" s="31"/>
      <c r="AC64" s="2"/>
    </row>
    <row r="65">
      <c r="A65" s="45" t="s">
        <v>51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7"/>
      <c r="AA65" s="46"/>
      <c r="AB65" s="39"/>
      <c r="AC65" s="2"/>
    </row>
    <row r="66">
      <c r="A66" s="47" t="s">
        <v>48</v>
      </c>
      <c r="B66" s="48"/>
      <c r="C66" s="49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50"/>
      <c r="W66" s="50"/>
      <c r="X66" s="50"/>
      <c r="Y66" s="50"/>
      <c r="Z66" s="50"/>
      <c r="AA66" s="51">
        <f t="shared" ref="AA66:AA67" si="23">SUM(B66:Z66)</f>
        <v>0</v>
      </c>
      <c r="AB66" s="31"/>
      <c r="AC66" s="2"/>
    </row>
    <row r="67">
      <c r="A67" s="47" t="s">
        <v>49</v>
      </c>
      <c r="B67" s="48"/>
      <c r="C67" s="49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50"/>
      <c r="W67" s="50"/>
      <c r="X67" s="50"/>
      <c r="Y67" s="50"/>
      <c r="Z67" s="50"/>
      <c r="AA67" s="51">
        <f t="shared" si="23"/>
        <v>0</v>
      </c>
      <c r="AB67" s="31"/>
      <c r="AC67" s="2"/>
    </row>
    <row r="68">
      <c r="A68" s="47" t="s">
        <v>50</v>
      </c>
      <c r="B68" s="49"/>
      <c r="C68" s="49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50"/>
      <c r="W68" s="50"/>
      <c r="X68" s="50"/>
      <c r="Y68" s="50"/>
      <c r="Z68" s="50"/>
      <c r="AA68" s="51" t="str">
        <f>AVERAGE(B68:Z68)</f>
        <v>#DIV/0!</v>
      </c>
      <c r="AB68" s="31"/>
      <c r="AC68" s="2"/>
    </row>
    <row r="69">
      <c r="A69" s="52" t="s">
        <v>53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7"/>
      <c r="AA69" s="38"/>
      <c r="AB69" s="39"/>
      <c r="AC69" s="2"/>
    </row>
    <row r="70">
      <c r="A70" s="40" t="s">
        <v>48</v>
      </c>
      <c r="B70" s="41"/>
      <c r="C70" s="42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3"/>
      <c r="W70" s="43"/>
      <c r="X70" s="43"/>
      <c r="Y70" s="43"/>
      <c r="Z70" s="43"/>
      <c r="AA70" s="44">
        <f t="shared" ref="AA70:AA71" si="24">SUM(B70:Z70)</f>
        <v>0</v>
      </c>
      <c r="AB70" s="31"/>
      <c r="AC70" s="2"/>
    </row>
    <row r="71">
      <c r="A71" s="40" t="s">
        <v>49</v>
      </c>
      <c r="B71" s="41"/>
      <c r="C71" s="42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3"/>
      <c r="W71" s="43"/>
      <c r="X71" s="43"/>
      <c r="Y71" s="43"/>
      <c r="Z71" s="43"/>
      <c r="AA71" s="44">
        <f t="shared" si="24"/>
        <v>0</v>
      </c>
      <c r="AB71" s="31"/>
      <c r="AC71" s="2"/>
    </row>
    <row r="72">
      <c r="A72" s="53" t="s">
        <v>50</v>
      </c>
      <c r="B72" s="54"/>
      <c r="C72" s="54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6"/>
      <c r="W72" s="56"/>
      <c r="X72" s="56"/>
      <c r="Y72" s="56"/>
      <c r="Z72" s="56"/>
      <c r="AA72" s="57" t="str">
        <f>AVERAGE(B72:Z72)</f>
        <v>#DIV/0!</v>
      </c>
      <c r="AB72" s="58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59"/>
      <c r="AB73" s="59"/>
      <c r="AC73" s="2"/>
    </row>
    <row r="74">
      <c r="A74" s="13">
        <v>45967.0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5" t="s">
        <v>37</v>
      </c>
      <c r="AB74" s="16" t="s">
        <v>38</v>
      </c>
      <c r="AC74" s="2"/>
    </row>
    <row r="75">
      <c r="A75" s="17" t="s">
        <v>39</v>
      </c>
      <c r="B75" s="19">
        <v>1.0</v>
      </c>
      <c r="C75" s="19">
        <v>1.0</v>
      </c>
      <c r="D75" s="19">
        <v>1.0</v>
      </c>
      <c r="E75" s="19">
        <v>1.0</v>
      </c>
      <c r="F75" s="19">
        <v>1.0</v>
      </c>
      <c r="G75" s="19">
        <v>1.0</v>
      </c>
      <c r="H75" s="19">
        <v>1.0</v>
      </c>
      <c r="I75" s="19">
        <v>1.0</v>
      </c>
      <c r="J75" s="19">
        <v>1.0</v>
      </c>
      <c r="K75" s="19">
        <v>1.0</v>
      </c>
      <c r="L75" s="19">
        <v>1.0</v>
      </c>
      <c r="M75" s="19">
        <v>1.0</v>
      </c>
      <c r="N75" s="19">
        <v>1.0</v>
      </c>
      <c r="O75" s="19">
        <v>1.0</v>
      </c>
      <c r="P75" s="19">
        <v>0.0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9">
        <v>0.0</v>
      </c>
      <c r="W75" s="19">
        <v>0.0</v>
      </c>
      <c r="X75" s="19">
        <v>1.0</v>
      </c>
      <c r="Y75" s="19">
        <v>1.0</v>
      </c>
      <c r="Z75" s="19">
        <v>1.0</v>
      </c>
      <c r="AA75" s="20">
        <f t="shared" ref="AA75:AA79" si="25">SUM(B75:Z75)</f>
        <v>17</v>
      </c>
      <c r="AB75" s="21">
        <f t="shared" ref="AB75:AB78" si="26">AA75/(COUNT(B75:Z75)*1)</f>
        <v>0.68</v>
      </c>
      <c r="AC75" s="2"/>
    </row>
    <row r="76">
      <c r="A76" s="17" t="s">
        <v>40</v>
      </c>
      <c r="B76" s="19">
        <v>1.0</v>
      </c>
      <c r="C76" s="19">
        <v>1.0</v>
      </c>
      <c r="D76" s="19">
        <v>1.0</v>
      </c>
      <c r="E76" s="19">
        <v>1.0</v>
      </c>
      <c r="F76" s="19">
        <v>0.0</v>
      </c>
      <c r="G76" s="19">
        <v>1.0</v>
      </c>
      <c r="H76" s="19">
        <v>1.0</v>
      </c>
      <c r="I76" s="19">
        <v>1.0</v>
      </c>
      <c r="J76" s="19">
        <v>1.0</v>
      </c>
      <c r="K76" s="19">
        <v>1.0</v>
      </c>
      <c r="L76" s="19">
        <v>1.0</v>
      </c>
      <c r="M76" s="19">
        <v>1.0</v>
      </c>
      <c r="N76" s="19">
        <v>1.0</v>
      </c>
      <c r="O76" s="19">
        <v>1.0</v>
      </c>
      <c r="P76" s="19">
        <v>0.0</v>
      </c>
      <c r="Q76" s="19">
        <v>1.0</v>
      </c>
      <c r="R76" s="19">
        <v>1.0</v>
      </c>
      <c r="S76" s="19">
        <v>1.0</v>
      </c>
      <c r="T76" s="19">
        <v>1.0</v>
      </c>
      <c r="U76" s="19">
        <v>1.0</v>
      </c>
      <c r="V76" s="19">
        <v>1.0</v>
      </c>
      <c r="W76" s="19">
        <v>1.0</v>
      </c>
      <c r="X76" s="19">
        <v>1.0</v>
      </c>
      <c r="Y76" s="19">
        <v>1.0</v>
      </c>
      <c r="Z76" s="19">
        <v>1.0</v>
      </c>
      <c r="AA76" s="20">
        <f t="shared" si="25"/>
        <v>23</v>
      </c>
      <c r="AB76" s="21">
        <f t="shared" si="26"/>
        <v>0.92</v>
      </c>
      <c r="AC76" s="2"/>
    </row>
    <row r="77">
      <c r="A77" s="17" t="s">
        <v>41</v>
      </c>
      <c r="B77" s="19">
        <v>1.0</v>
      </c>
      <c r="C77" s="19">
        <v>1.0</v>
      </c>
      <c r="D77" s="19">
        <v>1.0</v>
      </c>
      <c r="E77" s="19">
        <v>1.0</v>
      </c>
      <c r="F77" s="19">
        <v>1.0</v>
      </c>
      <c r="G77" s="19">
        <v>1.0</v>
      </c>
      <c r="H77" s="19">
        <v>1.0</v>
      </c>
      <c r="I77" s="19">
        <v>1.0</v>
      </c>
      <c r="J77" s="19">
        <v>0.0</v>
      </c>
      <c r="K77" s="19">
        <v>0.0</v>
      </c>
      <c r="L77" s="19">
        <v>0.0</v>
      </c>
      <c r="M77" s="19">
        <v>0.0</v>
      </c>
      <c r="N77" s="19">
        <v>1.0</v>
      </c>
      <c r="O77" s="19">
        <v>1.0</v>
      </c>
      <c r="P77" s="19">
        <v>0.0</v>
      </c>
      <c r="Q77" s="19">
        <v>0.0</v>
      </c>
      <c r="R77" s="19">
        <v>0.0</v>
      </c>
      <c r="S77" s="19">
        <v>0.0</v>
      </c>
      <c r="T77" s="19">
        <v>0.0</v>
      </c>
      <c r="U77" s="19">
        <v>0.0</v>
      </c>
      <c r="V77" s="19">
        <v>0.0</v>
      </c>
      <c r="W77" s="19">
        <v>0.0</v>
      </c>
      <c r="X77" s="19">
        <v>1.0</v>
      </c>
      <c r="Y77" s="19">
        <v>1.0</v>
      </c>
      <c r="Z77" s="19">
        <v>1.0</v>
      </c>
      <c r="AA77" s="20">
        <f t="shared" si="25"/>
        <v>13</v>
      </c>
      <c r="AB77" s="21">
        <f t="shared" si="26"/>
        <v>0.52</v>
      </c>
      <c r="AC77" s="2"/>
    </row>
    <row r="78">
      <c r="A78" s="17" t="s">
        <v>42</v>
      </c>
      <c r="B78" s="19">
        <v>1.0</v>
      </c>
      <c r="C78" s="19">
        <v>1.0</v>
      </c>
      <c r="D78" s="19">
        <v>1.0</v>
      </c>
      <c r="E78" s="19">
        <v>1.0</v>
      </c>
      <c r="F78" s="19">
        <v>1.0</v>
      </c>
      <c r="G78" s="19">
        <v>1.0</v>
      </c>
      <c r="H78" s="19">
        <v>0.0</v>
      </c>
      <c r="I78" s="19">
        <v>1.0</v>
      </c>
      <c r="J78" s="19">
        <v>1.0</v>
      </c>
      <c r="K78" s="19">
        <v>1.0</v>
      </c>
      <c r="L78" s="19">
        <v>1.0</v>
      </c>
      <c r="M78" s="19">
        <v>1.0</v>
      </c>
      <c r="N78" s="19">
        <v>1.0</v>
      </c>
      <c r="O78" s="19">
        <v>1.0</v>
      </c>
      <c r="P78" s="19">
        <v>0.0</v>
      </c>
      <c r="Q78" s="19">
        <v>1.0</v>
      </c>
      <c r="R78" s="19">
        <v>1.0</v>
      </c>
      <c r="S78" s="19">
        <v>1.0</v>
      </c>
      <c r="T78" s="19">
        <v>1.0</v>
      </c>
      <c r="U78" s="19">
        <v>1.0</v>
      </c>
      <c r="V78" s="19">
        <v>1.0</v>
      </c>
      <c r="W78" s="19">
        <v>1.0</v>
      </c>
      <c r="X78" s="19">
        <v>1.0</v>
      </c>
      <c r="Y78" s="19">
        <v>1.0</v>
      </c>
      <c r="Z78" s="19">
        <v>1.0</v>
      </c>
      <c r="AA78" s="20">
        <f t="shared" si="25"/>
        <v>23</v>
      </c>
      <c r="AB78" s="21">
        <f t="shared" si="26"/>
        <v>0.92</v>
      </c>
      <c r="AC78" s="2"/>
    </row>
    <row r="79">
      <c r="A79" s="17" t="s">
        <v>43</v>
      </c>
      <c r="B79" s="22">
        <f t="shared" ref="B79:Z79" si="27">SUM(B75:B78)</f>
        <v>4</v>
      </c>
      <c r="C79" s="22">
        <f t="shared" si="27"/>
        <v>4</v>
      </c>
      <c r="D79" s="22">
        <f t="shared" si="27"/>
        <v>4</v>
      </c>
      <c r="E79" s="22">
        <f t="shared" si="27"/>
        <v>4</v>
      </c>
      <c r="F79" s="22">
        <f t="shared" si="27"/>
        <v>3</v>
      </c>
      <c r="G79" s="22">
        <f t="shared" si="27"/>
        <v>4</v>
      </c>
      <c r="H79" s="22">
        <f t="shared" si="27"/>
        <v>3</v>
      </c>
      <c r="I79" s="22">
        <f t="shared" si="27"/>
        <v>4</v>
      </c>
      <c r="J79" s="22">
        <f t="shared" si="27"/>
        <v>3</v>
      </c>
      <c r="K79" s="22">
        <f t="shared" si="27"/>
        <v>3</v>
      </c>
      <c r="L79" s="22">
        <f t="shared" si="27"/>
        <v>3</v>
      </c>
      <c r="M79" s="22">
        <f t="shared" si="27"/>
        <v>3</v>
      </c>
      <c r="N79" s="22">
        <f t="shared" si="27"/>
        <v>4</v>
      </c>
      <c r="O79" s="22">
        <f t="shared" si="27"/>
        <v>4</v>
      </c>
      <c r="P79" s="22">
        <f t="shared" si="27"/>
        <v>0</v>
      </c>
      <c r="Q79" s="22">
        <f t="shared" si="27"/>
        <v>2</v>
      </c>
      <c r="R79" s="22">
        <f t="shared" si="27"/>
        <v>2</v>
      </c>
      <c r="S79" s="22">
        <f t="shared" si="27"/>
        <v>2</v>
      </c>
      <c r="T79" s="22">
        <f t="shared" si="27"/>
        <v>2</v>
      </c>
      <c r="U79" s="22">
        <f t="shared" si="27"/>
        <v>2</v>
      </c>
      <c r="V79" s="22">
        <f t="shared" si="27"/>
        <v>2</v>
      </c>
      <c r="W79" s="22">
        <f t="shared" si="27"/>
        <v>2</v>
      </c>
      <c r="X79" s="22">
        <f t="shared" si="27"/>
        <v>4</v>
      </c>
      <c r="Y79" s="22">
        <f t="shared" si="27"/>
        <v>4</v>
      </c>
      <c r="Z79" s="22">
        <f t="shared" si="27"/>
        <v>4</v>
      </c>
      <c r="AA79" s="20">
        <f t="shared" si="25"/>
        <v>76</v>
      </c>
      <c r="AB79" s="23"/>
      <c r="AC79" s="2"/>
    </row>
    <row r="80">
      <c r="A80" s="17" t="s">
        <v>38</v>
      </c>
      <c r="B80" s="24">
        <f t="shared" ref="B80:Z80" si="28">B79/(COUNT(B75:B78)*1)</f>
        <v>1</v>
      </c>
      <c r="C80" s="24">
        <f t="shared" si="28"/>
        <v>1</v>
      </c>
      <c r="D80" s="24">
        <f t="shared" si="28"/>
        <v>1</v>
      </c>
      <c r="E80" s="24">
        <f t="shared" si="28"/>
        <v>1</v>
      </c>
      <c r="F80" s="24">
        <f t="shared" si="28"/>
        <v>0.75</v>
      </c>
      <c r="G80" s="24">
        <f t="shared" si="28"/>
        <v>1</v>
      </c>
      <c r="H80" s="24">
        <f t="shared" si="28"/>
        <v>0.75</v>
      </c>
      <c r="I80" s="24">
        <f t="shared" si="28"/>
        <v>1</v>
      </c>
      <c r="J80" s="24">
        <f t="shared" si="28"/>
        <v>0.75</v>
      </c>
      <c r="K80" s="24">
        <f t="shared" si="28"/>
        <v>0.75</v>
      </c>
      <c r="L80" s="24">
        <f t="shared" si="28"/>
        <v>0.75</v>
      </c>
      <c r="M80" s="24">
        <f t="shared" si="28"/>
        <v>0.75</v>
      </c>
      <c r="N80" s="24">
        <f t="shared" si="28"/>
        <v>1</v>
      </c>
      <c r="O80" s="24">
        <f t="shared" si="28"/>
        <v>1</v>
      </c>
      <c r="P80" s="24">
        <f t="shared" si="28"/>
        <v>0</v>
      </c>
      <c r="Q80" s="24">
        <f t="shared" si="28"/>
        <v>0.5</v>
      </c>
      <c r="R80" s="24">
        <f t="shared" si="28"/>
        <v>0.5</v>
      </c>
      <c r="S80" s="24">
        <f t="shared" si="28"/>
        <v>0.5</v>
      </c>
      <c r="T80" s="24">
        <f t="shared" si="28"/>
        <v>0.5</v>
      </c>
      <c r="U80" s="24">
        <f t="shared" si="28"/>
        <v>0.5</v>
      </c>
      <c r="V80" s="24">
        <f t="shared" si="28"/>
        <v>0.5</v>
      </c>
      <c r="W80" s="24">
        <f t="shared" si="28"/>
        <v>0.5</v>
      </c>
      <c r="X80" s="24">
        <f t="shared" si="28"/>
        <v>1</v>
      </c>
      <c r="Y80" s="24">
        <f t="shared" si="28"/>
        <v>1</v>
      </c>
      <c r="Z80" s="24">
        <f t="shared" si="28"/>
        <v>1</v>
      </c>
      <c r="AA80" s="25"/>
      <c r="AB80" s="26">
        <f>SUM(AB75:AB78)/4</f>
        <v>0.76</v>
      </c>
      <c r="AC80" s="2"/>
    </row>
    <row r="81">
      <c r="A81" s="191" t="s">
        <v>75</v>
      </c>
      <c r="B81" s="60"/>
      <c r="C81" s="61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8">
        <v>20.0</v>
      </c>
      <c r="R81" s="68">
        <v>20.0</v>
      </c>
      <c r="S81" s="68">
        <v>20.0</v>
      </c>
      <c r="T81" s="68">
        <v>20.0</v>
      </c>
      <c r="U81" s="68">
        <v>20.0</v>
      </c>
      <c r="V81" s="68">
        <v>20.0</v>
      </c>
      <c r="W81" s="68">
        <v>20.0</v>
      </c>
      <c r="X81" s="60"/>
      <c r="Y81" s="60"/>
      <c r="Z81" s="60"/>
      <c r="AA81" s="30">
        <f t="shared" ref="AA81:AA83" si="29">SUM(B81:Z81)</f>
        <v>140</v>
      </c>
      <c r="AB81" s="31"/>
      <c r="AC81" s="2"/>
    </row>
    <row r="82">
      <c r="A82" s="192" t="s">
        <v>78</v>
      </c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128">
        <v>3.0</v>
      </c>
      <c r="R82" s="62"/>
      <c r="S82" s="62"/>
      <c r="T82" s="62"/>
      <c r="U82" s="62"/>
      <c r="V82" s="60"/>
      <c r="W82" s="60"/>
      <c r="X82" s="60"/>
      <c r="Y82" s="60"/>
      <c r="Z82" s="60"/>
      <c r="AA82" s="30">
        <f t="shared" si="29"/>
        <v>3</v>
      </c>
      <c r="AB82" s="31"/>
      <c r="AC82" s="9"/>
    </row>
    <row r="83">
      <c r="A83" s="193" t="s">
        <v>46</v>
      </c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0"/>
      <c r="W83" s="60"/>
      <c r="X83" s="60"/>
      <c r="Y83" s="60"/>
      <c r="Z83" s="60"/>
      <c r="AA83" s="30">
        <f t="shared" si="29"/>
        <v>0</v>
      </c>
      <c r="AB83" s="31"/>
      <c r="AC83" s="9"/>
    </row>
    <row r="84">
      <c r="A84" s="194" t="s">
        <v>47</v>
      </c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7"/>
      <c r="AA84" s="38"/>
      <c r="AB84" s="39"/>
      <c r="AC84" s="2"/>
    </row>
    <row r="85">
      <c r="A85" s="195" t="s">
        <v>48</v>
      </c>
      <c r="B85" s="63"/>
      <c r="C85" s="64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5">
        <v>1.0</v>
      </c>
      <c r="R85" s="63"/>
      <c r="S85" s="63"/>
      <c r="T85" s="63"/>
      <c r="U85" s="63"/>
      <c r="V85" s="66"/>
      <c r="W85" s="66"/>
      <c r="X85" s="66"/>
      <c r="Y85" s="66"/>
      <c r="Z85" s="66"/>
      <c r="AA85" s="44">
        <f t="shared" ref="AA85:AA86" si="30">SUM(B85:Z85)</f>
        <v>1</v>
      </c>
      <c r="AB85" s="31"/>
      <c r="AC85" s="2"/>
    </row>
    <row r="86">
      <c r="A86" s="195" t="s">
        <v>49</v>
      </c>
      <c r="B86" s="63"/>
      <c r="C86" s="64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5">
        <v>20.0</v>
      </c>
      <c r="R86" s="65">
        <v>20.0</v>
      </c>
      <c r="S86" s="65">
        <v>20.0</v>
      </c>
      <c r="T86" s="65">
        <v>20.0</v>
      </c>
      <c r="U86" s="65">
        <v>20.0</v>
      </c>
      <c r="V86" s="69">
        <v>20.0</v>
      </c>
      <c r="W86" s="69">
        <v>20.0</v>
      </c>
      <c r="X86" s="66"/>
      <c r="Y86" s="66"/>
      <c r="Z86" s="66"/>
      <c r="AA86" s="44">
        <f t="shared" si="30"/>
        <v>140</v>
      </c>
      <c r="AB86" s="31"/>
      <c r="AC86" s="2"/>
    </row>
    <row r="87">
      <c r="A87" s="195" t="s">
        <v>50</v>
      </c>
      <c r="B87" s="64"/>
      <c r="C87" s="64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5">
        <v>1.0</v>
      </c>
      <c r="R87" s="63"/>
      <c r="S87" s="63"/>
      <c r="T87" s="63"/>
      <c r="U87" s="63"/>
      <c r="V87" s="66"/>
      <c r="W87" s="66"/>
      <c r="X87" s="66"/>
      <c r="Y87" s="66"/>
      <c r="Z87" s="66"/>
      <c r="AA87" s="44">
        <f>AVERAGE(B87:Z87)</f>
        <v>1</v>
      </c>
      <c r="AB87" s="31"/>
      <c r="AC87" s="2"/>
    </row>
    <row r="88">
      <c r="A88" s="45" t="s">
        <v>51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7"/>
      <c r="AA88" s="46"/>
      <c r="AB88" s="39"/>
      <c r="AC88" s="2"/>
    </row>
    <row r="89">
      <c r="A89" s="47" t="s">
        <v>48</v>
      </c>
      <c r="B89" s="48"/>
      <c r="C89" s="49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50"/>
      <c r="W89" s="50"/>
      <c r="X89" s="50"/>
      <c r="Y89" s="50"/>
      <c r="Z89" s="50"/>
      <c r="AA89" s="51">
        <f t="shared" ref="AA89:AA90" si="31">SUM(B89:Z89)</f>
        <v>0</v>
      </c>
      <c r="AB89" s="31"/>
      <c r="AC89" s="2"/>
    </row>
    <row r="90">
      <c r="A90" s="47" t="s">
        <v>49</v>
      </c>
      <c r="B90" s="48"/>
      <c r="C90" s="49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50"/>
      <c r="W90" s="50"/>
      <c r="X90" s="50"/>
      <c r="Y90" s="50"/>
      <c r="Z90" s="50"/>
      <c r="AA90" s="51">
        <f t="shared" si="31"/>
        <v>0</v>
      </c>
      <c r="AB90" s="31"/>
      <c r="AC90" s="2"/>
    </row>
    <row r="91">
      <c r="A91" s="47" t="s">
        <v>50</v>
      </c>
      <c r="B91" s="49"/>
      <c r="C91" s="49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50"/>
      <c r="W91" s="50"/>
      <c r="X91" s="50"/>
      <c r="Y91" s="50"/>
      <c r="Z91" s="50"/>
      <c r="AA91" s="51" t="str">
        <f>AVERAGE(B91:Z91)</f>
        <v>#DIV/0!</v>
      </c>
      <c r="AB91" s="31"/>
      <c r="AC91" s="2"/>
    </row>
    <row r="92">
      <c r="A92" s="52" t="s">
        <v>53</v>
      </c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7"/>
      <c r="AA92" s="38"/>
      <c r="AB92" s="39"/>
      <c r="AC92" s="2"/>
    </row>
    <row r="93">
      <c r="A93" s="40" t="s">
        <v>48</v>
      </c>
      <c r="B93" s="41"/>
      <c r="C93" s="42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3"/>
      <c r="W93" s="43"/>
      <c r="X93" s="43"/>
      <c r="Y93" s="43"/>
      <c r="Z93" s="43"/>
      <c r="AA93" s="44">
        <f t="shared" ref="AA93:AA94" si="32">SUM(B93:Z93)</f>
        <v>0</v>
      </c>
      <c r="AB93" s="31"/>
      <c r="AC93" s="2"/>
    </row>
    <row r="94">
      <c r="A94" s="40" t="s">
        <v>49</v>
      </c>
      <c r="B94" s="41"/>
      <c r="C94" s="42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3"/>
      <c r="W94" s="43"/>
      <c r="X94" s="43"/>
      <c r="Y94" s="43"/>
      <c r="Z94" s="43"/>
      <c r="AA94" s="44">
        <f t="shared" si="32"/>
        <v>0</v>
      </c>
      <c r="AB94" s="31"/>
      <c r="AC94" s="2"/>
    </row>
    <row r="95">
      <c r="A95" s="53" t="s">
        <v>50</v>
      </c>
      <c r="B95" s="54"/>
      <c r="C95" s="54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6"/>
      <c r="W95" s="56"/>
      <c r="X95" s="56"/>
      <c r="Y95" s="56"/>
      <c r="Z95" s="56"/>
      <c r="AA95" s="57" t="str">
        <f>AVERAGE(B95:Z95)</f>
        <v>#DIV/0!</v>
      </c>
      <c r="AB95" s="58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59"/>
      <c r="AB96" s="59"/>
      <c r="AC96" s="2"/>
    </row>
    <row r="97">
      <c r="A97" s="13">
        <v>45968.0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5" t="s">
        <v>37</v>
      </c>
      <c r="AB97" s="16" t="s">
        <v>38</v>
      </c>
      <c r="AC97" s="2"/>
    </row>
    <row r="98">
      <c r="A98" s="17" t="s">
        <v>39</v>
      </c>
      <c r="B98" s="19">
        <v>1.0</v>
      </c>
      <c r="C98" s="19">
        <v>1.0</v>
      </c>
      <c r="D98" s="19">
        <v>1.0</v>
      </c>
      <c r="E98" s="19">
        <v>1.0</v>
      </c>
      <c r="F98" s="19">
        <v>1.0</v>
      </c>
      <c r="G98" s="19">
        <v>1.0</v>
      </c>
      <c r="H98" s="19">
        <v>1.0</v>
      </c>
      <c r="I98" s="19">
        <v>1.0</v>
      </c>
      <c r="J98" s="19">
        <v>1.0</v>
      </c>
      <c r="K98" s="19">
        <v>1.0</v>
      </c>
      <c r="L98" s="19">
        <v>1.0</v>
      </c>
      <c r="M98" s="19">
        <v>1.0</v>
      </c>
      <c r="N98" s="19">
        <v>1.0</v>
      </c>
      <c r="O98" s="19">
        <v>1.0</v>
      </c>
      <c r="P98" s="19">
        <v>1.0</v>
      </c>
      <c r="Q98" s="19">
        <v>1.0</v>
      </c>
      <c r="R98" s="19">
        <v>1.0</v>
      </c>
      <c r="S98" s="19">
        <v>1.0</v>
      </c>
      <c r="T98" s="19">
        <v>1.0</v>
      </c>
      <c r="U98" s="19">
        <v>1.0</v>
      </c>
      <c r="V98" s="19">
        <v>1.0</v>
      </c>
      <c r="W98" s="19">
        <v>1.0</v>
      </c>
      <c r="X98" s="19">
        <v>1.0</v>
      </c>
      <c r="Y98" s="19">
        <v>1.0</v>
      </c>
      <c r="Z98" s="19">
        <v>1.0</v>
      </c>
      <c r="AA98" s="20">
        <f t="shared" ref="AA98:AA102" si="33">SUM(B98:Z98)</f>
        <v>25</v>
      </c>
      <c r="AB98" s="21">
        <f t="shared" ref="AB98:AB101" si="34">AA98/(COUNT(B98:Z98)*1)</f>
        <v>1</v>
      </c>
      <c r="AC98" s="2"/>
    </row>
    <row r="99">
      <c r="A99" s="17" t="s">
        <v>40</v>
      </c>
      <c r="B99" s="19">
        <v>1.0</v>
      </c>
      <c r="C99" s="19">
        <v>1.0</v>
      </c>
      <c r="D99" s="19">
        <v>1.0</v>
      </c>
      <c r="E99" s="19">
        <v>1.0</v>
      </c>
      <c r="F99" s="19">
        <v>0.0</v>
      </c>
      <c r="G99" s="19">
        <v>1.0</v>
      </c>
      <c r="H99" s="19">
        <v>1.0</v>
      </c>
      <c r="I99" s="19">
        <v>1.0</v>
      </c>
      <c r="J99" s="19">
        <v>1.0</v>
      </c>
      <c r="K99" s="19">
        <v>1.0</v>
      </c>
      <c r="L99" s="19">
        <v>1.0</v>
      </c>
      <c r="M99" s="19">
        <v>1.0</v>
      </c>
      <c r="N99" s="19">
        <v>1.0</v>
      </c>
      <c r="O99" s="19">
        <v>1.0</v>
      </c>
      <c r="P99" s="19">
        <v>1.0</v>
      </c>
      <c r="Q99" s="19">
        <v>1.0</v>
      </c>
      <c r="R99" s="19">
        <v>1.0</v>
      </c>
      <c r="S99" s="19">
        <v>1.0</v>
      </c>
      <c r="T99" s="19">
        <v>1.0</v>
      </c>
      <c r="U99" s="19">
        <v>1.0</v>
      </c>
      <c r="V99" s="19">
        <v>1.0</v>
      </c>
      <c r="W99" s="19">
        <v>1.0</v>
      </c>
      <c r="X99" s="19">
        <v>1.0</v>
      </c>
      <c r="Y99" s="19">
        <v>1.0</v>
      </c>
      <c r="Z99" s="19">
        <v>1.0</v>
      </c>
      <c r="AA99" s="20">
        <f t="shared" si="33"/>
        <v>24</v>
      </c>
      <c r="AB99" s="21">
        <f t="shared" si="34"/>
        <v>0.96</v>
      </c>
      <c r="AC99" s="2"/>
    </row>
    <row r="100">
      <c r="A100" s="17" t="s">
        <v>41</v>
      </c>
      <c r="B100" s="19">
        <v>1.0</v>
      </c>
      <c r="C100" s="19">
        <v>1.0</v>
      </c>
      <c r="D100" s="19">
        <v>1.0</v>
      </c>
      <c r="E100" s="19">
        <v>1.0</v>
      </c>
      <c r="F100" s="19">
        <v>1.0</v>
      </c>
      <c r="G100" s="19">
        <v>1.0</v>
      </c>
      <c r="H100" s="19">
        <v>1.0</v>
      </c>
      <c r="I100" s="19">
        <v>1.0</v>
      </c>
      <c r="J100" s="19">
        <v>1.0</v>
      </c>
      <c r="K100" s="19">
        <v>1.0</v>
      </c>
      <c r="L100" s="19">
        <v>1.0</v>
      </c>
      <c r="M100" s="19">
        <v>1.0</v>
      </c>
      <c r="N100" s="19">
        <v>1.0</v>
      </c>
      <c r="O100" s="19">
        <v>1.0</v>
      </c>
      <c r="P100" s="19">
        <v>1.0</v>
      </c>
      <c r="Q100" s="19">
        <v>1.0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1.0</v>
      </c>
      <c r="Z100" s="19">
        <v>1.0</v>
      </c>
      <c r="AA100" s="20">
        <f t="shared" si="33"/>
        <v>18</v>
      </c>
      <c r="AB100" s="21">
        <f t="shared" si="34"/>
        <v>0.72</v>
      </c>
      <c r="AC100" s="2"/>
    </row>
    <row r="101">
      <c r="A101" s="17" t="s">
        <v>42</v>
      </c>
      <c r="B101" s="19">
        <v>1.0</v>
      </c>
      <c r="C101" s="19">
        <v>1.0</v>
      </c>
      <c r="D101" s="19">
        <v>1.0</v>
      </c>
      <c r="E101" s="19">
        <v>1.0</v>
      </c>
      <c r="F101" s="19">
        <v>1.0</v>
      </c>
      <c r="G101" s="19">
        <v>1.0</v>
      </c>
      <c r="H101" s="19">
        <v>1.0</v>
      </c>
      <c r="I101" s="19">
        <v>1.0</v>
      </c>
      <c r="J101" s="19">
        <v>1.0</v>
      </c>
      <c r="K101" s="19">
        <v>1.0</v>
      </c>
      <c r="L101" s="19">
        <v>1.0</v>
      </c>
      <c r="M101" s="19">
        <v>1.0</v>
      </c>
      <c r="N101" s="19">
        <v>1.0</v>
      </c>
      <c r="O101" s="19">
        <v>1.0</v>
      </c>
      <c r="P101" s="19">
        <v>1.0</v>
      </c>
      <c r="Q101" s="19">
        <v>1.0</v>
      </c>
      <c r="R101" s="19">
        <v>1.0</v>
      </c>
      <c r="S101" s="19">
        <v>1.0</v>
      </c>
      <c r="T101" s="19">
        <v>1.0</v>
      </c>
      <c r="U101" s="19">
        <v>1.0</v>
      </c>
      <c r="V101" s="19">
        <v>1.0</v>
      </c>
      <c r="W101" s="19">
        <v>1.0</v>
      </c>
      <c r="X101" s="19">
        <v>1.0</v>
      </c>
      <c r="Y101" s="19">
        <v>1.0</v>
      </c>
      <c r="Z101" s="19">
        <v>1.0</v>
      </c>
      <c r="AA101" s="20">
        <f t="shared" si="33"/>
        <v>25</v>
      </c>
      <c r="AB101" s="21">
        <f t="shared" si="34"/>
        <v>1</v>
      </c>
      <c r="AC101" s="2"/>
    </row>
    <row r="102">
      <c r="A102" s="17" t="s">
        <v>43</v>
      </c>
      <c r="B102" s="22">
        <f t="shared" ref="B102:Z102" si="35">SUM(B98:B101)</f>
        <v>4</v>
      </c>
      <c r="C102" s="22">
        <f t="shared" si="35"/>
        <v>4</v>
      </c>
      <c r="D102" s="22">
        <f t="shared" si="35"/>
        <v>4</v>
      </c>
      <c r="E102" s="22">
        <f t="shared" si="35"/>
        <v>4</v>
      </c>
      <c r="F102" s="22">
        <f t="shared" si="35"/>
        <v>3</v>
      </c>
      <c r="G102" s="22">
        <f t="shared" si="35"/>
        <v>4</v>
      </c>
      <c r="H102" s="22">
        <f t="shared" si="35"/>
        <v>4</v>
      </c>
      <c r="I102" s="22">
        <f t="shared" si="35"/>
        <v>4</v>
      </c>
      <c r="J102" s="22">
        <f t="shared" si="35"/>
        <v>4</v>
      </c>
      <c r="K102" s="22">
        <f t="shared" si="35"/>
        <v>4</v>
      </c>
      <c r="L102" s="22">
        <f t="shared" si="35"/>
        <v>4</v>
      </c>
      <c r="M102" s="22">
        <f t="shared" si="35"/>
        <v>4</v>
      </c>
      <c r="N102" s="22">
        <f t="shared" si="35"/>
        <v>4</v>
      </c>
      <c r="O102" s="22">
        <f t="shared" si="35"/>
        <v>4</v>
      </c>
      <c r="P102" s="22">
        <f t="shared" si="35"/>
        <v>4</v>
      </c>
      <c r="Q102" s="22">
        <f t="shared" si="35"/>
        <v>4</v>
      </c>
      <c r="R102" s="22">
        <f t="shared" si="35"/>
        <v>3</v>
      </c>
      <c r="S102" s="22">
        <f t="shared" si="35"/>
        <v>3</v>
      </c>
      <c r="T102" s="22">
        <f t="shared" si="35"/>
        <v>3</v>
      </c>
      <c r="U102" s="22">
        <f t="shared" si="35"/>
        <v>3</v>
      </c>
      <c r="V102" s="22">
        <f t="shared" si="35"/>
        <v>3</v>
      </c>
      <c r="W102" s="22">
        <f t="shared" si="35"/>
        <v>3</v>
      </c>
      <c r="X102" s="22">
        <f t="shared" si="35"/>
        <v>3</v>
      </c>
      <c r="Y102" s="22">
        <f t="shared" si="35"/>
        <v>4</v>
      </c>
      <c r="Z102" s="22">
        <f t="shared" si="35"/>
        <v>4</v>
      </c>
      <c r="AA102" s="20">
        <f t="shared" si="33"/>
        <v>92</v>
      </c>
      <c r="AB102" s="23"/>
      <c r="AC102" s="2"/>
    </row>
    <row r="103">
      <c r="A103" s="17" t="s">
        <v>38</v>
      </c>
      <c r="B103" s="24">
        <f t="shared" ref="B103:Z103" si="36">B102/(COUNT(B98:B101)*1)</f>
        <v>1</v>
      </c>
      <c r="C103" s="24">
        <f t="shared" si="36"/>
        <v>1</v>
      </c>
      <c r="D103" s="24">
        <f t="shared" si="36"/>
        <v>1</v>
      </c>
      <c r="E103" s="24">
        <f t="shared" si="36"/>
        <v>1</v>
      </c>
      <c r="F103" s="24">
        <f t="shared" si="36"/>
        <v>0.75</v>
      </c>
      <c r="G103" s="24">
        <f t="shared" si="36"/>
        <v>1</v>
      </c>
      <c r="H103" s="24">
        <f t="shared" si="36"/>
        <v>1</v>
      </c>
      <c r="I103" s="24">
        <f t="shared" si="36"/>
        <v>1</v>
      </c>
      <c r="J103" s="24">
        <f t="shared" si="36"/>
        <v>1</v>
      </c>
      <c r="K103" s="24">
        <f t="shared" si="36"/>
        <v>1</v>
      </c>
      <c r="L103" s="24">
        <f t="shared" si="36"/>
        <v>1</v>
      </c>
      <c r="M103" s="24">
        <f t="shared" si="36"/>
        <v>1</v>
      </c>
      <c r="N103" s="24">
        <f t="shared" si="36"/>
        <v>1</v>
      </c>
      <c r="O103" s="24">
        <f t="shared" si="36"/>
        <v>1</v>
      </c>
      <c r="P103" s="24">
        <f t="shared" si="36"/>
        <v>1</v>
      </c>
      <c r="Q103" s="24">
        <f t="shared" si="36"/>
        <v>1</v>
      </c>
      <c r="R103" s="24">
        <f t="shared" si="36"/>
        <v>0.75</v>
      </c>
      <c r="S103" s="24">
        <f t="shared" si="36"/>
        <v>0.75</v>
      </c>
      <c r="T103" s="24">
        <f t="shared" si="36"/>
        <v>0.75</v>
      </c>
      <c r="U103" s="24">
        <f t="shared" si="36"/>
        <v>0.75</v>
      </c>
      <c r="V103" s="24">
        <f t="shared" si="36"/>
        <v>0.75</v>
      </c>
      <c r="W103" s="24">
        <f t="shared" si="36"/>
        <v>0.75</v>
      </c>
      <c r="X103" s="24">
        <f t="shared" si="36"/>
        <v>0.75</v>
      </c>
      <c r="Y103" s="24">
        <f t="shared" si="36"/>
        <v>1</v>
      </c>
      <c r="Z103" s="24">
        <f t="shared" si="36"/>
        <v>1</v>
      </c>
      <c r="AA103" s="25"/>
      <c r="AB103" s="26">
        <f>SUM(AB98:AB101)/4</f>
        <v>0.92</v>
      </c>
      <c r="AC103" s="2"/>
    </row>
    <row r="104">
      <c r="A104" s="27" t="s">
        <v>75</v>
      </c>
      <c r="B104" s="28"/>
      <c r="C104" s="2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30">
        <f t="shared" ref="AA104:AA106" si="37">SUM(B104:Z104)</f>
        <v>0</v>
      </c>
      <c r="AB104" s="31"/>
      <c r="AC104" s="2"/>
    </row>
    <row r="105">
      <c r="A105" s="32" t="s">
        <v>45</v>
      </c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28"/>
      <c r="W105" s="28"/>
      <c r="X105" s="28"/>
      <c r="Y105" s="28"/>
      <c r="Z105" s="28"/>
      <c r="AA105" s="30">
        <f t="shared" si="37"/>
        <v>0</v>
      </c>
      <c r="AB105" s="31"/>
      <c r="AC105" s="9"/>
    </row>
    <row r="106">
      <c r="A106" s="34" t="s">
        <v>46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28"/>
      <c r="W106" s="28"/>
      <c r="X106" s="28"/>
      <c r="Y106" s="28"/>
      <c r="Z106" s="28"/>
      <c r="AA106" s="30">
        <f t="shared" si="37"/>
        <v>0</v>
      </c>
      <c r="AB106" s="31"/>
      <c r="AC106" s="9"/>
    </row>
    <row r="107">
      <c r="A107" s="35" t="s">
        <v>47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7"/>
      <c r="AA107" s="38"/>
      <c r="AB107" s="39"/>
      <c r="AC107" s="2"/>
    </row>
    <row r="108">
      <c r="A108" s="40" t="s">
        <v>48</v>
      </c>
      <c r="B108" s="41"/>
      <c r="C108" s="42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3"/>
      <c r="W108" s="43"/>
      <c r="X108" s="43"/>
      <c r="Y108" s="43"/>
      <c r="Z108" s="43"/>
      <c r="AA108" s="44">
        <f t="shared" ref="AA108:AA109" si="38">SUM(B108:Z108)</f>
        <v>0</v>
      </c>
      <c r="AB108" s="31"/>
      <c r="AC108" s="2"/>
    </row>
    <row r="109">
      <c r="A109" s="40" t="s">
        <v>49</v>
      </c>
      <c r="B109" s="41"/>
      <c r="C109" s="42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3"/>
      <c r="W109" s="43"/>
      <c r="X109" s="43"/>
      <c r="Y109" s="43"/>
      <c r="Z109" s="43"/>
      <c r="AA109" s="44">
        <f t="shared" si="38"/>
        <v>0</v>
      </c>
      <c r="AB109" s="31"/>
      <c r="AC109" s="2"/>
    </row>
    <row r="110">
      <c r="A110" s="40" t="s">
        <v>50</v>
      </c>
      <c r="B110" s="42"/>
      <c r="C110" s="42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3"/>
      <c r="W110" s="43"/>
      <c r="X110" s="43"/>
      <c r="Y110" s="43"/>
      <c r="Z110" s="43"/>
      <c r="AA110" s="44" t="str">
        <f>AVERAGE(B110:Z110)</f>
        <v>#DIV/0!</v>
      </c>
      <c r="AB110" s="31"/>
      <c r="AC110" s="2"/>
    </row>
    <row r="111">
      <c r="A111" s="45" t="s">
        <v>51</v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7"/>
      <c r="AA111" s="46"/>
      <c r="AB111" s="39"/>
      <c r="AC111" s="2"/>
    </row>
    <row r="112">
      <c r="A112" s="47" t="s">
        <v>48</v>
      </c>
      <c r="B112" s="48"/>
      <c r="C112" s="49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50"/>
      <c r="W112" s="50"/>
      <c r="X112" s="50"/>
      <c r="Y112" s="50"/>
      <c r="Z112" s="50"/>
      <c r="AA112" s="51">
        <f t="shared" ref="AA112:AA113" si="39">SUM(B112:Z112)</f>
        <v>0</v>
      </c>
      <c r="AB112" s="31"/>
      <c r="AC112" s="2"/>
    </row>
    <row r="113">
      <c r="A113" s="47" t="s">
        <v>49</v>
      </c>
      <c r="B113" s="48"/>
      <c r="C113" s="49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50"/>
      <c r="W113" s="50"/>
      <c r="X113" s="50"/>
      <c r="Y113" s="50"/>
      <c r="Z113" s="50"/>
      <c r="AA113" s="51">
        <f t="shared" si="39"/>
        <v>0</v>
      </c>
      <c r="AB113" s="31"/>
      <c r="AC113" s="2"/>
    </row>
    <row r="114">
      <c r="A114" s="47" t="s">
        <v>50</v>
      </c>
      <c r="B114" s="49"/>
      <c r="C114" s="49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50"/>
      <c r="W114" s="50"/>
      <c r="X114" s="50"/>
      <c r="Y114" s="50"/>
      <c r="Z114" s="50"/>
      <c r="AA114" s="51" t="str">
        <f>AVERAGE(B114:Z114)</f>
        <v>#DIV/0!</v>
      </c>
      <c r="AB114" s="31"/>
      <c r="AC114" s="2"/>
    </row>
    <row r="115">
      <c r="A115" s="52" t="s">
        <v>53</v>
      </c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7"/>
      <c r="AA115" s="38"/>
      <c r="AB115" s="39"/>
      <c r="AC115" s="2"/>
    </row>
    <row r="116">
      <c r="A116" s="40" t="s">
        <v>48</v>
      </c>
      <c r="B116" s="41"/>
      <c r="C116" s="42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3"/>
      <c r="W116" s="43"/>
      <c r="X116" s="43"/>
      <c r="Y116" s="43"/>
      <c r="Z116" s="43"/>
      <c r="AA116" s="44">
        <f t="shared" ref="AA116:AA117" si="40">SUM(B116:Z116)</f>
        <v>0</v>
      </c>
      <c r="AB116" s="31"/>
      <c r="AC116" s="2"/>
    </row>
    <row r="117">
      <c r="A117" s="40" t="s">
        <v>49</v>
      </c>
      <c r="B117" s="41"/>
      <c r="C117" s="42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3"/>
      <c r="W117" s="43"/>
      <c r="X117" s="43"/>
      <c r="Y117" s="43"/>
      <c r="Z117" s="43"/>
      <c r="AA117" s="44">
        <f t="shared" si="40"/>
        <v>0</v>
      </c>
      <c r="AB117" s="31"/>
      <c r="AC117" s="2"/>
    </row>
    <row r="118">
      <c r="A118" s="53" t="s">
        <v>50</v>
      </c>
      <c r="B118" s="54"/>
      <c r="C118" s="54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6"/>
      <c r="W118" s="56"/>
      <c r="X118" s="56"/>
      <c r="Y118" s="56"/>
      <c r="Z118" s="56"/>
      <c r="AA118" s="57" t="str">
        <f>AVERAGE(B118:Z118)</f>
        <v>#DIV/0!</v>
      </c>
      <c r="AB118" s="58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59"/>
      <c r="AB119" s="59"/>
      <c r="AC119" s="2"/>
    </row>
    <row r="120">
      <c r="A120" s="13">
        <v>45971.0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 t="s">
        <v>37</v>
      </c>
      <c r="AB120" s="16" t="s">
        <v>38</v>
      </c>
      <c r="AC120" s="2"/>
    </row>
    <row r="121">
      <c r="A121" s="17" t="s">
        <v>39</v>
      </c>
      <c r="B121" s="19">
        <v>1.0</v>
      </c>
      <c r="C121" s="19">
        <v>1.0</v>
      </c>
      <c r="D121" s="19">
        <v>1.0</v>
      </c>
      <c r="E121" s="19">
        <v>1.0</v>
      </c>
      <c r="F121" s="19">
        <v>0.0</v>
      </c>
      <c r="G121" s="19">
        <v>1.0</v>
      </c>
      <c r="H121" s="19">
        <v>1.0</v>
      </c>
      <c r="I121" s="19">
        <v>1.0</v>
      </c>
      <c r="J121" s="19">
        <v>0.0</v>
      </c>
      <c r="K121" s="19">
        <v>1.0</v>
      </c>
      <c r="L121" s="19">
        <v>1.0</v>
      </c>
      <c r="M121" s="19">
        <v>1.0</v>
      </c>
      <c r="N121" s="19">
        <v>0.0</v>
      </c>
      <c r="O121" s="19">
        <v>1.0</v>
      </c>
      <c r="P121" s="19">
        <v>1.0</v>
      </c>
      <c r="Q121" s="19">
        <v>1.0</v>
      </c>
      <c r="R121" s="19">
        <v>1.0</v>
      </c>
      <c r="S121" s="19">
        <v>1.0</v>
      </c>
      <c r="T121" s="19">
        <v>1.0</v>
      </c>
      <c r="U121" s="19">
        <v>1.0</v>
      </c>
      <c r="V121" s="19">
        <v>1.0</v>
      </c>
      <c r="W121" s="19">
        <v>1.0</v>
      </c>
      <c r="X121" s="19">
        <v>1.0</v>
      </c>
      <c r="Y121" s="19">
        <v>1.0</v>
      </c>
      <c r="Z121" s="19"/>
      <c r="AA121" s="20">
        <f t="shared" ref="AA121:AA125" si="41">SUM(B121:Z121)</f>
        <v>21</v>
      </c>
      <c r="AB121" s="21">
        <f t="shared" ref="AB121:AB124" si="42">AA121/(COUNT(B121:Z121)*1)</f>
        <v>0.875</v>
      </c>
      <c r="AC121" s="2"/>
    </row>
    <row r="122">
      <c r="A122" s="17" t="s">
        <v>40</v>
      </c>
      <c r="B122" s="19">
        <v>1.0</v>
      </c>
      <c r="C122" s="19">
        <v>1.0</v>
      </c>
      <c r="D122" s="19">
        <v>1.0</v>
      </c>
      <c r="E122" s="19">
        <v>1.0</v>
      </c>
      <c r="F122" s="19">
        <v>1.0</v>
      </c>
      <c r="G122" s="19">
        <v>1.0</v>
      </c>
      <c r="H122" s="19">
        <v>1.0</v>
      </c>
      <c r="I122" s="19">
        <v>0.0</v>
      </c>
      <c r="J122" s="19">
        <v>0.0</v>
      </c>
      <c r="K122" s="19">
        <v>0.0</v>
      </c>
      <c r="L122" s="19">
        <v>1.0</v>
      </c>
      <c r="M122" s="19">
        <v>1.0</v>
      </c>
      <c r="N122" s="19">
        <v>1.0</v>
      </c>
      <c r="O122" s="19">
        <v>1.0</v>
      </c>
      <c r="P122" s="19">
        <v>1.0</v>
      </c>
      <c r="Q122" s="19">
        <v>1.0</v>
      </c>
      <c r="R122" s="19">
        <v>1.0</v>
      </c>
      <c r="S122" s="19">
        <v>1.0</v>
      </c>
      <c r="T122" s="19">
        <v>1.0</v>
      </c>
      <c r="U122" s="19">
        <v>1.0</v>
      </c>
      <c r="V122" s="19">
        <v>1.0</v>
      </c>
      <c r="W122" s="19">
        <v>1.0</v>
      </c>
      <c r="X122" s="19">
        <v>1.0</v>
      </c>
      <c r="Y122" s="19">
        <v>1.0</v>
      </c>
      <c r="Z122" s="19"/>
      <c r="AA122" s="20">
        <f t="shared" si="41"/>
        <v>21</v>
      </c>
      <c r="AB122" s="21">
        <f t="shared" si="42"/>
        <v>0.875</v>
      </c>
      <c r="AC122" s="2"/>
    </row>
    <row r="123">
      <c r="A123" s="17" t="s">
        <v>41</v>
      </c>
      <c r="B123" s="19">
        <v>1.0</v>
      </c>
      <c r="C123" s="19">
        <v>1.0</v>
      </c>
      <c r="D123" s="19">
        <v>1.0</v>
      </c>
      <c r="E123" s="19">
        <v>1.0</v>
      </c>
      <c r="F123" s="19">
        <v>0.0</v>
      </c>
      <c r="G123" s="19">
        <v>1.0</v>
      </c>
      <c r="H123" s="19">
        <v>1.0</v>
      </c>
      <c r="I123" s="19">
        <v>1.0</v>
      </c>
      <c r="J123" s="19">
        <v>0.0</v>
      </c>
      <c r="K123" s="19">
        <v>1.0</v>
      </c>
      <c r="L123" s="19">
        <v>1.0</v>
      </c>
      <c r="M123" s="19">
        <v>1.0</v>
      </c>
      <c r="N123" s="19">
        <v>1.0</v>
      </c>
      <c r="O123" s="19">
        <v>1.0</v>
      </c>
      <c r="P123" s="19">
        <v>1.0</v>
      </c>
      <c r="Q123" s="19">
        <v>1.0</v>
      </c>
      <c r="R123" s="19">
        <v>1.0</v>
      </c>
      <c r="S123" s="19">
        <v>1.0</v>
      </c>
      <c r="T123" s="19">
        <v>1.0</v>
      </c>
      <c r="U123" s="19">
        <v>0.0</v>
      </c>
      <c r="V123" s="19">
        <v>1.0</v>
      </c>
      <c r="W123" s="19">
        <v>1.0</v>
      </c>
      <c r="X123" s="19">
        <v>1.0</v>
      </c>
      <c r="Y123" s="19">
        <v>1.0</v>
      </c>
      <c r="Z123" s="19"/>
      <c r="AA123" s="20">
        <f t="shared" si="41"/>
        <v>21</v>
      </c>
      <c r="AB123" s="21">
        <f t="shared" si="42"/>
        <v>0.875</v>
      </c>
      <c r="AC123" s="2"/>
    </row>
    <row r="124">
      <c r="A124" s="17" t="s">
        <v>42</v>
      </c>
      <c r="B124" s="19">
        <v>1.0</v>
      </c>
      <c r="C124" s="19">
        <v>1.0</v>
      </c>
      <c r="D124" s="19">
        <v>1.0</v>
      </c>
      <c r="E124" s="19">
        <v>1.0</v>
      </c>
      <c r="F124" s="19">
        <v>1.0</v>
      </c>
      <c r="G124" s="19">
        <v>1.0</v>
      </c>
      <c r="H124" s="19">
        <v>1.0</v>
      </c>
      <c r="I124" s="19">
        <v>1.0</v>
      </c>
      <c r="J124" s="19">
        <v>0.0</v>
      </c>
      <c r="K124" s="19">
        <v>1.0</v>
      </c>
      <c r="L124" s="19">
        <v>1.0</v>
      </c>
      <c r="M124" s="19">
        <v>1.0</v>
      </c>
      <c r="N124" s="19">
        <v>1.0</v>
      </c>
      <c r="O124" s="19">
        <v>1.0</v>
      </c>
      <c r="P124" s="19">
        <v>1.0</v>
      </c>
      <c r="Q124" s="19">
        <v>0.0</v>
      </c>
      <c r="R124" s="19">
        <v>1.0</v>
      </c>
      <c r="S124" s="19">
        <v>0.0</v>
      </c>
      <c r="T124" s="19">
        <v>0.0</v>
      </c>
      <c r="U124" s="19">
        <v>1.0</v>
      </c>
      <c r="V124" s="19">
        <v>1.0</v>
      </c>
      <c r="W124" s="19">
        <v>1.0</v>
      </c>
      <c r="X124" s="19">
        <v>1.0</v>
      </c>
      <c r="Y124" s="19">
        <v>1.0</v>
      </c>
      <c r="Z124" s="19"/>
      <c r="AA124" s="20">
        <f t="shared" si="41"/>
        <v>20</v>
      </c>
      <c r="AB124" s="21">
        <f t="shared" si="42"/>
        <v>0.8333333333</v>
      </c>
      <c r="AC124" s="2"/>
    </row>
    <row r="125">
      <c r="A125" s="17" t="s">
        <v>43</v>
      </c>
      <c r="B125" s="22">
        <f t="shared" ref="B125:C125" si="43">SUM(B121:B124)</f>
        <v>4</v>
      </c>
      <c r="C125" s="22">
        <f t="shared" si="43"/>
        <v>4</v>
      </c>
      <c r="D125" s="196">
        <v>1.0</v>
      </c>
      <c r="E125" s="22">
        <f t="shared" ref="E125:Z125" si="44">SUM(E121:E124)</f>
        <v>4</v>
      </c>
      <c r="F125" s="22">
        <f t="shared" si="44"/>
        <v>2</v>
      </c>
      <c r="G125" s="22">
        <f t="shared" si="44"/>
        <v>4</v>
      </c>
      <c r="H125" s="22">
        <f t="shared" si="44"/>
        <v>4</v>
      </c>
      <c r="I125" s="22">
        <f t="shared" si="44"/>
        <v>3</v>
      </c>
      <c r="J125" s="22">
        <f t="shared" si="44"/>
        <v>0</v>
      </c>
      <c r="K125" s="22">
        <f t="shared" si="44"/>
        <v>3</v>
      </c>
      <c r="L125" s="22">
        <f t="shared" si="44"/>
        <v>4</v>
      </c>
      <c r="M125" s="22">
        <f t="shared" si="44"/>
        <v>4</v>
      </c>
      <c r="N125" s="22">
        <f t="shared" si="44"/>
        <v>3</v>
      </c>
      <c r="O125" s="22">
        <f t="shared" si="44"/>
        <v>4</v>
      </c>
      <c r="P125" s="22">
        <f t="shared" si="44"/>
        <v>4</v>
      </c>
      <c r="Q125" s="22">
        <f t="shared" si="44"/>
        <v>3</v>
      </c>
      <c r="R125" s="22">
        <f t="shared" si="44"/>
        <v>4</v>
      </c>
      <c r="S125" s="22">
        <f t="shared" si="44"/>
        <v>3</v>
      </c>
      <c r="T125" s="22">
        <f t="shared" si="44"/>
        <v>3</v>
      </c>
      <c r="U125" s="22">
        <f t="shared" si="44"/>
        <v>3</v>
      </c>
      <c r="V125" s="22">
        <f t="shared" si="44"/>
        <v>4</v>
      </c>
      <c r="W125" s="22">
        <f t="shared" si="44"/>
        <v>4</v>
      </c>
      <c r="X125" s="22">
        <f t="shared" si="44"/>
        <v>4</v>
      </c>
      <c r="Y125" s="22">
        <f t="shared" si="44"/>
        <v>4</v>
      </c>
      <c r="Z125" s="22">
        <f t="shared" si="44"/>
        <v>0</v>
      </c>
      <c r="AA125" s="20">
        <f t="shared" si="41"/>
        <v>80</v>
      </c>
      <c r="AB125" s="23"/>
      <c r="AC125" s="2"/>
    </row>
    <row r="126">
      <c r="A126" s="17" t="s">
        <v>38</v>
      </c>
      <c r="B126" s="24">
        <f t="shared" ref="B126:Z126" si="45">B125/(COUNT(B121:B124)*1)</f>
        <v>1</v>
      </c>
      <c r="C126" s="24">
        <f t="shared" si="45"/>
        <v>1</v>
      </c>
      <c r="D126" s="24">
        <f t="shared" si="45"/>
        <v>0.25</v>
      </c>
      <c r="E126" s="24">
        <f t="shared" si="45"/>
        <v>1</v>
      </c>
      <c r="F126" s="24">
        <f t="shared" si="45"/>
        <v>0.5</v>
      </c>
      <c r="G126" s="24">
        <f t="shared" si="45"/>
        <v>1</v>
      </c>
      <c r="H126" s="24">
        <f t="shared" si="45"/>
        <v>1</v>
      </c>
      <c r="I126" s="24">
        <f t="shared" si="45"/>
        <v>0.75</v>
      </c>
      <c r="J126" s="24">
        <f t="shared" si="45"/>
        <v>0</v>
      </c>
      <c r="K126" s="24">
        <f t="shared" si="45"/>
        <v>0.75</v>
      </c>
      <c r="L126" s="24">
        <f t="shared" si="45"/>
        <v>1</v>
      </c>
      <c r="M126" s="24">
        <f t="shared" si="45"/>
        <v>1</v>
      </c>
      <c r="N126" s="24">
        <f t="shared" si="45"/>
        <v>0.75</v>
      </c>
      <c r="O126" s="24">
        <f t="shared" si="45"/>
        <v>1</v>
      </c>
      <c r="P126" s="24">
        <f t="shared" si="45"/>
        <v>1</v>
      </c>
      <c r="Q126" s="24">
        <f t="shared" si="45"/>
        <v>0.75</v>
      </c>
      <c r="R126" s="24">
        <f t="shared" si="45"/>
        <v>1</v>
      </c>
      <c r="S126" s="24">
        <f t="shared" si="45"/>
        <v>0.75</v>
      </c>
      <c r="T126" s="24">
        <f t="shared" si="45"/>
        <v>0.75</v>
      </c>
      <c r="U126" s="24">
        <f t="shared" si="45"/>
        <v>0.75</v>
      </c>
      <c r="V126" s="24">
        <f t="shared" si="45"/>
        <v>1</v>
      </c>
      <c r="W126" s="24">
        <f t="shared" si="45"/>
        <v>1</v>
      </c>
      <c r="X126" s="24">
        <f t="shared" si="45"/>
        <v>1</v>
      </c>
      <c r="Y126" s="24">
        <f t="shared" si="45"/>
        <v>1</v>
      </c>
      <c r="Z126" s="24" t="str">
        <f t="shared" si="45"/>
        <v>#DIV/0!</v>
      </c>
      <c r="AA126" s="25"/>
      <c r="AB126" s="26">
        <f>SUM(AB121:AB124)/4</f>
        <v>0.8645833333</v>
      </c>
      <c r="AC126" s="2"/>
    </row>
    <row r="127">
      <c r="A127" s="27" t="s">
        <v>75</v>
      </c>
      <c r="B127" s="28"/>
      <c r="C127" s="2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30">
        <f t="shared" ref="AA127:AA129" si="46">SUM(B127:Z127)</f>
        <v>0</v>
      </c>
      <c r="AB127" s="31"/>
      <c r="AC127" s="2"/>
    </row>
    <row r="128">
      <c r="A128" s="32" t="s">
        <v>45</v>
      </c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28"/>
      <c r="W128" s="28"/>
      <c r="X128" s="28"/>
      <c r="Y128" s="28"/>
      <c r="Z128" s="28"/>
      <c r="AA128" s="30">
        <f t="shared" si="46"/>
        <v>0</v>
      </c>
      <c r="AB128" s="31"/>
      <c r="AC128" s="9"/>
    </row>
    <row r="129">
      <c r="A129" s="34" t="s">
        <v>46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28"/>
      <c r="W129" s="28"/>
      <c r="X129" s="28"/>
      <c r="Y129" s="28"/>
      <c r="Z129" s="28"/>
      <c r="AA129" s="30">
        <f t="shared" si="46"/>
        <v>0</v>
      </c>
      <c r="AB129" s="31"/>
      <c r="AC129" s="9"/>
    </row>
    <row r="130">
      <c r="A130" s="35" t="s">
        <v>47</v>
      </c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7"/>
      <c r="AA130" s="38"/>
      <c r="AB130" s="39"/>
      <c r="AC130" s="2"/>
    </row>
    <row r="131">
      <c r="A131" s="40" t="s">
        <v>48</v>
      </c>
      <c r="B131" s="41"/>
      <c r="C131" s="42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3"/>
      <c r="W131" s="43"/>
      <c r="X131" s="43"/>
      <c r="Y131" s="43"/>
      <c r="Z131" s="43"/>
      <c r="AA131" s="44">
        <f t="shared" ref="AA131:AA132" si="47">SUM(B131:Z131)</f>
        <v>0</v>
      </c>
      <c r="AB131" s="31"/>
      <c r="AC131" s="2"/>
    </row>
    <row r="132">
      <c r="A132" s="40" t="s">
        <v>49</v>
      </c>
      <c r="B132" s="41"/>
      <c r="C132" s="42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3"/>
      <c r="W132" s="43"/>
      <c r="X132" s="43"/>
      <c r="Y132" s="43"/>
      <c r="Z132" s="43"/>
      <c r="AA132" s="44">
        <f t="shared" si="47"/>
        <v>0</v>
      </c>
      <c r="AB132" s="31"/>
      <c r="AC132" s="2"/>
    </row>
    <row r="133">
      <c r="A133" s="40" t="s">
        <v>50</v>
      </c>
      <c r="B133" s="42"/>
      <c r="C133" s="42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3"/>
      <c r="W133" s="43"/>
      <c r="X133" s="43"/>
      <c r="Y133" s="43"/>
      <c r="Z133" s="43"/>
      <c r="AA133" s="44" t="str">
        <f>AVERAGE(B133:Z133)</f>
        <v>#DIV/0!</v>
      </c>
      <c r="AB133" s="31"/>
      <c r="AC133" s="2"/>
    </row>
    <row r="134">
      <c r="A134" s="45" t="s">
        <v>51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7"/>
      <c r="AA134" s="46"/>
      <c r="AB134" s="39"/>
      <c r="AC134" s="2"/>
    </row>
    <row r="135">
      <c r="A135" s="47" t="s">
        <v>48</v>
      </c>
      <c r="B135" s="48"/>
      <c r="C135" s="49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50"/>
      <c r="W135" s="50"/>
      <c r="X135" s="50"/>
      <c r="Y135" s="50"/>
      <c r="Z135" s="50"/>
      <c r="AA135" s="51">
        <f t="shared" ref="AA135:AA136" si="48">SUM(B135:Z135)</f>
        <v>0</v>
      </c>
      <c r="AB135" s="31"/>
      <c r="AC135" s="2"/>
    </row>
    <row r="136">
      <c r="A136" s="47" t="s">
        <v>49</v>
      </c>
      <c r="B136" s="48"/>
      <c r="C136" s="49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50"/>
      <c r="W136" s="50"/>
      <c r="X136" s="50"/>
      <c r="Y136" s="50"/>
      <c r="Z136" s="50"/>
      <c r="AA136" s="51">
        <f t="shared" si="48"/>
        <v>0</v>
      </c>
      <c r="AB136" s="31"/>
      <c r="AC136" s="2"/>
    </row>
    <row r="137">
      <c r="A137" s="47" t="s">
        <v>50</v>
      </c>
      <c r="B137" s="49"/>
      <c r="C137" s="49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50"/>
      <c r="W137" s="50"/>
      <c r="X137" s="50"/>
      <c r="Y137" s="50"/>
      <c r="Z137" s="50"/>
      <c r="AA137" s="51" t="str">
        <f>AVERAGE(B137:Z137)</f>
        <v>#DIV/0!</v>
      </c>
      <c r="AB137" s="31"/>
      <c r="AC137" s="2"/>
    </row>
    <row r="138">
      <c r="A138" s="52" t="s">
        <v>53</v>
      </c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7"/>
      <c r="AA138" s="38"/>
      <c r="AB138" s="39"/>
      <c r="AC138" s="2"/>
    </row>
    <row r="139">
      <c r="A139" s="40" t="s">
        <v>48</v>
      </c>
      <c r="B139" s="41"/>
      <c r="C139" s="42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3"/>
      <c r="W139" s="43"/>
      <c r="X139" s="43"/>
      <c r="Y139" s="43"/>
      <c r="Z139" s="43"/>
      <c r="AA139" s="44">
        <f t="shared" ref="AA139:AA140" si="49">SUM(B139:Z139)</f>
        <v>0</v>
      </c>
      <c r="AB139" s="31"/>
      <c r="AC139" s="2"/>
    </row>
    <row r="140">
      <c r="A140" s="40" t="s">
        <v>49</v>
      </c>
      <c r="B140" s="41"/>
      <c r="C140" s="42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3"/>
      <c r="W140" s="43"/>
      <c r="X140" s="43"/>
      <c r="Y140" s="43"/>
      <c r="Z140" s="43"/>
      <c r="AA140" s="44">
        <f t="shared" si="49"/>
        <v>0</v>
      </c>
      <c r="AB140" s="31"/>
      <c r="AC140" s="2"/>
    </row>
    <row r="141">
      <c r="A141" s="53" t="s">
        <v>50</v>
      </c>
      <c r="B141" s="54"/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6"/>
      <c r="W141" s="56"/>
      <c r="X141" s="56"/>
      <c r="Y141" s="56"/>
      <c r="Z141" s="56"/>
      <c r="AA141" s="57" t="str">
        <f>AVERAGE(B141:Z141)</f>
        <v>#DIV/0!</v>
      </c>
      <c r="AB141" s="58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59"/>
      <c r="AB142" s="59"/>
      <c r="AC142" s="2"/>
    </row>
    <row r="143">
      <c r="A143" s="13">
        <v>45972.0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 t="s">
        <v>37</v>
      </c>
      <c r="AB143" s="16" t="s">
        <v>38</v>
      </c>
      <c r="AC143" s="2"/>
    </row>
    <row r="144">
      <c r="A144" s="17" t="s">
        <v>39</v>
      </c>
      <c r="B144" s="19">
        <v>1.0</v>
      </c>
      <c r="C144" s="19">
        <v>1.0</v>
      </c>
      <c r="D144" s="19">
        <v>1.0</v>
      </c>
      <c r="E144" s="19">
        <v>1.0</v>
      </c>
      <c r="F144" s="19">
        <v>0.0</v>
      </c>
      <c r="G144" s="19">
        <v>1.0</v>
      </c>
      <c r="H144" s="19">
        <v>1.0</v>
      </c>
      <c r="I144" s="19">
        <v>1.0</v>
      </c>
      <c r="J144" s="19">
        <v>1.0</v>
      </c>
      <c r="K144" s="19">
        <v>1.0</v>
      </c>
      <c r="L144" s="19">
        <v>1.0</v>
      </c>
      <c r="M144" s="19">
        <v>1.0</v>
      </c>
      <c r="N144" s="19">
        <v>1.0</v>
      </c>
      <c r="O144" s="19">
        <v>1.0</v>
      </c>
      <c r="P144" s="19">
        <v>1.0</v>
      </c>
      <c r="Q144" s="19">
        <v>1.0</v>
      </c>
      <c r="R144" s="19">
        <v>1.0</v>
      </c>
      <c r="S144" s="19">
        <v>1.0</v>
      </c>
      <c r="T144" s="19">
        <v>1.0</v>
      </c>
      <c r="U144" s="19">
        <v>1.0</v>
      </c>
      <c r="V144" s="19">
        <v>1.0</v>
      </c>
      <c r="W144" s="19">
        <v>0.0</v>
      </c>
      <c r="X144" s="19">
        <v>0.0</v>
      </c>
      <c r="Y144" s="19">
        <v>0.0</v>
      </c>
      <c r="Z144" s="19">
        <v>0.0</v>
      </c>
      <c r="AA144" s="20">
        <f t="shared" ref="AA144:AA148" si="50">SUM(B144:Z144)</f>
        <v>20</v>
      </c>
      <c r="AB144" s="21">
        <f t="shared" ref="AB144:AB147" si="51">AA144/(COUNT(B144:Z144)*1)</f>
        <v>0.8</v>
      </c>
      <c r="AC144" s="2"/>
    </row>
    <row r="145">
      <c r="A145" s="17" t="s">
        <v>40</v>
      </c>
      <c r="B145" s="19">
        <v>1.0</v>
      </c>
      <c r="C145" s="19">
        <v>1.0</v>
      </c>
      <c r="D145" s="19">
        <v>1.0</v>
      </c>
      <c r="E145" s="19">
        <v>1.0</v>
      </c>
      <c r="F145" s="19">
        <v>1.0</v>
      </c>
      <c r="G145" s="19">
        <v>1.0</v>
      </c>
      <c r="H145" s="19">
        <v>1.0</v>
      </c>
      <c r="I145" s="19">
        <v>1.0</v>
      </c>
      <c r="J145" s="19">
        <v>1.0</v>
      </c>
      <c r="K145" s="19">
        <v>1.0</v>
      </c>
      <c r="L145" s="19">
        <v>1.0</v>
      </c>
      <c r="M145" s="19">
        <v>1.0</v>
      </c>
      <c r="N145" s="19">
        <v>1.0</v>
      </c>
      <c r="O145" s="19">
        <v>1.0</v>
      </c>
      <c r="P145" s="19">
        <v>1.0</v>
      </c>
      <c r="Q145" s="19">
        <v>1.0</v>
      </c>
      <c r="R145" s="19">
        <v>1.0</v>
      </c>
      <c r="S145" s="19">
        <v>1.0</v>
      </c>
      <c r="T145" s="19">
        <v>1.0</v>
      </c>
      <c r="U145" s="19">
        <v>1.0</v>
      </c>
      <c r="V145" s="19">
        <v>1.0</v>
      </c>
      <c r="W145" s="19">
        <v>1.0</v>
      </c>
      <c r="X145" s="19">
        <v>1.0</v>
      </c>
      <c r="Y145" s="19">
        <v>1.0</v>
      </c>
      <c r="Z145" s="19">
        <v>1.0</v>
      </c>
      <c r="AA145" s="20">
        <f t="shared" si="50"/>
        <v>25</v>
      </c>
      <c r="AB145" s="21">
        <f t="shared" si="51"/>
        <v>1</v>
      </c>
      <c r="AC145" s="2"/>
    </row>
    <row r="146">
      <c r="A146" s="17" t="s">
        <v>41</v>
      </c>
      <c r="B146" s="19">
        <v>0.0</v>
      </c>
      <c r="C146" s="19">
        <v>0.0</v>
      </c>
      <c r="D146" s="19">
        <v>0.0</v>
      </c>
      <c r="E146" s="19">
        <v>1.0</v>
      </c>
      <c r="F146" s="19">
        <v>0.0</v>
      </c>
      <c r="G146" s="19">
        <v>1.0</v>
      </c>
      <c r="H146" s="19">
        <v>1.0</v>
      </c>
      <c r="I146" s="19">
        <v>1.0</v>
      </c>
      <c r="J146" s="19">
        <v>1.0</v>
      </c>
      <c r="K146" s="19">
        <v>1.0</v>
      </c>
      <c r="L146" s="19">
        <v>1.0</v>
      </c>
      <c r="M146" s="19">
        <v>1.0</v>
      </c>
      <c r="N146" s="19">
        <v>1.0</v>
      </c>
      <c r="O146" s="19">
        <v>1.0</v>
      </c>
      <c r="P146" s="19">
        <v>1.0</v>
      </c>
      <c r="Q146" s="19">
        <v>1.0</v>
      </c>
      <c r="R146" s="19">
        <v>1.0</v>
      </c>
      <c r="S146" s="19">
        <v>1.0</v>
      </c>
      <c r="T146" s="19">
        <v>1.0</v>
      </c>
      <c r="U146" s="19">
        <v>1.0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20">
        <f t="shared" si="50"/>
        <v>16</v>
      </c>
      <c r="AB146" s="21">
        <f t="shared" si="51"/>
        <v>0.64</v>
      </c>
      <c r="AC146" s="2"/>
    </row>
    <row r="147">
      <c r="A147" s="17" t="s">
        <v>42</v>
      </c>
      <c r="B147" s="19">
        <v>1.0</v>
      </c>
      <c r="C147" s="19">
        <v>1.0</v>
      </c>
      <c r="D147" s="19">
        <v>1.0</v>
      </c>
      <c r="E147" s="19">
        <v>1.0</v>
      </c>
      <c r="F147" s="19">
        <v>1.0</v>
      </c>
      <c r="G147" s="19">
        <v>1.0</v>
      </c>
      <c r="H147" s="19">
        <v>1.0</v>
      </c>
      <c r="I147" s="19">
        <v>1.0</v>
      </c>
      <c r="J147" s="19">
        <v>1.0</v>
      </c>
      <c r="K147" s="19">
        <v>1.0</v>
      </c>
      <c r="L147" s="19">
        <v>1.0</v>
      </c>
      <c r="M147" s="19">
        <v>1.0</v>
      </c>
      <c r="N147" s="19">
        <v>1.0</v>
      </c>
      <c r="O147" s="19">
        <v>1.0</v>
      </c>
      <c r="P147" s="19">
        <v>1.0</v>
      </c>
      <c r="Q147" s="19">
        <v>1.0</v>
      </c>
      <c r="R147" s="19">
        <v>1.0</v>
      </c>
      <c r="S147" s="19">
        <v>1.0</v>
      </c>
      <c r="T147" s="19">
        <v>1.0</v>
      </c>
      <c r="U147" s="19">
        <v>1.0</v>
      </c>
      <c r="V147" s="19">
        <v>1.0</v>
      </c>
      <c r="W147" s="19">
        <v>1.0</v>
      </c>
      <c r="X147" s="19">
        <v>0.0</v>
      </c>
      <c r="Y147" s="19">
        <v>1.0</v>
      </c>
      <c r="Z147" s="19">
        <v>1.0</v>
      </c>
      <c r="AA147" s="20">
        <f t="shared" si="50"/>
        <v>24</v>
      </c>
      <c r="AB147" s="21">
        <f t="shared" si="51"/>
        <v>0.96</v>
      </c>
      <c r="AC147" s="2"/>
    </row>
    <row r="148">
      <c r="A148" s="17" t="s">
        <v>43</v>
      </c>
      <c r="B148" s="22">
        <f t="shared" ref="B148:Z148" si="52">SUM(B144:B147)</f>
        <v>3</v>
      </c>
      <c r="C148" s="22">
        <f t="shared" si="52"/>
        <v>3</v>
      </c>
      <c r="D148" s="22">
        <f t="shared" si="52"/>
        <v>3</v>
      </c>
      <c r="E148" s="22">
        <f t="shared" si="52"/>
        <v>4</v>
      </c>
      <c r="F148" s="22">
        <f t="shared" si="52"/>
        <v>2</v>
      </c>
      <c r="G148" s="22">
        <f t="shared" si="52"/>
        <v>4</v>
      </c>
      <c r="H148" s="22">
        <f t="shared" si="52"/>
        <v>4</v>
      </c>
      <c r="I148" s="22">
        <f t="shared" si="52"/>
        <v>4</v>
      </c>
      <c r="J148" s="22">
        <f t="shared" si="52"/>
        <v>4</v>
      </c>
      <c r="K148" s="22">
        <f t="shared" si="52"/>
        <v>4</v>
      </c>
      <c r="L148" s="22">
        <f t="shared" si="52"/>
        <v>4</v>
      </c>
      <c r="M148" s="22">
        <f t="shared" si="52"/>
        <v>4</v>
      </c>
      <c r="N148" s="22">
        <f t="shared" si="52"/>
        <v>4</v>
      </c>
      <c r="O148" s="22">
        <f t="shared" si="52"/>
        <v>4</v>
      </c>
      <c r="P148" s="22">
        <f t="shared" si="52"/>
        <v>4</v>
      </c>
      <c r="Q148" s="22">
        <f t="shared" si="52"/>
        <v>4</v>
      </c>
      <c r="R148" s="22">
        <f t="shared" si="52"/>
        <v>4</v>
      </c>
      <c r="S148" s="22">
        <f t="shared" si="52"/>
        <v>4</v>
      </c>
      <c r="T148" s="22">
        <f t="shared" si="52"/>
        <v>4</v>
      </c>
      <c r="U148" s="22">
        <f t="shared" si="52"/>
        <v>4</v>
      </c>
      <c r="V148" s="22">
        <f t="shared" si="52"/>
        <v>3</v>
      </c>
      <c r="W148" s="22">
        <f t="shared" si="52"/>
        <v>2</v>
      </c>
      <c r="X148" s="22">
        <f t="shared" si="52"/>
        <v>1</v>
      </c>
      <c r="Y148" s="22">
        <f t="shared" si="52"/>
        <v>2</v>
      </c>
      <c r="Z148" s="22">
        <f t="shared" si="52"/>
        <v>2</v>
      </c>
      <c r="AA148" s="20">
        <f t="shared" si="50"/>
        <v>85</v>
      </c>
      <c r="AB148" s="23"/>
      <c r="AC148" s="2"/>
    </row>
    <row r="149">
      <c r="A149" s="17" t="s">
        <v>38</v>
      </c>
      <c r="B149" s="24">
        <f t="shared" ref="B149:Z149" si="53">B148/(COUNT(B144:B147)*1)</f>
        <v>0.75</v>
      </c>
      <c r="C149" s="24">
        <f t="shared" si="53"/>
        <v>0.75</v>
      </c>
      <c r="D149" s="24">
        <f t="shared" si="53"/>
        <v>0.75</v>
      </c>
      <c r="E149" s="24">
        <f t="shared" si="53"/>
        <v>1</v>
      </c>
      <c r="F149" s="24">
        <f t="shared" si="53"/>
        <v>0.5</v>
      </c>
      <c r="G149" s="24">
        <f t="shared" si="53"/>
        <v>1</v>
      </c>
      <c r="H149" s="24">
        <f t="shared" si="53"/>
        <v>1</v>
      </c>
      <c r="I149" s="24">
        <f t="shared" si="53"/>
        <v>1</v>
      </c>
      <c r="J149" s="24">
        <f t="shared" si="53"/>
        <v>1</v>
      </c>
      <c r="K149" s="24">
        <f t="shared" si="53"/>
        <v>1</v>
      </c>
      <c r="L149" s="24">
        <f t="shared" si="53"/>
        <v>1</v>
      </c>
      <c r="M149" s="24">
        <f t="shared" si="53"/>
        <v>1</v>
      </c>
      <c r="N149" s="24">
        <f t="shared" si="53"/>
        <v>1</v>
      </c>
      <c r="O149" s="24">
        <f t="shared" si="53"/>
        <v>1</v>
      </c>
      <c r="P149" s="24">
        <f t="shared" si="53"/>
        <v>1</v>
      </c>
      <c r="Q149" s="24">
        <f t="shared" si="53"/>
        <v>1</v>
      </c>
      <c r="R149" s="24">
        <f t="shared" si="53"/>
        <v>1</v>
      </c>
      <c r="S149" s="24">
        <f t="shared" si="53"/>
        <v>1</v>
      </c>
      <c r="T149" s="24">
        <f t="shared" si="53"/>
        <v>1</v>
      </c>
      <c r="U149" s="24">
        <f t="shared" si="53"/>
        <v>1</v>
      </c>
      <c r="V149" s="24">
        <f t="shared" si="53"/>
        <v>0.75</v>
      </c>
      <c r="W149" s="24">
        <f t="shared" si="53"/>
        <v>0.5</v>
      </c>
      <c r="X149" s="24">
        <f t="shared" si="53"/>
        <v>0.25</v>
      </c>
      <c r="Y149" s="24">
        <f t="shared" si="53"/>
        <v>0.5</v>
      </c>
      <c r="Z149" s="24">
        <f t="shared" si="53"/>
        <v>0.5</v>
      </c>
      <c r="AA149" s="25"/>
      <c r="AB149" s="26">
        <f>SUM(AB144:AB147)/4</f>
        <v>0.85</v>
      </c>
      <c r="AC149" s="2"/>
    </row>
    <row r="150">
      <c r="A150" s="27" t="s">
        <v>75</v>
      </c>
      <c r="B150" s="28"/>
      <c r="C150" s="29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30">
        <f t="shared" ref="AA150:AA152" si="54">SUM(B150:Z150)</f>
        <v>0</v>
      </c>
      <c r="AB150" s="31"/>
      <c r="AC150" s="2"/>
    </row>
    <row r="151">
      <c r="A151" s="32" t="s">
        <v>45</v>
      </c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28"/>
      <c r="W151" s="28"/>
      <c r="X151" s="28"/>
      <c r="Y151" s="28"/>
      <c r="Z151" s="28"/>
      <c r="AA151" s="30">
        <f t="shared" si="54"/>
        <v>0</v>
      </c>
      <c r="AB151" s="31"/>
      <c r="AC151" s="9"/>
    </row>
    <row r="152">
      <c r="A152" s="34" t="s">
        <v>46</v>
      </c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28"/>
      <c r="W152" s="28"/>
      <c r="X152" s="28"/>
      <c r="Y152" s="28"/>
      <c r="Z152" s="28"/>
      <c r="AA152" s="30">
        <f t="shared" si="54"/>
        <v>0</v>
      </c>
      <c r="AB152" s="31"/>
      <c r="AC152" s="9"/>
    </row>
    <row r="153">
      <c r="A153" s="35" t="s">
        <v>47</v>
      </c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7"/>
      <c r="AA153" s="38"/>
      <c r="AB153" s="39"/>
      <c r="AC153" s="2"/>
    </row>
    <row r="154">
      <c r="A154" s="40" t="s">
        <v>48</v>
      </c>
      <c r="B154" s="41"/>
      <c r="C154" s="42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3"/>
      <c r="W154" s="43"/>
      <c r="X154" s="43"/>
      <c r="Y154" s="43"/>
      <c r="Z154" s="43"/>
      <c r="AA154" s="44">
        <f t="shared" ref="AA154:AA155" si="55">SUM(B154:Z154)</f>
        <v>0</v>
      </c>
      <c r="AB154" s="31"/>
      <c r="AC154" s="2"/>
    </row>
    <row r="155">
      <c r="A155" s="40" t="s">
        <v>49</v>
      </c>
      <c r="B155" s="41"/>
      <c r="C155" s="42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3"/>
      <c r="W155" s="43"/>
      <c r="X155" s="43"/>
      <c r="Y155" s="43"/>
      <c r="Z155" s="43"/>
      <c r="AA155" s="44">
        <f t="shared" si="55"/>
        <v>0</v>
      </c>
      <c r="AB155" s="31"/>
      <c r="AC155" s="2"/>
    </row>
    <row r="156">
      <c r="A156" s="40" t="s">
        <v>50</v>
      </c>
      <c r="B156" s="42"/>
      <c r="C156" s="42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3"/>
      <c r="W156" s="43"/>
      <c r="X156" s="43"/>
      <c r="Y156" s="43"/>
      <c r="Z156" s="43"/>
      <c r="AA156" s="44" t="str">
        <f>AVERAGE(B156:Z156)</f>
        <v>#DIV/0!</v>
      </c>
      <c r="AB156" s="31"/>
      <c r="AC156" s="2"/>
    </row>
    <row r="157">
      <c r="A157" s="45" t="s">
        <v>51</v>
      </c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7"/>
      <c r="AA157" s="46"/>
      <c r="AB157" s="39"/>
      <c r="AC157" s="2"/>
    </row>
    <row r="158">
      <c r="A158" s="47" t="s">
        <v>48</v>
      </c>
      <c r="B158" s="48"/>
      <c r="C158" s="49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50"/>
      <c r="W158" s="50"/>
      <c r="X158" s="50"/>
      <c r="Y158" s="50"/>
      <c r="Z158" s="50"/>
      <c r="AA158" s="51">
        <f t="shared" ref="AA158:AA159" si="56">SUM(B158:Z158)</f>
        <v>0</v>
      </c>
      <c r="AB158" s="31"/>
      <c r="AC158" s="2"/>
    </row>
    <row r="159">
      <c r="A159" s="47" t="s">
        <v>49</v>
      </c>
      <c r="B159" s="48"/>
      <c r="C159" s="49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50"/>
      <c r="W159" s="50"/>
      <c r="X159" s="50"/>
      <c r="Y159" s="50"/>
      <c r="Z159" s="50"/>
      <c r="AA159" s="51">
        <f t="shared" si="56"/>
        <v>0</v>
      </c>
      <c r="AB159" s="31"/>
      <c r="AC159" s="2"/>
    </row>
    <row r="160">
      <c r="A160" s="47" t="s">
        <v>50</v>
      </c>
      <c r="B160" s="49"/>
      <c r="C160" s="49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50"/>
      <c r="W160" s="50"/>
      <c r="X160" s="50"/>
      <c r="Y160" s="50"/>
      <c r="Z160" s="50"/>
      <c r="AA160" s="51" t="str">
        <f>AVERAGE(B160:Z160)</f>
        <v>#DIV/0!</v>
      </c>
      <c r="AB160" s="31"/>
      <c r="AC160" s="2"/>
    </row>
    <row r="161">
      <c r="A161" s="52" t="s">
        <v>53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7"/>
      <c r="AA161" s="38"/>
      <c r="AB161" s="39"/>
      <c r="AC161" s="2"/>
    </row>
    <row r="162">
      <c r="A162" s="40" t="s">
        <v>48</v>
      </c>
      <c r="B162" s="41"/>
      <c r="C162" s="42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3"/>
      <c r="W162" s="43"/>
      <c r="X162" s="43"/>
      <c r="Y162" s="43"/>
      <c r="Z162" s="43"/>
      <c r="AA162" s="44">
        <f t="shared" ref="AA162:AA163" si="57">SUM(B162:Z162)</f>
        <v>0</v>
      </c>
      <c r="AB162" s="31"/>
      <c r="AC162" s="2"/>
    </row>
    <row r="163">
      <c r="A163" s="40" t="s">
        <v>49</v>
      </c>
      <c r="B163" s="41"/>
      <c r="C163" s="42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3"/>
      <c r="W163" s="43"/>
      <c r="X163" s="43"/>
      <c r="Y163" s="43"/>
      <c r="Z163" s="43"/>
      <c r="AA163" s="44">
        <f t="shared" si="57"/>
        <v>0</v>
      </c>
      <c r="AB163" s="31"/>
      <c r="AC163" s="2"/>
    </row>
    <row r="164">
      <c r="A164" s="53" t="s">
        <v>50</v>
      </c>
      <c r="B164" s="54"/>
      <c r="C164" s="54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6"/>
      <c r="W164" s="56"/>
      <c r="X164" s="56"/>
      <c r="Y164" s="56"/>
      <c r="Z164" s="56"/>
      <c r="AA164" s="57" t="str">
        <f>AVERAGE(B164:Z164)</f>
        <v>#DIV/0!</v>
      </c>
      <c r="AB164" s="58"/>
      <c r="AC164" s="2"/>
    </row>
    <row r="165">
      <c r="A165" s="9"/>
      <c r="B165" s="9"/>
      <c r="C165" s="9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13">
        <v>45973.0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5" t="s">
        <v>37</v>
      </c>
      <c r="AB166" s="16" t="s">
        <v>38</v>
      </c>
      <c r="AC166" s="2"/>
    </row>
    <row r="167">
      <c r="A167" s="17" t="s">
        <v>39</v>
      </c>
      <c r="B167" s="182">
        <v>1.0</v>
      </c>
      <c r="C167" s="182">
        <v>1.0</v>
      </c>
      <c r="D167" s="182">
        <v>1.0</v>
      </c>
      <c r="E167" s="182">
        <v>1.0</v>
      </c>
      <c r="F167" s="182">
        <v>1.0</v>
      </c>
      <c r="G167" s="182">
        <v>1.0</v>
      </c>
      <c r="H167" s="182">
        <v>1.0</v>
      </c>
      <c r="I167" s="182">
        <v>1.0</v>
      </c>
      <c r="J167" s="182">
        <v>1.0</v>
      </c>
      <c r="K167" s="182">
        <v>1.0</v>
      </c>
      <c r="L167" s="183">
        <v>0.0</v>
      </c>
      <c r="M167" s="183">
        <v>0.0</v>
      </c>
      <c r="N167" s="183">
        <v>0.0</v>
      </c>
      <c r="O167" s="182">
        <v>1.0</v>
      </c>
      <c r="P167" s="182">
        <v>1.0</v>
      </c>
      <c r="Q167" s="19">
        <v>1.0</v>
      </c>
      <c r="R167" s="19">
        <v>1.0</v>
      </c>
      <c r="S167" s="19">
        <v>1.0</v>
      </c>
      <c r="T167" s="19">
        <v>1.0</v>
      </c>
      <c r="U167" s="19">
        <v>1.0</v>
      </c>
      <c r="V167" s="19">
        <v>1.0</v>
      </c>
      <c r="W167" s="19">
        <v>1.0</v>
      </c>
      <c r="X167" s="19">
        <v>1.0</v>
      </c>
      <c r="Y167" s="18"/>
      <c r="Z167" s="18"/>
      <c r="AA167" s="20">
        <f t="shared" ref="AA167:AA171" si="58">SUM(B167:Z167)</f>
        <v>20</v>
      </c>
      <c r="AB167" s="21">
        <f t="shared" ref="AB167:AB170" si="59">AA167/(COUNT(B167:Z167)*1)</f>
        <v>0.8695652174</v>
      </c>
      <c r="AC167" s="2"/>
    </row>
    <row r="168">
      <c r="A168" s="17" t="s">
        <v>40</v>
      </c>
      <c r="B168" s="182">
        <v>1.0</v>
      </c>
      <c r="C168" s="182">
        <v>1.0</v>
      </c>
      <c r="D168" s="182">
        <v>1.0</v>
      </c>
      <c r="E168" s="182">
        <v>1.0</v>
      </c>
      <c r="F168" s="182">
        <v>1.0</v>
      </c>
      <c r="G168" s="182">
        <v>1.0</v>
      </c>
      <c r="H168" s="182">
        <v>1.0</v>
      </c>
      <c r="I168" s="182">
        <v>1.0</v>
      </c>
      <c r="J168" s="182">
        <v>1.0</v>
      </c>
      <c r="K168" s="182">
        <v>1.0</v>
      </c>
      <c r="L168" s="182">
        <v>1.0</v>
      </c>
      <c r="M168" s="182">
        <v>1.0</v>
      </c>
      <c r="N168" s="182">
        <v>1.0</v>
      </c>
      <c r="O168" s="182">
        <v>1.0</v>
      </c>
      <c r="P168" s="182">
        <v>1.0</v>
      </c>
      <c r="Q168" s="19">
        <v>1.0</v>
      </c>
      <c r="R168" s="19">
        <v>1.0</v>
      </c>
      <c r="S168" s="19">
        <v>1.0</v>
      </c>
      <c r="T168" s="19">
        <v>1.0</v>
      </c>
      <c r="U168" s="19">
        <v>1.0</v>
      </c>
      <c r="V168" s="19">
        <v>1.0</v>
      </c>
      <c r="W168" s="19">
        <v>1.0</v>
      </c>
      <c r="X168" s="19">
        <v>1.0</v>
      </c>
      <c r="Y168" s="18"/>
      <c r="Z168" s="18"/>
      <c r="AA168" s="20">
        <f t="shared" si="58"/>
        <v>23</v>
      </c>
      <c r="AB168" s="21">
        <f t="shared" si="59"/>
        <v>1</v>
      </c>
      <c r="AC168" s="2"/>
    </row>
    <row r="169">
      <c r="A169" s="17" t="s">
        <v>41</v>
      </c>
      <c r="B169" s="182">
        <v>1.0</v>
      </c>
      <c r="C169" s="182">
        <v>1.0</v>
      </c>
      <c r="D169" s="182">
        <v>1.0</v>
      </c>
      <c r="E169" s="182">
        <v>1.0</v>
      </c>
      <c r="F169" s="182">
        <v>1.0</v>
      </c>
      <c r="G169" s="182">
        <v>1.0</v>
      </c>
      <c r="H169" s="182">
        <v>1.0</v>
      </c>
      <c r="I169" s="182">
        <v>1.0</v>
      </c>
      <c r="J169" s="182">
        <v>1.0</v>
      </c>
      <c r="K169" s="182">
        <v>1.0</v>
      </c>
      <c r="L169" s="182">
        <v>1.0</v>
      </c>
      <c r="M169" s="182">
        <v>1.0</v>
      </c>
      <c r="N169" s="182">
        <v>1.0</v>
      </c>
      <c r="O169" s="182">
        <v>1.0</v>
      </c>
      <c r="P169" s="182">
        <v>1.0</v>
      </c>
      <c r="Q169" s="19">
        <v>1.0</v>
      </c>
      <c r="R169" s="19">
        <v>1.0</v>
      </c>
      <c r="S169" s="19">
        <v>1.0</v>
      </c>
      <c r="T169" s="19">
        <v>1.0</v>
      </c>
      <c r="U169" s="19">
        <v>1.0</v>
      </c>
      <c r="V169" s="19">
        <v>1.0</v>
      </c>
      <c r="W169" s="19">
        <v>1.0</v>
      </c>
      <c r="X169" s="19">
        <v>1.0</v>
      </c>
      <c r="Y169" s="18"/>
      <c r="Z169" s="18"/>
      <c r="AA169" s="20">
        <f t="shared" si="58"/>
        <v>23</v>
      </c>
      <c r="AB169" s="21">
        <f t="shared" si="59"/>
        <v>1</v>
      </c>
      <c r="AC169" s="2"/>
    </row>
    <row r="170">
      <c r="A170" s="17" t="s">
        <v>42</v>
      </c>
      <c r="B170" s="182">
        <v>1.0</v>
      </c>
      <c r="C170" s="182">
        <v>1.0</v>
      </c>
      <c r="D170" s="182">
        <v>1.0</v>
      </c>
      <c r="E170" s="182">
        <v>1.0</v>
      </c>
      <c r="F170" s="182">
        <v>1.0</v>
      </c>
      <c r="G170" s="182">
        <v>1.0</v>
      </c>
      <c r="H170" s="182">
        <v>1.0</v>
      </c>
      <c r="I170" s="182">
        <v>1.0</v>
      </c>
      <c r="J170" s="182">
        <v>1.0</v>
      </c>
      <c r="K170" s="183">
        <v>0.0</v>
      </c>
      <c r="L170" s="183">
        <v>0.0</v>
      </c>
      <c r="M170" s="183">
        <v>0.0</v>
      </c>
      <c r="N170" s="182">
        <v>1.0</v>
      </c>
      <c r="O170" s="182">
        <v>1.0</v>
      </c>
      <c r="P170" s="182">
        <v>1.0</v>
      </c>
      <c r="Q170" s="19">
        <v>1.0</v>
      </c>
      <c r="R170" s="19">
        <v>1.0</v>
      </c>
      <c r="S170" s="19">
        <v>1.0</v>
      </c>
      <c r="T170" s="19">
        <v>1.0</v>
      </c>
      <c r="U170" s="19">
        <v>1.0</v>
      </c>
      <c r="V170" s="19">
        <v>1.0</v>
      </c>
      <c r="W170" s="19">
        <v>1.0</v>
      </c>
      <c r="X170" s="19">
        <v>1.0</v>
      </c>
      <c r="Y170" s="18"/>
      <c r="Z170" s="18"/>
      <c r="AA170" s="20">
        <f t="shared" si="58"/>
        <v>20</v>
      </c>
      <c r="AB170" s="21">
        <f t="shared" si="59"/>
        <v>0.8695652174</v>
      </c>
      <c r="AC170" s="2"/>
    </row>
    <row r="171">
      <c r="A171" s="17" t="s">
        <v>43</v>
      </c>
      <c r="B171" s="22">
        <f t="shared" ref="B171:Z171" si="60">SUM(B167:B170)</f>
        <v>4</v>
      </c>
      <c r="C171" s="22">
        <f t="shared" si="60"/>
        <v>4</v>
      </c>
      <c r="D171" s="22">
        <f t="shared" si="60"/>
        <v>4</v>
      </c>
      <c r="E171" s="22">
        <f t="shared" si="60"/>
        <v>4</v>
      </c>
      <c r="F171" s="22">
        <f t="shared" si="60"/>
        <v>4</v>
      </c>
      <c r="G171" s="22">
        <f t="shared" si="60"/>
        <v>4</v>
      </c>
      <c r="H171" s="22">
        <f t="shared" si="60"/>
        <v>4</v>
      </c>
      <c r="I171" s="22">
        <f t="shared" si="60"/>
        <v>4</v>
      </c>
      <c r="J171" s="22">
        <f t="shared" si="60"/>
        <v>4</v>
      </c>
      <c r="K171" s="22">
        <f t="shared" si="60"/>
        <v>3</v>
      </c>
      <c r="L171" s="22">
        <f t="shared" si="60"/>
        <v>2</v>
      </c>
      <c r="M171" s="22">
        <f t="shared" si="60"/>
        <v>2</v>
      </c>
      <c r="N171" s="22">
        <f t="shared" si="60"/>
        <v>3</v>
      </c>
      <c r="O171" s="22">
        <f t="shared" si="60"/>
        <v>4</v>
      </c>
      <c r="P171" s="22">
        <f t="shared" si="60"/>
        <v>4</v>
      </c>
      <c r="Q171" s="22">
        <f t="shared" si="60"/>
        <v>4</v>
      </c>
      <c r="R171" s="22">
        <f t="shared" si="60"/>
        <v>4</v>
      </c>
      <c r="S171" s="22">
        <f t="shared" si="60"/>
        <v>4</v>
      </c>
      <c r="T171" s="22">
        <f t="shared" si="60"/>
        <v>4</v>
      </c>
      <c r="U171" s="22">
        <f t="shared" si="60"/>
        <v>4</v>
      </c>
      <c r="V171" s="22">
        <f t="shared" si="60"/>
        <v>4</v>
      </c>
      <c r="W171" s="22">
        <f t="shared" si="60"/>
        <v>4</v>
      </c>
      <c r="X171" s="22">
        <f t="shared" si="60"/>
        <v>4</v>
      </c>
      <c r="Y171" s="22">
        <f t="shared" si="60"/>
        <v>0</v>
      </c>
      <c r="Z171" s="22">
        <f t="shared" si="60"/>
        <v>0</v>
      </c>
      <c r="AA171" s="20">
        <f t="shared" si="58"/>
        <v>86</v>
      </c>
      <c r="AB171" s="23"/>
      <c r="AC171" s="2"/>
    </row>
    <row r="172">
      <c r="A172" s="17" t="s">
        <v>38</v>
      </c>
      <c r="B172" s="24">
        <f t="shared" ref="B172:Z172" si="61">B171/(COUNT(B167:B170)*1)</f>
        <v>1</v>
      </c>
      <c r="C172" s="24">
        <f t="shared" si="61"/>
        <v>1</v>
      </c>
      <c r="D172" s="24">
        <f t="shared" si="61"/>
        <v>1</v>
      </c>
      <c r="E172" s="24">
        <f t="shared" si="61"/>
        <v>1</v>
      </c>
      <c r="F172" s="24">
        <f t="shared" si="61"/>
        <v>1</v>
      </c>
      <c r="G172" s="24">
        <f t="shared" si="61"/>
        <v>1</v>
      </c>
      <c r="H172" s="24">
        <f t="shared" si="61"/>
        <v>1</v>
      </c>
      <c r="I172" s="24">
        <f t="shared" si="61"/>
        <v>1</v>
      </c>
      <c r="J172" s="24">
        <f t="shared" si="61"/>
        <v>1</v>
      </c>
      <c r="K172" s="24">
        <f t="shared" si="61"/>
        <v>0.75</v>
      </c>
      <c r="L172" s="24">
        <f t="shared" si="61"/>
        <v>0.5</v>
      </c>
      <c r="M172" s="24">
        <f t="shared" si="61"/>
        <v>0.5</v>
      </c>
      <c r="N172" s="24">
        <f t="shared" si="61"/>
        <v>0.75</v>
      </c>
      <c r="O172" s="24">
        <f t="shared" si="61"/>
        <v>1</v>
      </c>
      <c r="P172" s="24">
        <f t="shared" si="61"/>
        <v>1</v>
      </c>
      <c r="Q172" s="24">
        <f t="shared" si="61"/>
        <v>1</v>
      </c>
      <c r="R172" s="24">
        <f t="shared" si="61"/>
        <v>1</v>
      </c>
      <c r="S172" s="24">
        <f t="shared" si="61"/>
        <v>1</v>
      </c>
      <c r="T172" s="24">
        <f t="shared" si="61"/>
        <v>1</v>
      </c>
      <c r="U172" s="24">
        <f t="shared" si="61"/>
        <v>1</v>
      </c>
      <c r="V172" s="24">
        <f t="shared" si="61"/>
        <v>1</v>
      </c>
      <c r="W172" s="24">
        <f t="shared" si="61"/>
        <v>1</v>
      </c>
      <c r="X172" s="24">
        <f t="shared" si="61"/>
        <v>1</v>
      </c>
      <c r="Y172" s="24" t="str">
        <f t="shared" si="61"/>
        <v>#DIV/0!</v>
      </c>
      <c r="Z172" s="24" t="str">
        <f t="shared" si="61"/>
        <v>#DIV/0!</v>
      </c>
      <c r="AA172" s="25"/>
      <c r="AB172" s="26">
        <f>SUM(AB167:AB170)/4</f>
        <v>0.9347826087</v>
      </c>
      <c r="AC172" s="2"/>
    </row>
    <row r="173">
      <c r="A173" s="27" t="s">
        <v>75</v>
      </c>
      <c r="B173" s="28"/>
      <c r="C173" s="29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30">
        <f t="shared" ref="AA173:AA175" si="62">SUM(B173:Z173)</f>
        <v>0</v>
      </c>
      <c r="AB173" s="31"/>
      <c r="AC173" s="2"/>
    </row>
    <row r="174">
      <c r="A174" s="32" t="s">
        <v>45</v>
      </c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28"/>
      <c r="W174" s="28"/>
      <c r="X174" s="28"/>
      <c r="Y174" s="28"/>
      <c r="Z174" s="28"/>
      <c r="AA174" s="30">
        <f t="shared" si="62"/>
        <v>0</v>
      </c>
      <c r="AB174" s="31"/>
      <c r="AC174" s="9"/>
    </row>
    <row r="175">
      <c r="A175" s="34" t="s">
        <v>46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28"/>
      <c r="W175" s="28"/>
      <c r="X175" s="28"/>
      <c r="Y175" s="28"/>
      <c r="Z175" s="28"/>
      <c r="AA175" s="30">
        <f t="shared" si="62"/>
        <v>0</v>
      </c>
      <c r="AB175" s="31"/>
      <c r="AC175" s="9"/>
    </row>
    <row r="176">
      <c r="A176" s="35" t="s">
        <v>47</v>
      </c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7"/>
      <c r="AA176" s="38"/>
      <c r="AB176" s="39"/>
      <c r="AC176" s="2"/>
    </row>
    <row r="177">
      <c r="A177" s="40" t="s">
        <v>48</v>
      </c>
      <c r="B177" s="41"/>
      <c r="C177" s="42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3"/>
      <c r="W177" s="43"/>
      <c r="X177" s="43"/>
      <c r="Y177" s="43"/>
      <c r="Z177" s="43"/>
      <c r="AA177" s="44">
        <f t="shared" ref="AA177:AA178" si="63">SUM(B177:Z177)</f>
        <v>0</v>
      </c>
      <c r="AB177" s="31"/>
      <c r="AC177" s="2"/>
    </row>
    <row r="178">
      <c r="A178" s="40" t="s">
        <v>49</v>
      </c>
      <c r="B178" s="41"/>
      <c r="C178" s="42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3"/>
      <c r="W178" s="43"/>
      <c r="X178" s="43"/>
      <c r="Y178" s="43"/>
      <c r="Z178" s="43"/>
      <c r="AA178" s="44">
        <f t="shared" si="63"/>
        <v>0</v>
      </c>
      <c r="AB178" s="31"/>
      <c r="AC178" s="2"/>
    </row>
    <row r="179">
      <c r="A179" s="40" t="s">
        <v>50</v>
      </c>
      <c r="B179" s="42"/>
      <c r="C179" s="42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3"/>
      <c r="W179" s="43"/>
      <c r="X179" s="43"/>
      <c r="Y179" s="43"/>
      <c r="Z179" s="43"/>
      <c r="AA179" s="44" t="str">
        <f>AVERAGE(B179:Z179)</f>
        <v>#DIV/0!</v>
      </c>
      <c r="AB179" s="31"/>
      <c r="AC179" s="2"/>
    </row>
    <row r="180">
      <c r="A180" s="45" t="s">
        <v>51</v>
      </c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7"/>
      <c r="AA180" s="46"/>
      <c r="AB180" s="39"/>
      <c r="AC180" s="2"/>
    </row>
    <row r="181">
      <c r="A181" s="47" t="s">
        <v>48</v>
      </c>
      <c r="B181" s="48"/>
      <c r="C181" s="49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50"/>
      <c r="W181" s="50"/>
      <c r="X181" s="50"/>
      <c r="Y181" s="50"/>
      <c r="Z181" s="50"/>
      <c r="AA181" s="51">
        <f t="shared" ref="AA181:AA182" si="64">SUM(B181:Z181)</f>
        <v>0</v>
      </c>
      <c r="AB181" s="31"/>
      <c r="AC181" s="2"/>
    </row>
    <row r="182">
      <c r="A182" s="47" t="s">
        <v>49</v>
      </c>
      <c r="B182" s="48"/>
      <c r="C182" s="49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50"/>
      <c r="W182" s="50"/>
      <c r="X182" s="50"/>
      <c r="Y182" s="50"/>
      <c r="Z182" s="50"/>
      <c r="AA182" s="51">
        <f t="shared" si="64"/>
        <v>0</v>
      </c>
      <c r="AB182" s="31"/>
      <c r="AC182" s="2"/>
    </row>
    <row r="183">
      <c r="A183" s="47" t="s">
        <v>50</v>
      </c>
      <c r="B183" s="49"/>
      <c r="C183" s="49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50"/>
      <c r="W183" s="50"/>
      <c r="X183" s="50"/>
      <c r="Y183" s="50"/>
      <c r="Z183" s="50"/>
      <c r="AA183" s="51" t="str">
        <f>AVERAGE(B183:Z183)</f>
        <v>#DIV/0!</v>
      </c>
      <c r="AB183" s="31"/>
      <c r="AC183" s="2"/>
    </row>
    <row r="184">
      <c r="A184" s="52" t="s">
        <v>53</v>
      </c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7"/>
      <c r="AA184" s="38"/>
      <c r="AB184" s="39"/>
      <c r="AC184" s="2"/>
    </row>
    <row r="185">
      <c r="A185" s="40" t="s">
        <v>48</v>
      </c>
      <c r="B185" s="41"/>
      <c r="C185" s="42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3"/>
      <c r="W185" s="43"/>
      <c r="X185" s="43"/>
      <c r="Y185" s="43"/>
      <c r="Z185" s="43"/>
      <c r="AA185" s="44">
        <f t="shared" ref="AA185:AA186" si="65">SUM(B185:Z185)</f>
        <v>0</v>
      </c>
      <c r="AB185" s="31"/>
      <c r="AC185" s="2"/>
    </row>
    <row r="186">
      <c r="A186" s="40" t="s">
        <v>49</v>
      </c>
      <c r="B186" s="41"/>
      <c r="C186" s="42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3"/>
      <c r="W186" s="43"/>
      <c r="X186" s="43"/>
      <c r="Y186" s="43"/>
      <c r="Z186" s="43"/>
      <c r="AA186" s="44">
        <f t="shared" si="65"/>
        <v>0</v>
      </c>
      <c r="AB186" s="31"/>
      <c r="AC186" s="2"/>
    </row>
    <row r="187">
      <c r="A187" s="53" t="s">
        <v>50</v>
      </c>
      <c r="B187" s="54"/>
      <c r="C187" s="54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6"/>
      <c r="W187" s="56"/>
      <c r="X187" s="56"/>
      <c r="Y187" s="56"/>
      <c r="Z187" s="56"/>
      <c r="AA187" s="57" t="str">
        <f>AVERAGE(B187:Z187)</f>
        <v>#DIV/0!</v>
      </c>
      <c r="AB187" s="58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59"/>
      <c r="AB188" s="59"/>
      <c r="AC188" s="2"/>
    </row>
    <row r="189">
      <c r="A189" s="13">
        <v>45974.0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5" t="s">
        <v>37</v>
      </c>
      <c r="AB189" s="16" t="s">
        <v>38</v>
      </c>
      <c r="AC189" s="2"/>
    </row>
    <row r="190">
      <c r="A190" s="17" t="s">
        <v>39</v>
      </c>
      <c r="B190" s="19">
        <v>1.0</v>
      </c>
      <c r="C190" s="19">
        <v>1.0</v>
      </c>
      <c r="D190" s="19">
        <v>1.0</v>
      </c>
      <c r="E190" s="19">
        <v>1.0</v>
      </c>
      <c r="F190" s="19">
        <v>1.0</v>
      </c>
      <c r="G190" s="19">
        <v>1.0</v>
      </c>
      <c r="H190" s="19">
        <v>1.0</v>
      </c>
      <c r="I190" s="19">
        <v>1.0</v>
      </c>
      <c r="J190" s="19">
        <v>1.0</v>
      </c>
      <c r="K190" s="19">
        <v>0.0</v>
      </c>
      <c r="L190" s="19">
        <v>0.0</v>
      </c>
      <c r="M190" s="19">
        <v>0.0</v>
      </c>
      <c r="N190" s="19">
        <v>0.0</v>
      </c>
      <c r="O190" s="19">
        <v>1.0</v>
      </c>
      <c r="P190" s="19">
        <v>1.0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8"/>
      <c r="Z190" s="18"/>
      <c r="AA190" s="20">
        <f t="shared" ref="AA190:AA194" si="66">SUM(B190:Z190)</f>
        <v>11</v>
      </c>
      <c r="AB190" s="21">
        <f t="shared" ref="AB190:AB193" si="67">AA190/(COUNT(B190:Z190)*1)</f>
        <v>0.4782608696</v>
      </c>
      <c r="AC190" s="2"/>
    </row>
    <row r="191">
      <c r="A191" s="17" t="s">
        <v>40</v>
      </c>
      <c r="B191" s="19">
        <v>1.0</v>
      </c>
      <c r="C191" s="19">
        <v>1.0</v>
      </c>
      <c r="D191" s="19">
        <v>1.0</v>
      </c>
      <c r="E191" s="19">
        <v>1.0</v>
      </c>
      <c r="F191" s="19">
        <v>1.0</v>
      </c>
      <c r="G191" s="19">
        <v>1.0</v>
      </c>
      <c r="H191" s="19">
        <v>1.0</v>
      </c>
      <c r="I191" s="19">
        <v>1.0</v>
      </c>
      <c r="J191" s="19">
        <v>1.0</v>
      </c>
      <c r="K191" s="19">
        <v>1.0</v>
      </c>
      <c r="L191" s="19">
        <v>1.0</v>
      </c>
      <c r="M191" s="19">
        <v>1.0</v>
      </c>
      <c r="N191" s="19">
        <v>1.0</v>
      </c>
      <c r="O191" s="19">
        <v>1.0</v>
      </c>
      <c r="P191" s="19">
        <v>1.0</v>
      </c>
      <c r="Q191" s="19">
        <v>0.0</v>
      </c>
      <c r="R191" s="19">
        <v>1.0</v>
      </c>
      <c r="S191" s="19">
        <v>1.0</v>
      </c>
      <c r="T191" s="19">
        <v>1.0</v>
      </c>
      <c r="U191" s="19">
        <v>1.0</v>
      </c>
      <c r="V191" s="19">
        <v>1.0</v>
      </c>
      <c r="W191" s="19">
        <v>1.0</v>
      </c>
      <c r="X191" s="19">
        <v>1.0</v>
      </c>
      <c r="Y191" s="18"/>
      <c r="Z191" s="18"/>
      <c r="AA191" s="20">
        <f t="shared" si="66"/>
        <v>22</v>
      </c>
      <c r="AB191" s="21">
        <f t="shared" si="67"/>
        <v>0.9565217391</v>
      </c>
      <c r="AC191" s="2"/>
    </row>
    <row r="192">
      <c r="A192" s="17" t="s">
        <v>41</v>
      </c>
      <c r="B192" s="19">
        <v>1.0</v>
      </c>
      <c r="C192" s="19">
        <v>1.0</v>
      </c>
      <c r="D192" s="19">
        <v>1.0</v>
      </c>
      <c r="E192" s="19">
        <v>1.0</v>
      </c>
      <c r="F192" s="19">
        <v>1.0</v>
      </c>
      <c r="G192" s="19">
        <v>1.0</v>
      </c>
      <c r="H192" s="19">
        <v>1.0</v>
      </c>
      <c r="I192" s="19">
        <v>1.0</v>
      </c>
      <c r="J192" s="19">
        <v>1.0</v>
      </c>
      <c r="K192" s="19">
        <v>0.0</v>
      </c>
      <c r="L192" s="19">
        <v>0.0</v>
      </c>
      <c r="M192" s="19">
        <v>0.0</v>
      </c>
      <c r="N192" s="19">
        <v>0.0</v>
      </c>
      <c r="O192" s="19">
        <v>1.0</v>
      </c>
      <c r="P192" s="19">
        <v>1.0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8"/>
      <c r="Z192" s="18"/>
      <c r="AA192" s="20">
        <f t="shared" si="66"/>
        <v>11</v>
      </c>
      <c r="AB192" s="21">
        <f t="shared" si="67"/>
        <v>0.4782608696</v>
      </c>
      <c r="AC192" s="2"/>
    </row>
    <row r="193">
      <c r="A193" s="17" t="s">
        <v>42</v>
      </c>
      <c r="B193" s="19">
        <v>1.0</v>
      </c>
      <c r="C193" s="19">
        <v>1.0</v>
      </c>
      <c r="D193" s="19">
        <v>1.0</v>
      </c>
      <c r="E193" s="19">
        <v>1.0</v>
      </c>
      <c r="F193" s="19">
        <v>1.0</v>
      </c>
      <c r="G193" s="19">
        <v>1.0</v>
      </c>
      <c r="H193" s="19">
        <v>1.0</v>
      </c>
      <c r="I193" s="19">
        <v>1.0</v>
      </c>
      <c r="J193" s="19">
        <v>1.0</v>
      </c>
      <c r="K193" s="19">
        <v>1.0</v>
      </c>
      <c r="L193" s="19">
        <v>1.0</v>
      </c>
      <c r="M193" s="19">
        <v>1.0</v>
      </c>
      <c r="N193" s="19">
        <v>1.0</v>
      </c>
      <c r="O193" s="19">
        <v>1.0</v>
      </c>
      <c r="P193" s="19">
        <v>1.0</v>
      </c>
      <c r="Q193" s="19">
        <v>0.0</v>
      </c>
      <c r="R193" s="19">
        <v>1.0</v>
      </c>
      <c r="S193" s="19">
        <v>1.0</v>
      </c>
      <c r="T193" s="19">
        <v>1.0</v>
      </c>
      <c r="U193" s="19">
        <v>1.0</v>
      </c>
      <c r="V193" s="19">
        <v>1.0</v>
      </c>
      <c r="W193" s="19">
        <v>1.0</v>
      </c>
      <c r="X193" s="19">
        <v>1.0</v>
      </c>
      <c r="Y193" s="18"/>
      <c r="Z193" s="18"/>
      <c r="AA193" s="20">
        <f t="shared" si="66"/>
        <v>22</v>
      </c>
      <c r="AB193" s="21">
        <f t="shared" si="67"/>
        <v>0.9565217391</v>
      </c>
      <c r="AC193" s="2"/>
    </row>
    <row r="194">
      <c r="A194" s="17" t="s">
        <v>43</v>
      </c>
      <c r="B194" s="22">
        <f t="shared" ref="B194:Z194" si="68">SUM(B190:B193)</f>
        <v>4</v>
      </c>
      <c r="C194" s="22">
        <f t="shared" si="68"/>
        <v>4</v>
      </c>
      <c r="D194" s="22">
        <f t="shared" si="68"/>
        <v>4</v>
      </c>
      <c r="E194" s="22">
        <f t="shared" si="68"/>
        <v>4</v>
      </c>
      <c r="F194" s="22">
        <f t="shared" si="68"/>
        <v>4</v>
      </c>
      <c r="G194" s="22">
        <f t="shared" si="68"/>
        <v>4</v>
      </c>
      <c r="H194" s="22">
        <f t="shared" si="68"/>
        <v>4</v>
      </c>
      <c r="I194" s="22">
        <f t="shared" si="68"/>
        <v>4</v>
      </c>
      <c r="J194" s="22">
        <f t="shared" si="68"/>
        <v>4</v>
      </c>
      <c r="K194" s="22">
        <f t="shared" si="68"/>
        <v>2</v>
      </c>
      <c r="L194" s="22">
        <f t="shared" si="68"/>
        <v>2</v>
      </c>
      <c r="M194" s="22">
        <f t="shared" si="68"/>
        <v>2</v>
      </c>
      <c r="N194" s="22">
        <f t="shared" si="68"/>
        <v>2</v>
      </c>
      <c r="O194" s="22">
        <f t="shared" si="68"/>
        <v>4</v>
      </c>
      <c r="P194" s="22">
        <f t="shared" si="68"/>
        <v>4</v>
      </c>
      <c r="Q194" s="22">
        <f t="shared" si="68"/>
        <v>0</v>
      </c>
      <c r="R194" s="22">
        <f t="shared" si="68"/>
        <v>2</v>
      </c>
      <c r="S194" s="22">
        <f t="shared" si="68"/>
        <v>2</v>
      </c>
      <c r="T194" s="22">
        <f t="shared" si="68"/>
        <v>2</v>
      </c>
      <c r="U194" s="22">
        <f t="shared" si="68"/>
        <v>2</v>
      </c>
      <c r="V194" s="22">
        <f t="shared" si="68"/>
        <v>2</v>
      </c>
      <c r="W194" s="22">
        <f t="shared" si="68"/>
        <v>2</v>
      </c>
      <c r="X194" s="22">
        <f t="shared" si="68"/>
        <v>2</v>
      </c>
      <c r="Y194" s="22">
        <f t="shared" si="68"/>
        <v>0</v>
      </c>
      <c r="Z194" s="22">
        <f t="shared" si="68"/>
        <v>0</v>
      </c>
      <c r="AA194" s="20">
        <f t="shared" si="66"/>
        <v>66</v>
      </c>
      <c r="AB194" s="23"/>
      <c r="AC194" s="2"/>
    </row>
    <row r="195">
      <c r="A195" s="17" t="s">
        <v>38</v>
      </c>
      <c r="B195" s="24">
        <f t="shared" ref="B195:Z195" si="69">B194/(COUNT(B190:B193)*1)</f>
        <v>1</v>
      </c>
      <c r="C195" s="24">
        <f t="shared" si="69"/>
        <v>1</v>
      </c>
      <c r="D195" s="24">
        <f t="shared" si="69"/>
        <v>1</v>
      </c>
      <c r="E195" s="24">
        <f t="shared" si="69"/>
        <v>1</v>
      </c>
      <c r="F195" s="24">
        <f t="shared" si="69"/>
        <v>1</v>
      </c>
      <c r="G195" s="24">
        <f t="shared" si="69"/>
        <v>1</v>
      </c>
      <c r="H195" s="24">
        <f t="shared" si="69"/>
        <v>1</v>
      </c>
      <c r="I195" s="24">
        <f t="shared" si="69"/>
        <v>1</v>
      </c>
      <c r="J195" s="24">
        <f t="shared" si="69"/>
        <v>1</v>
      </c>
      <c r="K195" s="24">
        <f t="shared" si="69"/>
        <v>0.5</v>
      </c>
      <c r="L195" s="24">
        <f t="shared" si="69"/>
        <v>0.5</v>
      </c>
      <c r="M195" s="24">
        <f t="shared" si="69"/>
        <v>0.5</v>
      </c>
      <c r="N195" s="24">
        <f t="shared" si="69"/>
        <v>0.5</v>
      </c>
      <c r="O195" s="24">
        <f t="shared" si="69"/>
        <v>1</v>
      </c>
      <c r="P195" s="24">
        <f t="shared" si="69"/>
        <v>1</v>
      </c>
      <c r="Q195" s="24">
        <f t="shared" si="69"/>
        <v>0</v>
      </c>
      <c r="R195" s="24">
        <f t="shared" si="69"/>
        <v>0.5</v>
      </c>
      <c r="S195" s="24">
        <f t="shared" si="69"/>
        <v>0.5</v>
      </c>
      <c r="T195" s="24">
        <f t="shared" si="69"/>
        <v>0.5</v>
      </c>
      <c r="U195" s="24">
        <f t="shared" si="69"/>
        <v>0.5</v>
      </c>
      <c r="V195" s="24">
        <f t="shared" si="69"/>
        <v>0.5</v>
      </c>
      <c r="W195" s="24">
        <f t="shared" si="69"/>
        <v>0.5</v>
      </c>
      <c r="X195" s="24">
        <f t="shared" si="69"/>
        <v>0.5</v>
      </c>
      <c r="Y195" s="24" t="str">
        <f t="shared" si="69"/>
        <v>#DIV/0!</v>
      </c>
      <c r="Z195" s="24" t="str">
        <f t="shared" si="69"/>
        <v>#DIV/0!</v>
      </c>
      <c r="AA195" s="25"/>
      <c r="AB195" s="26">
        <f>SUM(AB190:AB193)/4</f>
        <v>0.7173913043</v>
      </c>
      <c r="AC195" s="2"/>
    </row>
    <row r="196">
      <c r="A196" s="27" t="s">
        <v>75</v>
      </c>
      <c r="B196" s="60"/>
      <c r="C196" s="61"/>
      <c r="D196" s="60"/>
      <c r="E196" s="60"/>
      <c r="F196" s="60"/>
      <c r="G196" s="60"/>
      <c r="H196" s="60"/>
      <c r="I196" s="60"/>
      <c r="J196" s="60"/>
      <c r="K196" s="68">
        <v>20.0</v>
      </c>
      <c r="L196" s="68">
        <v>20.0</v>
      </c>
      <c r="M196" s="68">
        <v>20.0</v>
      </c>
      <c r="N196" s="68">
        <v>15.0</v>
      </c>
      <c r="O196" s="68">
        <v>15.0</v>
      </c>
      <c r="P196" s="60"/>
      <c r="Q196" s="68">
        <v>20.0</v>
      </c>
      <c r="R196" s="68">
        <v>20.0</v>
      </c>
      <c r="S196" s="68">
        <v>20.0</v>
      </c>
      <c r="T196" s="68">
        <v>20.0</v>
      </c>
      <c r="U196" s="68">
        <v>20.0</v>
      </c>
      <c r="V196" s="60"/>
      <c r="W196" s="60"/>
      <c r="X196" s="60"/>
      <c r="Y196" s="60"/>
      <c r="Z196" s="60"/>
      <c r="AA196" s="30">
        <f t="shared" ref="AA196:AA198" si="70">SUM(B196:Z196)</f>
        <v>190</v>
      </c>
      <c r="AB196" s="31"/>
      <c r="AC196" s="2"/>
    </row>
    <row r="197">
      <c r="A197" s="32" t="s">
        <v>45</v>
      </c>
      <c r="B197" s="62"/>
      <c r="C197" s="62"/>
      <c r="D197" s="62"/>
      <c r="E197" s="62"/>
      <c r="F197" s="62"/>
      <c r="G197" s="62"/>
      <c r="H197" s="62"/>
      <c r="I197" s="62"/>
      <c r="J197" s="62"/>
      <c r="K197" s="128">
        <v>5.0</v>
      </c>
      <c r="L197" s="62"/>
      <c r="M197" s="62"/>
      <c r="N197" s="62"/>
      <c r="O197" s="62"/>
      <c r="P197" s="62"/>
      <c r="Q197" s="128">
        <v>5.0</v>
      </c>
      <c r="R197" s="62"/>
      <c r="S197" s="62"/>
      <c r="T197" s="62"/>
      <c r="U197" s="128">
        <v>3.0</v>
      </c>
      <c r="V197" s="68">
        <v>3.0</v>
      </c>
      <c r="W197" s="60"/>
      <c r="X197" s="60"/>
      <c r="Y197" s="60"/>
      <c r="Z197" s="60"/>
      <c r="AA197" s="30">
        <f t="shared" si="70"/>
        <v>16</v>
      </c>
      <c r="AB197" s="31"/>
      <c r="AC197" s="9"/>
    </row>
    <row r="198">
      <c r="A198" s="34" t="s">
        <v>46</v>
      </c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0"/>
      <c r="W198" s="60"/>
      <c r="X198" s="60"/>
      <c r="Y198" s="60"/>
      <c r="Z198" s="60"/>
      <c r="AA198" s="30">
        <f t="shared" si="70"/>
        <v>0</v>
      </c>
      <c r="AB198" s="31"/>
      <c r="AC198" s="9"/>
    </row>
    <row r="199">
      <c r="A199" s="35" t="s">
        <v>47</v>
      </c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7"/>
      <c r="AA199" s="38"/>
      <c r="AB199" s="39"/>
      <c r="AC199" s="2"/>
    </row>
    <row r="200">
      <c r="A200" s="40" t="s">
        <v>48</v>
      </c>
      <c r="B200" s="63"/>
      <c r="C200" s="64"/>
      <c r="D200" s="63"/>
      <c r="E200" s="63"/>
      <c r="F200" s="63"/>
      <c r="G200" s="63"/>
      <c r="H200" s="63"/>
      <c r="I200" s="63"/>
      <c r="J200" s="63"/>
      <c r="K200" s="65">
        <v>1.0</v>
      </c>
      <c r="L200" s="63"/>
      <c r="M200" s="63"/>
      <c r="N200" s="63"/>
      <c r="O200" s="63"/>
      <c r="P200" s="63"/>
      <c r="Q200" s="65">
        <v>1.0</v>
      </c>
      <c r="R200" s="65">
        <v>1.0</v>
      </c>
      <c r="S200" s="63"/>
      <c r="T200" s="63"/>
      <c r="U200" s="63"/>
      <c r="V200" s="69">
        <v>1.0</v>
      </c>
      <c r="W200" s="66"/>
      <c r="X200" s="66"/>
      <c r="Y200" s="66"/>
      <c r="Z200" s="66"/>
      <c r="AA200" s="44">
        <f t="shared" ref="AA200:AA201" si="71">SUM(B200:Z200)</f>
        <v>4</v>
      </c>
      <c r="AB200" s="31"/>
      <c r="AC200" s="2"/>
    </row>
    <row r="201">
      <c r="A201" s="40" t="s">
        <v>49</v>
      </c>
      <c r="B201" s="63"/>
      <c r="C201" s="64"/>
      <c r="D201" s="63"/>
      <c r="E201" s="63"/>
      <c r="F201" s="63"/>
      <c r="G201" s="63"/>
      <c r="H201" s="63"/>
      <c r="I201" s="63"/>
      <c r="J201" s="63"/>
      <c r="K201" s="65">
        <v>20.0</v>
      </c>
      <c r="L201" s="65">
        <v>20.0</v>
      </c>
      <c r="M201" s="65">
        <v>20.0</v>
      </c>
      <c r="N201" s="65">
        <v>15.0</v>
      </c>
      <c r="O201" s="65">
        <v>15.0</v>
      </c>
      <c r="P201" s="63"/>
      <c r="Q201" s="65">
        <v>20.0</v>
      </c>
      <c r="R201" s="65">
        <v>20.0</v>
      </c>
      <c r="S201" s="65">
        <v>20.0</v>
      </c>
      <c r="T201" s="65">
        <v>20.0</v>
      </c>
      <c r="U201" s="65">
        <v>20.0</v>
      </c>
      <c r="V201" s="69">
        <v>20.0</v>
      </c>
      <c r="W201" s="69">
        <v>10.0</v>
      </c>
      <c r="X201" s="69">
        <v>10.0</v>
      </c>
      <c r="Y201" s="66"/>
      <c r="Z201" s="66"/>
      <c r="AA201" s="44">
        <f t="shared" si="71"/>
        <v>230</v>
      </c>
      <c r="AB201" s="31"/>
      <c r="AC201" s="2"/>
    </row>
    <row r="202">
      <c r="A202" s="40" t="s">
        <v>50</v>
      </c>
      <c r="B202" s="64"/>
      <c r="C202" s="64"/>
      <c r="D202" s="63"/>
      <c r="E202" s="63"/>
      <c r="F202" s="63"/>
      <c r="G202" s="63"/>
      <c r="H202" s="63"/>
      <c r="I202" s="63"/>
      <c r="J202" s="63"/>
      <c r="K202" s="65">
        <v>1.0</v>
      </c>
      <c r="L202" s="63"/>
      <c r="M202" s="63"/>
      <c r="N202" s="63"/>
      <c r="O202" s="63"/>
      <c r="P202" s="63"/>
      <c r="Q202" s="65">
        <v>2.0</v>
      </c>
      <c r="R202" s="65">
        <v>1.0</v>
      </c>
      <c r="S202" s="63"/>
      <c r="T202" s="63"/>
      <c r="U202" s="63"/>
      <c r="V202" s="69">
        <v>1.0</v>
      </c>
      <c r="W202" s="66"/>
      <c r="X202" s="66"/>
      <c r="Y202" s="66"/>
      <c r="Z202" s="66"/>
      <c r="AA202" s="44">
        <f>AVERAGE(B202:Z202)</f>
        <v>1.25</v>
      </c>
      <c r="AB202" s="31"/>
      <c r="AC202" s="2"/>
    </row>
    <row r="203">
      <c r="A203" s="45" t="s">
        <v>51</v>
      </c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7"/>
      <c r="AA203" s="46"/>
      <c r="AB203" s="39"/>
      <c r="AC203" s="2"/>
    </row>
    <row r="204">
      <c r="A204" s="47" t="s">
        <v>48</v>
      </c>
      <c r="B204" s="48"/>
      <c r="C204" s="49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50"/>
      <c r="W204" s="50"/>
      <c r="X204" s="50"/>
      <c r="Y204" s="50"/>
      <c r="Z204" s="50"/>
      <c r="AA204" s="51">
        <f t="shared" ref="AA204:AA205" si="72">SUM(B204:Z204)</f>
        <v>0</v>
      </c>
      <c r="AB204" s="31"/>
      <c r="AC204" s="2"/>
    </row>
    <row r="205">
      <c r="A205" s="47" t="s">
        <v>49</v>
      </c>
      <c r="B205" s="48"/>
      <c r="C205" s="49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50"/>
      <c r="W205" s="50"/>
      <c r="X205" s="50"/>
      <c r="Y205" s="50"/>
      <c r="Z205" s="50"/>
      <c r="AA205" s="51">
        <f t="shared" si="72"/>
        <v>0</v>
      </c>
      <c r="AB205" s="31"/>
      <c r="AC205" s="2"/>
    </row>
    <row r="206">
      <c r="A206" s="47" t="s">
        <v>50</v>
      </c>
      <c r="B206" s="49"/>
      <c r="C206" s="49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50"/>
      <c r="W206" s="50"/>
      <c r="X206" s="50"/>
      <c r="Y206" s="50"/>
      <c r="Z206" s="50"/>
      <c r="AA206" s="51" t="str">
        <f>AVERAGE(B206:Z206)</f>
        <v>#DIV/0!</v>
      </c>
      <c r="AB206" s="31"/>
      <c r="AC206" s="2"/>
    </row>
    <row r="207">
      <c r="A207" s="52" t="s">
        <v>53</v>
      </c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7"/>
      <c r="AA207" s="38"/>
      <c r="AB207" s="39"/>
      <c r="AC207" s="2"/>
    </row>
    <row r="208">
      <c r="A208" s="40" t="s">
        <v>48</v>
      </c>
      <c r="B208" s="41"/>
      <c r="C208" s="42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3"/>
      <c r="W208" s="43"/>
      <c r="X208" s="43"/>
      <c r="Y208" s="43"/>
      <c r="Z208" s="43"/>
      <c r="AA208" s="44">
        <f t="shared" ref="AA208:AA209" si="73">SUM(B208:Z208)</f>
        <v>0</v>
      </c>
      <c r="AB208" s="31"/>
      <c r="AC208" s="2"/>
    </row>
    <row r="209">
      <c r="A209" s="40" t="s">
        <v>49</v>
      </c>
      <c r="B209" s="41"/>
      <c r="C209" s="42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3"/>
      <c r="W209" s="43"/>
      <c r="X209" s="43"/>
      <c r="Y209" s="43"/>
      <c r="Z209" s="43"/>
      <c r="AA209" s="44">
        <f t="shared" si="73"/>
        <v>0</v>
      </c>
      <c r="AB209" s="31"/>
      <c r="AC209" s="2"/>
    </row>
    <row r="210">
      <c r="A210" s="53" t="s">
        <v>50</v>
      </c>
      <c r="B210" s="54"/>
      <c r="C210" s="54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6"/>
      <c r="W210" s="56"/>
      <c r="X210" s="56"/>
      <c r="Y210" s="56"/>
      <c r="Z210" s="56"/>
      <c r="AA210" s="57" t="str">
        <f>AVERAGE(B210:Z210)</f>
        <v>#DIV/0!</v>
      </c>
      <c r="AB210" s="58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59"/>
      <c r="AB211" s="59"/>
      <c r="AC211" s="2"/>
    </row>
    <row r="212">
      <c r="A212" s="13">
        <v>45975.0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5" t="s">
        <v>37</v>
      </c>
      <c r="AB212" s="16" t="s">
        <v>38</v>
      </c>
      <c r="AC212" s="2"/>
    </row>
    <row r="213">
      <c r="A213" s="17" t="s">
        <v>39</v>
      </c>
      <c r="B213" s="19">
        <v>1.0</v>
      </c>
      <c r="C213" s="19">
        <v>1.0</v>
      </c>
      <c r="D213" s="19">
        <v>1.0</v>
      </c>
      <c r="E213" s="19">
        <v>1.0</v>
      </c>
      <c r="F213" s="19">
        <v>1.0</v>
      </c>
      <c r="G213" s="19">
        <v>1.0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1.0</v>
      </c>
      <c r="Q213" s="19">
        <v>1.0</v>
      </c>
      <c r="R213" s="19">
        <v>0.0</v>
      </c>
      <c r="S213" s="19">
        <v>0.0</v>
      </c>
      <c r="T213" s="19">
        <v>0.0</v>
      </c>
      <c r="U213" s="19">
        <v>0.0</v>
      </c>
      <c r="V213" s="19">
        <v>0.0</v>
      </c>
      <c r="W213" s="19">
        <v>0.0</v>
      </c>
      <c r="X213" s="19">
        <v>0.0</v>
      </c>
      <c r="Y213" s="18"/>
      <c r="Z213" s="18"/>
      <c r="AA213" s="20">
        <f t="shared" ref="AA213:AA217" si="74">SUM(B213:Z213)</f>
        <v>8</v>
      </c>
      <c r="AB213" s="21">
        <f t="shared" ref="AB213:AB216" si="75">AA213/(COUNT(B213:Z213)*1)</f>
        <v>0.347826087</v>
      </c>
      <c r="AC213" s="2"/>
    </row>
    <row r="214">
      <c r="A214" s="17" t="s">
        <v>40</v>
      </c>
      <c r="B214" s="19">
        <v>1.0</v>
      </c>
      <c r="C214" s="19">
        <v>1.0</v>
      </c>
      <c r="D214" s="19">
        <v>1.0</v>
      </c>
      <c r="E214" s="19">
        <v>1.0</v>
      </c>
      <c r="F214" s="19">
        <v>1.0</v>
      </c>
      <c r="G214" s="19">
        <v>1.0</v>
      </c>
      <c r="H214" s="19">
        <v>1.0</v>
      </c>
      <c r="I214" s="19">
        <v>1.0</v>
      </c>
      <c r="J214" s="19">
        <v>1.0</v>
      </c>
      <c r="K214" s="19">
        <v>1.0</v>
      </c>
      <c r="L214" s="19">
        <v>1.0</v>
      </c>
      <c r="M214" s="19">
        <v>1.0</v>
      </c>
      <c r="N214" s="19">
        <v>1.0</v>
      </c>
      <c r="O214" s="19">
        <v>1.0</v>
      </c>
      <c r="P214" s="19">
        <v>1.0</v>
      </c>
      <c r="Q214" s="19">
        <v>1.0</v>
      </c>
      <c r="R214" s="19">
        <v>0.0</v>
      </c>
      <c r="S214" s="19">
        <v>1.0</v>
      </c>
      <c r="T214" s="19">
        <v>1.0</v>
      </c>
      <c r="U214" s="19">
        <v>0.0</v>
      </c>
      <c r="V214" s="19">
        <v>1.0</v>
      </c>
      <c r="W214" s="19">
        <v>0.0</v>
      </c>
      <c r="X214" s="19">
        <v>0.0</v>
      </c>
      <c r="Y214" s="19"/>
      <c r="Z214" s="18"/>
      <c r="AA214" s="20">
        <f t="shared" si="74"/>
        <v>19</v>
      </c>
      <c r="AB214" s="21">
        <f t="shared" si="75"/>
        <v>0.8260869565</v>
      </c>
      <c r="AC214" s="2"/>
    </row>
    <row r="215">
      <c r="A215" s="17" t="s">
        <v>41</v>
      </c>
      <c r="B215" s="19">
        <v>1.0</v>
      </c>
      <c r="C215" s="19">
        <v>1.0</v>
      </c>
      <c r="D215" s="19">
        <v>1.0</v>
      </c>
      <c r="E215" s="19">
        <v>1.0</v>
      </c>
      <c r="F215" s="19">
        <v>1.0</v>
      </c>
      <c r="G215" s="19">
        <v>1.0</v>
      </c>
      <c r="H215" s="19">
        <v>0.0</v>
      </c>
      <c r="I215" s="19">
        <v>0.0</v>
      </c>
      <c r="J215" s="19">
        <v>0.0</v>
      </c>
      <c r="K215" s="19">
        <v>0.0</v>
      </c>
      <c r="L215" s="19">
        <v>0.0</v>
      </c>
      <c r="M215" s="19">
        <v>0.0</v>
      </c>
      <c r="N215" s="19">
        <v>0.0</v>
      </c>
      <c r="O215" s="19">
        <v>0.0</v>
      </c>
      <c r="P215" s="19">
        <v>1.0</v>
      </c>
      <c r="Q215" s="19">
        <v>1.0</v>
      </c>
      <c r="R215" s="19">
        <v>0.0</v>
      </c>
      <c r="S215" s="19">
        <v>0.0</v>
      </c>
      <c r="T215" s="19">
        <v>0.0</v>
      </c>
      <c r="U215" s="19">
        <v>0.0</v>
      </c>
      <c r="V215" s="19">
        <v>0.0</v>
      </c>
      <c r="W215" s="19">
        <v>0.0</v>
      </c>
      <c r="X215" s="19">
        <v>0.0</v>
      </c>
      <c r="Y215" s="18"/>
      <c r="Z215" s="18"/>
      <c r="AA215" s="20">
        <f t="shared" si="74"/>
        <v>8</v>
      </c>
      <c r="AB215" s="21">
        <f t="shared" si="75"/>
        <v>0.347826087</v>
      </c>
      <c r="AC215" s="2"/>
    </row>
    <row r="216">
      <c r="A216" s="17" t="s">
        <v>42</v>
      </c>
      <c r="B216" s="19">
        <v>1.0</v>
      </c>
      <c r="C216" s="19">
        <v>1.0</v>
      </c>
      <c r="D216" s="19">
        <v>1.0</v>
      </c>
      <c r="E216" s="19">
        <v>1.0</v>
      </c>
      <c r="F216" s="19">
        <v>1.0</v>
      </c>
      <c r="G216" s="19">
        <v>1.0</v>
      </c>
      <c r="H216" s="19">
        <v>1.0</v>
      </c>
      <c r="I216" s="19">
        <v>1.0</v>
      </c>
      <c r="J216" s="19">
        <v>1.0</v>
      </c>
      <c r="K216" s="19">
        <v>1.0</v>
      </c>
      <c r="L216" s="19">
        <v>1.0</v>
      </c>
      <c r="M216" s="19">
        <v>1.0</v>
      </c>
      <c r="N216" s="19">
        <v>1.0</v>
      </c>
      <c r="O216" s="19">
        <v>1.0</v>
      </c>
      <c r="P216" s="19">
        <v>1.0</v>
      </c>
      <c r="Q216" s="19">
        <v>1.0</v>
      </c>
      <c r="R216" s="19">
        <v>1.0</v>
      </c>
      <c r="S216" s="19">
        <v>1.0</v>
      </c>
      <c r="T216" s="19">
        <v>1.0</v>
      </c>
      <c r="U216" s="19">
        <v>0.0</v>
      </c>
      <c r="V216" s="19">
        <v>1.0</v>
      </c>
      <c r="W216" s="19">
        <v>1.0</v>
      </c>
      <c r="X216" s="19">
        <v>1.0</v>
      </c>
      <c r="Y216" s="18"/>
      <c r="Z216" s="18"/>
      <c r="AA216" s="20">
        <f t="shared" si="74"/>
        <v>22</v>
      </c>
      <c r="AB216" s="21">
        <f t="shared" si="75"/>
        <v>0.9565217391</v>
      </c>
      <c r="AC216" s="2"/>
    </row>
    <row r="217">
      <c r="A217" s="17" t="s">
        <v>43</v>
      </c>
      <c r="B217" s="22">
        <f t="shared" ref="B217:Z217" si="76">SUM(B213:B216)</f>
        <v>4</v>
      </c>
      <c r="C217" s="22">
        <f t="shared" si="76"/>
        <v>4</v>
      </c>
      <c r="D217" s="22">
        <f t="shared" si="76"/>
        <v>4</v>
      </c>
      <c r="E217" s="22">
        <f t="shared" si="76"/>
        <v>4</v>
      </c>
      <c r="F217" s="22">
        <f t="shared" si="76"/>
        <v>4</v>
      </c>
      <c r="G217" s="22">
        <f t="shared" si="76"/>
        <v>4</v>
      </c>
      <c r="H217" s="22">
        <f t="shared" si="76"/>
        <v>2</v>
      </c>
      <c r="I217" s="22">
        <f t="shared" si="76"/>
        <v>2</v>
      </c>
      <c r="J217" s="22">
        <f t="shared" si="76"/>
        <v>2</v>
      </c>
      <c r="K217" s="22">
        <f t="shared" si="76"/>
        <v>2</v>
      </c>
      <c r="L217" s="22">
        <f t="shared" si="76"/>
        <v>2</v>
      </c>
      <c r="M217" s="22">
        <f t="shared" si="76"/>
        <v>2</v>
      </c>
      <c r="N217" s="22">
        <f t="shared" si="76"/>
        <v>2</v>
      </c>
      <c r="O217" s="22">
        <f t="shared" si="76"/>
        <v>2</v>
      </c>
      <c r="P217" s="22">
        <f t="shared" si="76"/>
        <v>4</v>
      </c>
      <c r="Q217" s="22">
        <f t="shared" si="76"/>
        <v>4</v>
      </c>
      <c r="R217" s="22">
        <f t="shared" si="76"/>
        <v>1</v>
      </c>
      <c r="S217" s="22">
        <f t="shared" si="76"/>
        <v>2</v>
      </c>
      <c r="T217" s="22">
        <f t="shared" si="76"/>
        <v>2</v>
      </c>
      <c r="U217" s="22">
        <f t="shared" si="76"/>
        <v>0</v>
      </c>
      <c r="V217" s="22">
        <f t="shared" si="76"/>
        <v>2</v>
      </c>
      <c r="W217" s="22">
        <f t="shared" si="76"/>
        <v>1</v>
      </c>
      <c r="X217" s="22">
        <f t="shared" si="76"/>
        <v>1</v>
      </c>
      <c r="Y217" s="22">
        <f t="shared" si="76"/>
        <v>0</v>
      </c>
      <c r="Z217" s="22">
        <f t="shared" si="76"/>
        <v>0</v>
      </c>
      <c r="AA217" s="20">
        <f t="shared" si="74"/>
        <v>57</v>
      </c>
      <c r="AB217" s="23"/>
      <c r="AC217" s="2"/>
    </row>
    <row r="218">
      <c r="A218" s="17" t="s">
        <v>38</v>
      </c>
      <c r="B218" s="24">
        <f t="shared" ref="B218:Z218" si="77">B217/(COUNT(B213:B216)*1)</f>
        <v>1</v>
      </c>
      <c r="C218" s="24">
        <f t="shared" si="77"/>
        <v>1</v>
      </c>
      <c r="D218" s="24">
        <f t="shared" si="77"/>
        <v>1</v>
      </c>
      <c r="E218" s="24">
        <f t="shared" si="77"/>
        <v>1</v>
      </c>
      <c r="F218" s="24">
        <f t="shared" si="77"/>
        <v>1</v>
      </c>
      <c r="G218" s="24">
        <f t="shared" si="77"/>
        <v>1</v>
      </c>
      <c r="H218" s="24">
        <f t="shared" si="77"/>
        <v>0.5</v>
      </c>
      <c r="I218" s="24">
        <f t="shared" si="77"/>
        <v>0.5</v>
      </c>
      <c r="J218" s="24">
        <f t="shared" si="77"/>
        <v>0.5</v>
      </c>
      <c r="K218" s="24">
        <f t="shared" si="77"/>
        <v>0.5</v>
      </c>
      <c r="L218" s="24">
        <f t="shared" si="77"/>
        <v>0.5</v>
      </c>
      <c r="M218" s="24">
        <f t="shared" si="77"/>
        <v>0.5</v>
      </c>
      <c r="N218" s="24">
        <f t="shared" si="77"/>
        <v>0.5</v>
      </c>
      <c r="O218" s="24">
        <f t="shared" si="77"/>
        <v>0.5</v>
      </c>
      <c r="P218" s="24">
        <f t="shared" si="77"/>
        <v>1</v>
      </c>
      <c r="Q218" s="24">
        <f t="shared" si="77"/>
        <v>1</v>
      </c>
      <c r="R218" s="24">
        <f t="shared" si="77"/>
        <v>0.25</v>
      </c>
      <c r="S218" s="24">
        <f t="shared" si="77"/>
        <v>0.5</v>
      </c>
      <c r="T218" s="24">
        <f t="shared" si="77"/>
        <v>0.5</v>
      </c>
      <c r="U218" s="24">
        <f t="shared" si="77"/>
        <v>0</v>
      </c>
      <c r="V218" s="24">
        <f t="shared" si="77"/>
        <v>0.5</v>
      </c>
      <c r="W218" s="24">
        <f t="shared" si="77"/>
        <v>0.25</v>
      </c>
      <c r="X218" s="24">
        <f t="shared" si="77"/>
        <v>0.25</v>
      </c>
      <c r="Y218" s="24" t="str">
        <f t="shared" si="77"/>
        <v>#DIV/0!</v>
      </c>
      <c r="Z218" s="24" t="str">
        <f t="shared" si="77"/>
        <v>#DIV/0!</v>
      </c>
      <c r="AA218" s="25"/>
      <c r="AB218" s="26">
        <f>SUM(AB213:AB216)/4</f>
        <v>0.6195652174</v>
      </c>
      <c r="AC218" s="2"/>
    </row>
    <row r="219">
      <c r="A219" s="27" t="s">
        <v>75</v>
      </c>
      <c r="B219" s="60"/>
      <c r="C219" s="61"/>
      <c r="D219" s="60"/>
      <c r="E219" s="60"/>
      <c r="F219" s="60"/>
      <c r="G219" s="60"/>
      <c r="H219" s="60"/>
      <c r="I219" s="68">
        <v>20.0</v>
      </c>
      <c r="J219" s="68">
        <v>20.0</v>
      </c>
      <c r="K219" s="68">
        <v>20.0</v>
      </c>
      <c r="L219" s="68">
        <v>20.0</v>
      </c>
      <c r="M219" s="68">
        <v>15.0</v>
      </c>
      <c r="N219" s="68">
        <v>15.0</v>
      </c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30">
        <f t="shared" ref="AA219:AA221" si="78">SUM(B219:Z219)</f>
        <v>110</v>
      </c>
      <c r="AB219" s="31"/>
      <c r="AC219" s="2"/>
    </row>
    <row r="220">
      <c r="A220" s="32" t="s">
        <v>45</v>
      </c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128">
        <v>5.0</v>
      </c>
      <c r="R220" s="128">
        <v>4.0</v>
      </c>
      <c r="S220" s="62"/>
      <c r="T220" s="62"/>
      <c r="U220" s="128">
        <v>8.0</v>
      </c>
      <c r="V220" s="68">
        <v>6.0</v>
      </c>
      <c r="W220" s="60"/>
      <c r="X220" s="68">
        <v>3.0</v>
      </c>
      <c r="Y220" s="68"/>
      <c r="Z220" s="60"/>
      <c r="AA220" s="30">
        <f t="shared" si="78"/>
        <v>26</v>
      </c>
      <c r="AB220" s="31"/>
      <c r="AC220" s="9"/>
    </row>
    <row r="221">
      <c r="A221" s="34" t="s">
        <v>46</v>
      </c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0"/>
      <c r="W221" s="60"/>
      <c r="X221" s="60"/>
      <c r="Y221" s="60"/>
      <c r="Z221" s="60"/>
      <c r="AA221" s="30">
        <f t="shared" si="78"/>
        <v>0</v>
      </c>
      <c r="AB221" s="31"/>
      <c r="AC221" s="9"/>
    </row>
    <row r="222">
      <c r="A222" s="35" t="s">
        <v>47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7"/>
      <c r="AA222" s="38"/>
      <c r="AB222" s="39"/>
      <c r="AC222" s="2"/>
    </row>
    <row r="223">
      <c r="A223" s="40" t="s">
        <v>48</v>
      </c>
      <c r="B223" s="63"/>
      <c r="C223" s="64"/>
      <c r="D223" s="63"/>
      <c r="E223" s="63"/>
      <c r="F223" s="63"/>
      <c r="G223" s="63"/>
      <c r="H223" s="63"/>
      <c r="I223" s="65">
        <v>1.0</v>
      </c>
      <c r="J223" s="63"/>
      <c r="K223" s="63"/>
      <c r="L223" s="63"/>
      <c r="M223" s="63"/>
      <c r="N223" s="63"/>
      <c r="O223" s="63"/>
      <c r="P223" s="65">
        <v>1.0</v>
      </c>
      <c r="Q223" s="63"/>
      <c r="R223" s="63"/>
      <c r="S223" s="63"/>
      <c r="T223" s="63"/>
      <c r="U223" s="63"/>
      <c r="V223" s="66"/>
      <c r="W223" s="66"/>
      <c r="X223" s="66"/>
      <c r="Y223" s="66"/>
      <c r="Z223" s="66"/>
      <c r="AA223" s="44">
        <f t="shared" ref="AA223:AA224" si="79">SUM(B223:Z223)</f>
        <v>2</v>
      </c>
      <c r="AB223" s="31"/>
      <c r="AC223" s="2"/>
    </row>
    <row r="224">
      <c r="A224" s="40" t="s">
        <v>49</v>
      </c>
      <c r="B224" s="63"/>
      <c r="C224" s="64"/>
      <c r="D224" s="63"/>
      <c r="E224" s="63"/>
      <c r="F224" s="63"/>
      <c r="G224" s="63"/>
      <c r="H224" s="63"/>
      <c r="I224" s="65">
        <v>20.0</v>
      </c>
      <c r="J224" s="65">
        <v>20.0</v>
      </c>
      <c r="K224" s="65">
        <v>20.0</v>
      </c>
      <c r="L224" s="65">
        <v>20.0</v>
      </c>
      <c r="M224" s="65">
        <v>15.0</v>
      </c>
      <c r="N224" s="65">
        <v>15.0</v>
      </c>
      <c r="O224" s="63"/>
      <c r="P224" s="65">
        <v>20.0</v>
      </c>
      <c r="Q224" s="65">
        <v>20.0</v>
      </c>
      <c r="R224" s="65">
        <v>20.0</v>
      </c>
      <c r="S224" s="65">
        <v>20.0</v>
      </c>
      <c r="T224" s="65">
        <v>20.0</v>
      </c>
      <c r="U224" s="65">
        <v>20.0</v>
      </c>
      <c r="V224" s="69">
        <v>20.0</v>
      </c>
      <c r="W224" s="69">
        <v>10.0</v>
      </c>
      <c r="X224" s="69">
        <v>10.0</v>
      </c>
      <c r="Y224" s="69"/>
      <c r="Z224" s="66"/>
      <c r="AA224" s="44">
        <f t="shared" si="79"/>
        <v>270</v>
      </c>
      <c r="AB224" s="31"/>
      <c r="AC224" s="2"/>
    </row>
    <row r="225">
      <c r="A225" s="40" t="s">
        <v>50</v>
      </c>
      <c r="B225" s="64"/>
      <c r="C225" s="64"/>
      <c r="D225" s="63"/>
      <c r="E225" s="63"/>
      <c r="F225" s="63"/>
      <c r="G225" s="63"/>
      <c r="H225" s="63"/>
      <c r="I225" s="65">
        <v>1.0</v>
      </c>
      <c r="J225" s="63"/>
      <c r="K225" s="63"/>
      <c r="L225" s="63"/>
      <c r="M225" s="63"/>
      <c r="N225" s="63"/>
      <c r="O225" s="63"/>
      <c r="P225" s="65">
        <v>1.0</v>
      </c>
      <c r="Q225" s="63"/>
      <c r="R225" s="63"/>
      <c r="S225" s="63"/>
      <c r="T225" s="63"/>
      <c r="U225" s="63"/>
      <c r="V225" s="66"/>
      <c r="W225" s="66"/>
      <c r="X225" s="66"/>
      <c r="Y225" s="66"/>
      <c r="Z225" s="66"/>
      <c r="AA225" s="44">
        <f>AVERAGE(B225:Z225)</f>
        <v>1</v>
      </c>
      <c r="AB225" s="31"/>
      <c r="AC225" s="2"/>
    </row>
    <row r="226">
      <c r="A226" s="45" t="s">
        <v>51</v>
      </c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7"/>
      <c r="AA226" s="46"/>
      <c r="AB226" s="39"/>
      <c r="AC226" s="2"/>
    </row>
    <row r="227">
      <c r="A227" s="47" t="s">
        <v>48</v>
      </c>
      <c r="B227" s="48"/>
      <c r="C227" s="49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50"/>
      <c r="W227" s="50"/>
      <c r="X227" s="50"/>
      <c r="Y227" s="50"/>
      <c r="Z227" s="50"/>
      <c r="AA227" s="51">
        <f t="shared" ref="AA227:AA228" si="80">SUM(B227:Z227)</f>
        <v>0</v>
      </c>
      <c r="AB227" s="31"/>
      <c r="AC227" s="2"/>
    </row>
    <row r="228">
      <c r="A228" s="47" t="s">
        <v>49</v>
      </c>
      <c r="B228" s="48"/>
      <c r="C228" s="49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50"/>
      <c r="W228" s="50"/>
      <c r="X228" s="50"/>
      <c r="Y228" s="50"/>
      <c r="Z228" s="50"/>
      <c r="AA228" s="51">
        <f t="shared" si="80"/>
        <v>0</v>
      </c>
      <c r="AB228" s="31"/>
      <c r="AC228" s="2"/>
    </row>
    <row r="229">
      <c r="A229" s="47" t="s">
        <v>50</v>
      </c>
      <c r="B229" s="49"/>
      <c r="C229" s="49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50"/>
      <c r="W229" s="50"/>
      <c r="X229" s="50"/>
      <c r="Y229" s="50"/>
      <c r="Z229" s="50"/>
      <c r="AA229" s="51" t="str">
        <f>AVERAGE(B29:Z229)</f>
        <v>#DIV/0!</v>
      </c>
      <c r="AB229" s="31"/>
      <c r="AC229" s="2"/>
    </row>
    <row r="230">
      <c r="A230" s="52" t="s">
        <v>53</v>
      </c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7"/>
      <c r="AA230" s="38"/>
      <c r="AB230" s="39"/>
      <c r="AC230" s="2"/>
    </row>
    <row r="231">
      <c r="A231" s="40" t="s">
        <v>48</v>
      </c>
      <c r="B231" s="41"/>
      <c r="C231" s="42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3"/>
      <c r="W231" s="43"/>
      <c r="X231" s="43"/>
      <c r="Y231" s="43"/>
      <c r="Z231" s="43"/>
      <c r="AA231" s="44">
        <f t="shared" ref="AA231:AA232" si="81">SUM(B231:Z231)</f>
        <v>0</v>
      </c>
      <c r="AB231" s="31"/>
      <c r="AC231" s="2"/>
    </row>
    <row r="232">
      <c r="A232" s="40" t="s">
        <v>49</v>
      </c>
      <c r="B232" s="41"/>
      <c r="C232" s="42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3"/>
      <c r="W232" s="43"/>
      <c r="X232" s="43"/>
      <c r="Y232" s="43"/>
      <c r="Z232" s="43"/>
      <c r="AA232" s="44">
        <f t="shared" si="81"/>
        <v>0</v>
      </c>
      <c r="AB232" s="31"/>
      <c r="AC232" s="2"/>
    </row>
    <row r="233">
      <c r="A233" s="53" t="s">
        <v>50</v>
      </c>
      <c r="B233" s="54"/>
      <c r="C233" s="54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6"/>
      <c r="W233" s="56"/>
      <c r="X233" s="56"/>
      <c r="Y233" s="56"/>
      <c r="Z233" s="56"/>
      <c r="AA233" s="57" t="str">
        <f>AVERAGE(B233:Z233)</f>
        <v>#DIV/0!</v>
      </c>
      <c r="AB233" s="58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59"/>
      <c r="AB234" s="59"/>
      <c r="AC234" s="2"/>
    </row>
    <row r="235">
      <c r="A235" s="13">
        <v>45978.0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 t="s">
        <v>37</v>
      </c>
      <c r="AB235" s="16" t="s">
        <v>38</v>
      </c>
      <c r="AC235" s="2"/>
    </row>
    <row r="236">
      <c r="A236" s="17" t="s">
        <v>39</v>
      </c>
      <c r="B236" s="19">
        <v>1.0</v>
      </c>
      <c r="C236" s="19">
        <v>1.0</v>
      </c>
      <c r="D236" s="19">
        <v>1.0</v>
      </c>
      <c r="E236" s="19">
        <v>1.0</v>
      </c>
      <c r="F236" s="19">
        <v>1.0</v>
      </c>
      <c r="G236" s="19">
        <v>0.0</v>
      </c>
      <c r="H236" s="19">
        <v>0.0</v>
      </c>
      <c r="I236" s="19">
        <v>0.0</v>
      </c>
      <c r="J236" s="19">
        <v>0.0</v>
      </c>
      <c r="K236" s="19">
        <v>0.0</v>
      </c>
      <c r="L236" s="19">
        <v>0.0</v>
      </c>
      <c r="M236" s="19">
        <v>0.0</v>
      </c>
      <c r="N236" s="19">
        <v>0.0</v>
      </c>
      <c r="O236" s="19">
        <v>1.0</v>
      </c>
      <c r="P236" s="19">
        <v>1.0</v>
      </c>
      <c r="Q236" s="19">
        <v>0.0</v>
      </c>
      <c r="R236" s="19">
        <v>0.0</v>
      </c>
      <c r="S236" s="19">
        <v>1.0</v>
      </c>
      <c r="T236" s="19">
        <v>1.0</v>
      </c>
      <c r="U236" s="19">
        <v>1.0</v>
      </c>
      <c r="V236" s="19">
        <v>1.0</v>
      </c>
      <c r="W236" s="19">
        <v>1.0</v>
      </c>
      <c r="X236" s="19">
        <v>1.0</v>
      </c>
      <c r="Y236" s="19">
        <v>1.0</v>
      </c>
      <c r="Z236" s="19">
        <v>1.0</v>
      </c>
      <c r="AA236" s="20">
        <f t="shared" ref="AA236:AA240" si="82">SUM(B236:Z236)</f>
        <v>15</v>
      </c>
      <c r="AB236" s="21">
        <f t="shared" ref="AB236:AB239" si="83">AA236/(COUNT(B236:Z236)*1)</f>
        <v>0.6</v>
      </c>
      <c r="AC236" s="2"/>
    </row>
    <row r="237">
      <c r="A237" s="17" t="s">
        <v>40</v>
      </c>
      <c r="B237" s="19">
        <v>1.0</v>
      </c>
      <c r="C237" s="19">
        <v>1.0</v>
      </c>
      <c r="D237" s="19">
        <v>1.0</v>
      </c>
      <c r="E237" s="19">
        <v>1.0</v>
      </c>
      <c r="F237" s="19">
        <v>0.0</v>
      </c>
      <c r="G237" s="19">
        <v>0.0</v>
      </c>
      <c r="H237" s="19">
        <v>1.0</v>
      </c>
      <c r="I237" s="19">
        <v>0.0</v>
      </c>
      <c r="J237" s="19">
        <v>0.0</v>
      </c>
      <c r="K237" s="19">
        <v>1.0</v>
      </c>
      <c r="L237" s="19">
        <v>1.0</v>
      </c>
      <c r="M237" s="19">
        <v>1.0</v>
      </c>
      <c r="N237" s="19">
        <v>1.0</v>
      </c>
      <c r="O237" s="19">
        <v>1.0</v>
      </c>
      <c r="P237" s="19">
        <v>1.0</v>
      </c>
      <c r="Q237" s="19">
        <v>1.0</v>
      </c>
      <c r="R237" s="19">
        <v>1.0</v>
      </c>
      <c r="S237" s="19">
        <v>1.0</v>
      </c>
      <c r="T237" s="19">
        <v>1.0</v>
      </c>
      <c r="U237" s="19">
        <v>1.0</v>
      </c>
      <c r="V237" s="19">
        <v>1.0</v>
      </c>
      <c r="W237" s="19">
        <v>1.0</v>
      </c>
      <c r="X237" s="19">
        <v>1.0</v>
      </c>
      <c r="Y237" s="19">
        <v>1.0</v>
      </c>
      <c r="Z237" s="19">
        <v>1.0</v>
      </c>
      <c r="AA237" s="20">
        <f t="shared" si="82"/>
        <v>21</v>
      </c>
      <c r="AB237" s="21">
        <f t="shared" si="83"/>
        <v>0.84</v>
      </c>
      <c r="AC237" s="2"/>
    </row>
    <row r="238">
      <c r="A238" s="17" t="s">
        <v>41</v>
      </c>
      <c r="B238" s="19">
        <v>1.0</v>
      </c>
      <c r="C238" s="19">
        <v>0.0</v>
      </c>
      <c r="D238" s="19">
        <v>0.0</v>
      </c>
      <c r="E238" s="19">
        <v>1.0</v>
      </c>
      <c r="F238" s="19">
        <v>0.0</v>
      </c>
      <c r="G238" s="19">
        <v>1.0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1.0</v>
      </c>
      <c r="P238" s="19">
        <v>1.0</v>
      </c>
      <c r="Q238" s="19">
        <v>0.0</v>
      </c>
      <c r="R238" s="19">
        <v>0.0</v>
      </c>
      <c r="S238" s="19">
        <v>1.0</v>
      </c>
      <c r="T238" s="19">
        <v>0.0</v>
      </c>
      <c r="U238" s="19">
        <v>0.0</v>
      </c>
      <c r="V238" s="19">
        <v>0.0</v>
      </c>
      <c r="W238" s="19">
        <v>1.0</v>
      </c>
      <c r="X238" s="19">
        <v>1.0</v>
      </c>
      <c r="Y238" s="19">
        <v>1.0</v>
      </c>
      <c r="Z238" s="19">
        <v>1.0</v>
      </c>
      <c r="AA238" s="20">
        <f t="shared" si="82"/>
        <v>10</v>
      </c>
      <c r="AB238" s="21">
        <f t="shared" si="83"/>
        <v>0.4</v>
      </c>
      <c r="AC238" s="2"/>
    </row>
    <row r="239">
      <c r="A239" s="17" t="s">
        <v>42</v>
      </c>
      <c r="B239" s="19">
        <v>1.0</v>
      </c>
      <c r="C239" s="19">
        <v>1.0</v>
      </c>
      <c r="D239" s="19">
        <v>1.0</v>
      </c>
      <c r="E239" s="19">
        <v>0.0</v>
      </c>
      <c r="F239" s="19">
        <v>1.0</v>
      </c>
      <c r="G239" s="19">
        <v>1.0</v>
      </c>
      <c r="H239" s="19">
        <v>1.0</v>
      </c>
      <c r="I239" s="19">
        <v>0.0</v>
      </c>
      <c r="J239" s="19">
        <v>0.0</v>
      </c>
      <c r="K239" s="19">
        <v>0.0</v>
      </c>
      <c r="L239" s="19">
        <v>1.0</v>
      </c>
      <c r="M239" s="19">
        <v>1.0</v>
      </c>
      <c r="N239" s="19">
        <v>1.0</v>
      </c>
      <c r="O239" s="19">
        <v>1.0</v>
      </c>
      <c r="P239" s="19">
        <v>1.0</v>
      </c>
      <c r="Q239" s="19">
        <v>1.0</v>
      </c>
      <c r="R239" s="19">
        <v>1.0</v>
      </c>
      <c r="S239" s="19">
        <v>1.0</v>
      </c>
      <c r="T239" s="19">
        <v>1.0</v>
      </c>
      <c r="U239" s="19">
        <v>0.0</v>
      </c>
      <c r="V239" s="19">
        <v>1.0</v>
      </c>
      <c r="W239" s="19">
        <v>1.0</v>
      </c>
      <c r="X239" s="19">
        <v>1.0</v>
      </c>
      <c r="Y239" s="19">
        <v>1.0</v>
      </c>
      <c r="Z239" s="19">
        <v>1.0</v>
      </c>
      <c r="AA239" s="20">
        <f t="shared" si="82"/>
        <v>20</v>
      </c>
      <c r="AB239" s="21">
        <f t="shared" si="83"/>
        <v>0.8</v>
      </c>
      <c r="AC239" s="2"/>
    </row>
    <row r="240">
      <c r="A240" s="17" t="s">
        <v>43</v>
      </c>
      <c r="B240" s="22">
        <f t="shared" ref="B240:Z240" si="84">SUM(B236:B239)</f>
        <v>4</v>
      </c>
      <c r="C240" s="22">
        <f t="shared" si="84"/>
        <v>3</v>
      </c>
      <c r="D240" s="22">
        <f t="shared" si="84"/>
        <v>3</v>
      </c>
      <c r="E240" s="22">
        <f t="shared" si="84"/>
        <v>3</v>
      </c>
      <c r="F240" s="22">
        <f t="shared" si="84"/>
        <v>2</v>
      </c>
      <c r="G240" s="22">
        <f t="shared" si="84"/>
        <v>2</v>
      </c>
      <c r="H240" s="22">
        <f t="shared" si="84"/>
        <v>2</v>
      </c>
      <c r="I240" s="22">
        <f t="shared" si="84"/>
        <v>0</v>
      </c>
      <c r="J240" s="22">
        <f t="shared" si="84"/>
        <v>0</v>
      </c>
      <c r="K240" s="22">
        <f t="shared" si="84"/>
        <v>1</v>
      </c>
      <c r="L240" s="22">
        <f t="shared" si="84"/>
        <v>2</v>
      </c>
      <c r="M240" s="22">
        <f t="shared" si="84"/>
        <v>2</v>
      </c>
      <c r="N240" s="22">
        <f t="shared" si="84"/>
        <v>2</v>
      </c>
      <c r="O240" s="22">
        <f t="shared" si="84"/>
        <v>4</v>
      </c>
      <c r="P240" s="22">
        <f t="shared" si="84"/>
        <v>4</v>
      </c>
      <c r="Q240" s="22">
        <f t="shared" si="84"/>
        <v>2</v>
      </c>
      <c r="R240" s="22">
        <f t="shared" si="84"/>
        <v>2</v>
      </c>
      <c r="S240" s="22">
        <f t="shared" si="84"/>
        <v>4</v>
      </c>
      <c r="T240" s="22">
        <f t="shared" si="84"/>
        <v>3</v>
      </c>
      <c r="U240" s="22">
        <f t="shared" si="84"/>
        <v>2</v>
      </c>
      <c r="V240" s="22">
        <f t="shared" si="84"/>
        <v>3</v>
      </c>
      <c r="W240" s="22">
        <f t="shared" si="84"/>
        <v>4</v>
      </c>
      <c r="X240" s="22">
        <f t="shared" si="84"/>
        <v>4</v>
      </c>
      <c r="Y240" s="22">
        <f t="shared" si="84"/>
        <v>4</v>
      </c>
      <c r="Z240" s="22">
        <f t="shared" si="84"/>
        <v>4</v>
      </c>
      <c r="AA240" s="20">
        <f t="shared" si="82"/>
        <v>66</v>
      </c>
      <c r="AB240" s="23"/>
      <c r="AC240" s="2"/>
    </row>
    <row r="241">
      <c r="A241" s="17" t="s">
        <v>38</v>
      </c>
      <c r="B241" s="24">
        <f t="shared" ref="B241:Z241" si="85">B240/(COUNT(B236:B239)*1)</f>
        <v>1</v>
      </c>
      <c r="C241" s="24">
        <f t="shared" si="85"/>
        <v>0.75</v>
      </c>
      <c r="D241" s="24">
        <f t="shared" si="85"/>
        <v>0.75</v>
      </c>
      <c r="E241" s="24">
        <f t="shared" si="85"/>
        <v>0.75</v>
      </c>
      <c r="F241" s="24">
        <f t="shared" si="85"/>
        <v>0.5</v>
      </c>
      <c r="G241" s="24">
        <f t="shared" si="85"/>
        <v>0.5</v>
      </c>
      <c r="H241" s="24">
        <f t="shared" si="85"/>
        <v>0.5</v>
      </c>
      <c r="I241" s="24">
        <f t="shared" si="85"/>
        <v>0</v>
      </c>
      <c r="J241" s="24">
        <f t="shared" si="85"/>
        <v>0</v>
      </c>
      <c r="K241" s="24">
        <f t="shared" si="85"/>
        <v>0.25</v>
      </c>
      <c r="L241" s="24">
        <f t="shared" si="85"/>
        <v>0.5</v>
      </c>
      <c r="M241" s="24">
        <f t="shared" si="85"/>
        <v>0.5</v>
      </c>
      <c r="N241" s="24">
        <f t="shared" si="85"/>
        <v>0.5</v>
      </c>
      <c r="O241" s="24">
        <f t="shared" si="85"/>
        <v>1</v>
      </c>
      <c r="P241" s="24">
        <f t="shared" si="85"/>
        <v>1</v>
      </c>
      <c r="Q241" s="24">
        <f t="shared" si="85"/>
        <v>0.5</v>
      </c>
      <c r="R241" s="24">
        <f t="shared" si="85"/>
        <v>0.5</v>
      </c>
      <c r="S241" s="24">
        <f t="shared" si="85"/>
        <v>1</v>
      </c>
      <c r="T241" s="24">
        <f t="shared" si="85"/>
        <v>0.75</v>
      </c>
      <c r="U241" s="24">
        <f t="shared" si="85"/>
        <v>0.5</v>
      </c>
      <c r="V241" s="24">
        <f t="shared" si="85"/>
        <v>0.75</v>
      </c>
      <c r="W241" s="24">
        <f t="shared" si="85"/>
        <v>1</v>
      </c>
      <c r="X241" s="24">
        <f t="shared" si="85"/>
        <v>1</v>
      </c>
      <c r="Y241" s="24">
        <f t="shared" si="85"/>
        <v>1</v>
      </c>
      <c r="Z241" s="24">
        <f t="shared" si="85"/>
        <v>1</v>
      </c>
      <c r="AA241" s="25"/>
      <c r="AB241" s="26">
        <f>SUM(AB236:AB239)/4</f>
        <v>0.66</v>
      </c>
      <c r="AC241" s="2"/>
    </row>
    <row r="242">
      <c r="A242" s="27" t="s">
        <v>75</v>
      </c>
      <c r="B242" s="28"/>
      <c r="C242" s="29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30">
        <f t="shared" ref="AA242:AA244" si="86">SUM(B242:Z242)</f>
        <v>0</v>
      </c>
      <c r="AB242" s="31"/>
      <c r="AC242" s="2"/>
    </row>
    <row r="243">
      <c r="A243" s="32" t="s">
        <v>45</v>
      </c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28"/>
      <c r="W243" s="28"/>
      <c r="X243" s="28"/>
      <c r="Y243" s="28"/>
      <c r="Z243" s="28"/>
      <c r="AA243" s="30">
        <f t="shared" si="86"/>
        <v>0</v>
      </c>
      <c r="AB243" s="31"/>
      <c r="AC243" s="9"/>
    </row>
    <row r="244">
      <c r="A244" s="34" t="s">
        <v>46</v>
      </c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28"/>
      <c r="W244" s="28"/>
      <c r="X244" s="28"/>
      <c r="Y244" s="28"/>
      <c r="Z244" s="28"/>
      <c r="AA244" s="30">
        <f t="shared" si="86"/>
        <v>0</v>
      </c>
      <c r="AB244" s="31"/>
      <c r="AC244" s="9"/>
    </row>
    <row r="245">
      <c r="A245" s="35" t="s">
        <v>47</v>
      </c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7"/>
      <c r="AA245" s="38"/>
      <c r="AB245" s="39"/>
      <c r="AC245" s="2"/>
    </row>
    <row r="246">
      <c r="A246" s="40" t="s">
        <v>48</v>
      </c>
      <c r="B246" s="41"/>
      <c r="C246" s="133">
        <v>1.0</v>
      </c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3"/>
      <c r="W246" s="43"/>
      <c r="X246" s="43"/>
      <c r="Y246" s="43"/>
      <c r="Z246" s="43"/>
      <c r="AA246" s="44">
        <f t="shared" ref="AA246:AA247" si="87">SUM(B246:Z246)</f>
        <v>1</v>
      </c>
      <c r="AB246" s="31"/>
      <c r="AC246" s="2"/>
    </row>
    <row r="247">
      <c r="A247" s="40" t="s">
        <v>49</v>
      </c>
      <c r="B247" s="41"/>
      <c r="C247" s="133">
        <v>10.0</v>
      </c>
      <c r="D247" s="133">
        <v>10.0</v>
      </c>
      <c r="E247" s="41"/>
      <c r="F247" s="133">
        <v>10.0</v>
      </c>
      <c r="G247" s="133">
        <v>20.0</v>
      </c>
      <c r="H247" s="133">
        <v>20.0</v>
      </c>
      <c r="I247" s="133">
        <v>20.0</v>
      </c>
      <c r="J247" s="133">
        <v>20.0</v>
      </c>
      <c r="K247" s="133">
        <v>20.0</v>
      </c>
      <c r="L247" s="133">
        <v>20.0</v>
      </c>
      <c r="M247" s="133">
        <v>10.0</v>
      </c>
      <c r="N247" s="133">
        <v>10.0</v>
      </c>
      <c r="O247" s="41"/>
      <c r="P247" s="41"/>
      <c r="Q247" s="41"/>
      <c r="R247" s="41"/>
      <c r="S247" s="41"/>
      <c r="T247" s="41"/>
      <c r="U247" s="41"/>
      <c r="V247" s="43"/>
      <c r="W247" s="43"/>
      <c r="X247" s="43"/>
      <c r="Y247" s="43"/>
      <c r="Z247" s="43"/>
      <c r="AA247" s="44">
        <f t="shared" si="87"/>
        <v>170</v>
      </c>
      <c r="AB247" s="31"/>
      <c r="AC247" s="2"/>
    </row>
    <row r="248">
      <c r="A248" s="40" t="s">
        <v>50</v>
      </c>
      <c r="B248" s="42"/>
      <c r="C248" s="133">
        <v>1.0</v>
      </c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3"/>
      <c r="W248" s="43"/>
      <c r="X248" s="43"/>
      <c r="Y248" s="43"/>
      <c r="Z248" s="43"/>
      <c r="AA248" s="44">
        <f>AVERAGE(B248:Z248)</f>
        <v>1</v>
      </c>
      <c r="AB248" s="31"/>
      <c r="AC248" s="2"/>
    </row>
    <row r="249">
      <c r="A249" s="45" t="s">
        <v>51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7"/>
      <c r="AA249" s="46"/>
      <c r="AB249" s="39"/>
      <c r="AC249" s="2"/>
    </row>
    <row r="250">
      <c r="A250" s="47" t="s">
        <v>48</v>
      </c>
      <c r="B250" s="48"/>
      <c r="C250" s="49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50"/>
      <c r="W250" s="50"/>
      <c r="X250" s="50"/>
      <c r="Y250" s="50"/>
      <c r="Z250" s="50"/>
      <c r="AA250" s="51">
        <f t="shared" ref="AA250:AA251" si="88">SUM(B250:Z250)</f>
        <v>0</v>
      </c>
      <c r="AB250" s="31"/>
      <c r="AC250" s="2"/>
    </row>
    <row r="251">
      <c r="A251" s="47" t="s">
        <v>49</v>
      </c>
      <c r="B251" s="48"/>
      <c r="C251" s="49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50"/>
      <c r="W251" s="50"/>
      <c r="X251" s="50"/>
      <c r="Y251" s="50"/>
      <c r="Z251" s="50"/>
      <c r="AA251" s="51">
        <f t="shared" si="88"/>
        <v>0</v>
      </c>
      <c r="AB251" s="31"/>
      <c r="AC251" s="2"/>
    </row>
    <row r="252">
      <c r="A252" s="47" t="s">
        <v>50</v>
      </c>
      <c r="B252" s="49"/>
      <c r="C252" s="49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50"/>
      <c r="W252" s="50"/>
      <c r="X252" s="50"/>
      <c r="Y252" s="50"/>
      <c r="Z252" s="50"/>
      <c r="AA252" s="51" t="str">
        <f>AVERAGE(B252:Z252)</f>
        <v>#DIV/0!</v>
      </c>
      <c r="AB252" s="31"/>
      <c r="AC252" s="2"/>
    </row>
    <row r="253">
      <c r="A253" s="52" t="s">
        <v>53</v>
      </c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7"/>
      <c r="AA253" s="38"/>
      <c r="AB253" s="39"/>
      <c r="AC253" s="2"/>
    </row>
    <row r="254">
      <c r="A254" s="40" t="s">
        <v>48</v>
      </c>
      <c r="B254" s="41"/>
      <c r="C254" s="42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3"/>
      <c r="W254" s="43"/>
      <c r="X254" s="43"/>
      <c r="Y254" s="43"/>
      <c r="Z254" s="43"/>
      <c r="AA254" s="44">
        <f t="shared" ref="AA254:AA255" si="89">SUM(B254:Z254)</f>
        <v>0</v>
      </c>
      <c r="AB254" s="31"/>
      <c r="AC254" s="2"/>
    </row>
    <row r="255">
      <c r="A255" s="40" t="s">
        <v>49</v>
      </c>
      <c r="B255" s="41"/>
      <c r="C255" s="42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3"/>
      <c r="W255" s="43"/>
      <c r="X255" s="43"/>
      <c r="Y255" s="43"/>
      <c r="Z255" s="43"/>
      <c r="AA255" s="44">
        <f t="shared" si="89"/>
        <v>0</v>
      </c>
      <c r="AB255" s="31"/>
      <c r="AC255" s="2"/>
    </row>
    <row r="256">
      <c r="A256" s="53" t="s">
        <v>50</v>
      </c>
      <c r="B256" s="54"/>
      <c r="C256" s="54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6"/>
      <c r="W256" s="56"/>
      <c r="X256" s="56"/>
      <c r="Y256" s="56"/>
      <c r="Z256" s="56"/>
      <c r="AA256" s="57" t="str">
        <f>AVERAGE(B256:Z256)</f>
        <v>#DIV/0!</v>
      </c>
      <c r="AB256" s="58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59"/>
      <c r="AB257" s="59"/>
      <c r="AC257" s="2"/>
    </row>
    <row r="258">
      <c r="A258" s="13">
        <v>45981.0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5" t="s">
        <v>37</v>
      </c>
      <c r="AB258" s="16" t="s">
        <v>38</v>
      </c>
      <c r="AC258" s="2"/>
    </row>
    <row r="259">
      <c r="A259" s="17" t="s">
        <v>39</v>
      </c>
      <c r="B259" s="19">
        <v>0.0</v>
      </c>
      <c r="C259" s="19">
        <v>0.0</v>
      </c>
      <c r="D259" s="19">
        <v>0.0</v>
      </c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20">
        <f t="shared" ref="AA259:AA263" si="90">SUM(B259:Z259)</f>
        <v>0</v>
      </c>
      <c r="AB259" s="21">
        <f t="shared" ref="AB259:AB262" si="91">AA259/(COUNT(B259:Z259)*1)</f>
        <v>0</v>
      </c>
      <c r="AC259" s="2"/>
    </row>
    <row r="260">
      <c r="A260" s="17" t="s">
        <v>40</v>
      </c>
      <c r="B260" s="19">
        <v>1.0</v>
      </c>
      <c r="C260" s="19">
        <v>1.0</v>
      </c>
      <c r="D260" s="19">
        <v>1.0</v>
      </c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20">
        <f t="shared" si="90"/>
        <v>3</v>
      </c>
      <c r="AB260" s="21">
        <f t="shared" si="91"/>
        <v>1</v>
      </c>
      <c r="AC260" s="2"/>
    </row>
    <row r="261">
      <c r="A261" s="17" t="s">
        <v>41</v>
      </c>
      <c r="B261" s="19">
        <v>0.0</v>
      </c>
      <c r="C261" s="19">
        <v>0.0</v>
      </c>
      <c r="D261" s="19">
        <v>0.0</v>
      </c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20">
        <f t="shared" si="90"/>
        <v>0</v>
      </c>
      <c r="AB261" s="21">
        <f t="shared" si="91"/>
        <v>0</v>
      </c>
      <c r="AC261" s="2"/>
    </row>
    <row r="262">
      <c r="A262" s="17" t="s">
        <v>42</v>
      </c>
      <c r="B262" s="19">
        <v>1.0</v>
      </c>
      <c r="C262" s="19">
        <v>1.0</v>
      </c>
      <c r="D262" s="19">
        <v>1.0</v>
      </c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20">
        <f t="shared" si="90"/>
        <v>3</v>
      </c>
      <c r="AB262" s="21">
        <f t="shared" si="91"/>
        <v>1</v>
      </c>
      <c r="AC262" s="2"/>
    </row>
    <row r="263">
      <c r="A263" s="17" t="s">
        <v>43</v>
      </c>
      <c r="B263" s="22">
        <f t="shared" ref="B263:Z263" si="92">SUM(B259:B262)</f>
        <v>2</v>
      </c>
      <c r="C263" s="22">
        <f t="shared" si="92"/>
        <v>2</v>
      </c>
      <c r="D263" s="22">
        <f t="shared" si="92"/>
        <v>2</v>
      </c>
      <c r="E263" s="22">
        <f t="shared" si="92"/>
        <v>0</v>
      </c>
      <c r="F263" s="22">
        <f t="shared" si="92"/>
        <v>0</v>
      </c>
      <c r="G263" s="22">
        <f t="shared" si="92"/>
        <v>0</v>
      </c>
      <c r="H263" s="22">
        <f t="shared" si="92"/>
        <v>0</v>
      </c>
      <c r="I263" s="22">
        <f t="shared" si="92"/>
        <v>0</v>
      </c>
      <c r="J263" s="22">
        <f t="shared" si="92"/>
        <v>0</v>
      </c>
      <c r="K263" s="22">
        <f t="shared" si="92"/>
        <v>0</v>
      </c>
      <c r="L263" s="22">
        <f t="shared" si="92"/>
        <v>0</v>
      </c>
      <c r="M263" s="22">
        <f t="shared" si="92"/>
        <v>0</v>
      </c>
      <c r="N263" s="22">
        <f t="shared" si="92"/>
        <v>0</v>
      </c>
      <c r="O263" s="22">
        <f t="shared" si="92"/>
        <v>0</v>
      </c>
      <c r="P263" s="22">
        <f t="shared" si="92"/>
        <v>0</v>
      </c>
      <c r="Q263" s="22">
        <f t="shared" si="92"/>
        <v>0</v>
      </c>
      <c r="R263" s="22">
        <f t="shared" si="92"/>
        <v>0</v>
      </c>
      <c r="S263" s="22">
        <f t="shared" si="92"/>
        <v>0</v>
      </c>
      <c r="T263" s="22">
        <f t="shared" si="92"/>
        <v>0</v>
      </c>
      <c r="U263" s="22">
        <f t="shared" si="92"/>
        <v>0</v>
      </c>
      <c r="V263" s="22">
        <f t="shared" si="92"/>
        <v>0</v>
      </c>
      <c r="W263" s="22">
        <f t="shared" si="92"/>
        <v>0</v>
      </c>
      <c r="X263" s="22">
        <f t="shared" si="92"/>
        <v>0</v>
      </c>
      <c r="Y263" s="22">
        <f t="shared" si="92"/>
        <v>0</v>
      </c>
      <c r="Z263" s="22">
        <f t="shared" si="92"/>
        <v>0</v>
      </c>
      <c r="AA263" s="20">
        <f t="shared" si="90"/>
        <v>6</v>
      </c>
      <c r="AB263" s="23"/>
      <c r="AC263" s="2"/>
    </row>
    <row r="264">
      <c r="A264" s="17" t="s">
        <v>38</v>
      </c>
      <c r="B264" s="24">
        <f t="shared" ref="B264:Z264" si="93">B263/(COUNT(B259:B262)*1)</f>
        <v>0.5</v>
      </c>
      <c r="C264" s="24">
        <f t="shared" si="93"/>
        <v>0.5</v>
      </c>
      <c r="D264" s="24">
        <f t="shared" si="93"/>
        <v>0.5</v>
      </c>
      <c r="E264" s="24" t="str">
        <f t="shared" si="93"/>
        <v>#DIV/0!</v>
      </c>
      <c r="F264" s="24" t="str">
        <f t="shared" si="93"/>
        <v>#DIV/0!</v>
      </c>
      <c r="G264" s="24" t="str">
        <f t="shared" si="93"/>
        <v>#DIV/0!</v>
      </c>
      <c r="H264" s="24" t="str">
        <f t="shared" si="93"/>
        <v>#DIV/0!</v>
      </c>
      <c r="I264" s="24" t="str">
        <f t="shared" si="93"/>
        <v>#DIV/0!</v>
      </c>
      <c r="J264" s="24" t="str">
        <f t="shared" si="93"/>
        <v>#DIV/0!</v>
      </c>
      <c r="K264" s="24" t="str">
        <f t="shared" si="93"/>
        <v>#DIV/0!</v>
      </c>
      <c r="L264" s="24" t="str">
        <f t="shared" si="93"/>
        <v>#DIV/0!</v>
      </c>
      <c r="M264" s="24" t="str">
        <f t="shared" si="93"/>
        <v>#DIV/0!</v>
      </c>
      <c r="N264" s="24" t="str">
        <f t="shared" si="93"/>
        <v>#DIV/0!</v>
      </c>
      <c r="O264" s="24" t="str">
        <f t="shared" si="93"/>
        <v>#DIV/0!</v>
      </c>
      <c r="P264" s="24" t="str">
        <f t="shared" si="93"/>
        <v>#DIV/0!</v>
      </c>
      <c r="Q264" s="24" t="str">
        <f t="shared" si="93"/>
        <v>#DIV/0!</v>
      </c>
      <c r="R264" s="24" t="str">
        <f t="shared" si="93"/>
        <v>#DIV/0!</v>
      </c>
      <c r="S264" s="24" t="str">
        <f t="shared" si="93"/>
        <v>#DIV/0!</v>
      </c>
      <c r="T264" s="24" t="str">
        <f t="shared" si="93"/>
        <v>#DIV/0!</v>
      </c>
      <c r="U264" s="24" t="str">
        <f t="shared" si="93"/>
        <v>#DIV/0!</v>
      </c>
      <c r="V264" s="24" t="str">
        <f t="shared" si="93"/>
        <v>#DIV/0!</v>
      </c>
      <c r="W264" s="24" t="str">
        <f t="shared" si="93"/>
        <v>#DIV/0!</v>
      </c>
      <c r="X264" s="24" t="str">
        <f t="shared" si="93"/>
        <v>#DIV/0!</v>
      </c>
      <c r="Y264" s="24" t="str">
        <f t="shared" si="93"/>
        <v>#DIV/0!</v>
      </c>
      <c r="Z264" s="24" t="str">
        <f t="shared" si="93"/>
        <v>#DIV/0!</v>
      </c>
      <c r="AA264" s="25"/>
      <c r="AB264" s="26">
        <f>SUM(AB259:AB262)/4</f>
        <v>0.5</v>
      </c>
      <c r="AC264" s="2"/>
    </row>
    <row r="265">
      <c r="A265" s="27" t="s">
        <v>75</v>
      </c>
      <c r="B265" s="28"/>
      <c r="C265" s="29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30">
        <f t="shared" ref="AA265:AA267" si="94">SUM(B265:Z265)</f>
        <v>0</v>
      </c>
      <c r="AB265" s="31"/>
      <c r="AC265" s="2"/>
    </row>
    <row r="266">
      <c r="A266" s="32" t="s">
        <v>45</v>
      </c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28"/>
      <c r="W266" s="28"/>
      <c r="X266" s="28"/>
      <c r="Y266" s="28"/>
      <c r="Z266" s="28"/>
      <c r="AA266" s="30">
        <f t="shared" si="94"/>
        <v>0</v>
      </c>
      <c r="AB266" s="31"/>
      <c r="AC266" s="9"/>
    </row>
    <row r="267">
      <c r="A267" s="34" t="s">
        <v>46</v>
      </c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28"/>
      <c r="W267" s="28"/>
      <c r="X267" s="28"/>
      <c r="Y267" s="28"/>
      <c r="Z267" s="28"/>
      <c r="AA267" s="30">
        <f t="shared" si="94"/>
        <v>0</v>
      </c>
      <c r="AB267" s="31"/>
      <c r="AC267" s="9"/>
    </row>
    <row r="268">
      <c r="A268" s="35" t="s">
        <v>47</v>
      </c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7"/>
      <c r="AA268" s="38"/>
      <c r="AB268" s="39"/>
      <c r="AC268" s="2"/>
    </row>
    <row r="269">
      <c r="A269" s="40" t="s">
        <v>48</v>
      </c>
      <c r="B269" s="41"/>
      <c r="C269" s="42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3"/>
      <c r="W269" s="43"/>
      <c r="X269" s="43"/>
      <c r="Y269" s="43"/>
      <c r="Z269" s="43"/>
      <c r="AA269" s="44">
        <f t="shared" ref="AA269:AA270" si="95">SUM(B269:Z269)</f>
        <v>0</v>
      </c>
      <c r="AB269" s="31"/>
      <c r="AC269" s="2"/>
    </row>
    <row r="270">
      <c r="A270" s="40" t="s">
        <v>49</v>
      </c>
      <c r="B270" s="41"/>
      <c r="C270" s="42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3"/>
      <c r="W270" s="43"/>
      <c r="X270" s="43"/>
      <c r="Y270" s="43"/>
      <c r="Z270" s="43"/>
      <c r="AA270" s="44">
        <f t="shared" si="95"/>
        <v>0</v>
      </c>
      <c r="AB270" s="31"/>
      <c r="AC270" s="2"/>
    </row>
    <row r="271">
      <c r="A271" s="40" t="s">
        <v>50</v>
      </c>
      <c r="B271" s="42"/>
      <c r="C271" s="42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3"/>
      <c r="W271" s="43"/>
      <c r="X271" s="43"/>
      <c r="Y271" s="43"/>
      <c r="Z271" s="43"/>
      <c r="AA271" s="44" t="str">
        <f>AVERAGE(B271:Z271)</f>
        <v>#DIV/0!</v>
      </c>
      <c r="AB271" s="31"/>
      <c r="AC271" s="2"/>
    </row>
    <row r="272">
      <c r="A272" s="45" t="s">
        <v>51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7"/>
      <c r="AA272" s="46"/>
      <c r="AB272" s="39"/>
      <c r="AC272" s="2"/>
    </row>
    <row r="273">
      <c r="A273" s="47" t="s">
        <v>48</v>
      </c>
      <c r="B273" s="48"/>
      <c r="C273" s="49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50"/>
      <c r="W273" s="50"/>
      <c r="X273" s="50"/>
      <c r="Y273" s="50"/>
      <c r="Z273" s="50"/>
      <c r="AA273" s="51">
        <f t="shared" ref="AA273:AA274" si="96">SUM(B273:Z273)</f>
        <v>0</v>
      </c>
      <c r="AB273" s="31"/>
      <c r="AC273" s="2"/>
    </row>
    <row r="274">
      <c r="A274" s="47" t="s">
        <v>49</v>
      </c>
      <c r="B274" s="48"/>
      <c r="C274" s="49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50"/>
      <c r="W274" s="50"/>
      <c r="X274" s="50"/>
      <c r="Y274" s="50"/>
      <c r="Z274" s="50"/>
      <c r="AA274" s="51">
        <f t="shared" si="96"/>
        <v>0</v>
      </c>
      <c r="AB274" s="31"/>
      <c r="AC274" s="2"/>
    </row>
    <row r="275">
      <c r="A275" s="47" t="s">
        <v>50</v>
      </c>
      <c r="B275" s="49"/>
      <c r="C275" s="49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50"/>
      <c r="W275" s="50"/>
      <c r="X275" s="50"/>
      <c r="Y275" s="50"/>
      <c r="Z275" s="50"/>
      <c r="AA275" s="51" t="str">
        <f>AVERAGE(B275:Z275)</f>
        <v>#DIV/0!</v>
      </c>
      <c r="AB275" s="31"/>
      <c r="AC275" s="2"/>
    </row>
    <row r="276">
      <c r="A276" s="52" t="s">
        <v>53</v>
      </c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7"/>
      <c r="AA276" s="38"/>
      <c r="AB276" s="39"/>
      <c r="AC276" s="2"/>
    </row>
    <row r="277">
      <c r="A277" s="40" t="s">
        <v>48</v>
      </c>
      <c r="B277" s="41"/>
      <c r="C277" s="42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3"/>
      <c r="W277" s="43"/>
      <c r="X277" s="43"/>
      <c r="Y277" s="43"/>
      <c r="Z277" s="43"/>
      <c r="AA277" s="44">
        <f t="shared" ref="AA277:AA278" si="97">SUM(B277:Z277)</f>
        <v>0</v>
      </c>
      <c r="AB277" s="31"/>
      <c r="AC277" s="2"/>
    </row>
    <row r="278">
      <c r="A278" s="40" t="s">
        <v>49</v>
      </c>
      <c r="B278" s="41"/>
      <c r="C278" s="42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3"/>
      <c r="W278" s="43"/>
      <c r="X278" s="43"/>
      <c r="Y278" s="43"/>
      <c r="Z278" s="43"/>
      <c r="AA278" s="44">
        <f t="shared" si="97"/>
        <v>0</v>
      </c>
      <c r="AB278" s="31"/>
      <c r="AC278" s="2"/>
    </row>
    <row r="279">
      <c r="A279" s="53" t="s">
        <v>50</v>
      </c>
      <c r="B279" s="54"/>
      <c r="C279" s="54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6"/>
      <c r="W279" s="56"/>
      <c r="X279" s="56"/>
      <c r="Y279" s="56"/>
      <c r="Z279" s="56"/>
      <c r="AA279" s="57" t="str">
        <f>AVERAGE(B279:Z279)</f>
        <v>#DIV/0!</v>
      </c>
      <c r="AB279" s="58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59"/>
      <c r="AB280" s="59"/>
      <c r="AC280" s="2"/>
    </row>
    <row r="281">
      <c r="A281" s="13">
        <v>45985.0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5" t="s">
        <v>37</v>
      </c>
      <c r="AB281" s="16" t="s">
        <v>38</v>
      </c>
      <c r="AC281" s="2"/>
    </row>
    <row r="282">
      <c r="A282" s="17" t="s">
        <v>39</v>
      </c>
      <c r="B282" s="19">
        <v>1.0</v>
      </c>
      <c r="C282" s="19">
        <v>1.0</v>
      </c>
      <c r="D282" s="19">
        <v>1.0</v>
      </c>
      <c r="E282" s="19">
        <v>1.0</v>
      </c>
      <c r="F282" s="19">
        <v>1.0</v>
      </c>
      <c r="G282" s="19">
        <v>0.0</v>
      </c>
      <c r="H282" s="19">
        <v>0.0</v>
      </c>
      <c r="I282" s="19">
        <v>0.0</v>
      </c>
      <c r="J282" s="19">
        <v>0.0</v>
      </c>
      <c r="K282" s="19">
        <v>0.0</v>
      </c>
      <c r="L282" s="19">
        <v>0.0</v>
      </c>
      <c r="M282" s="19">
        <v>0.0</v>
      </c>
      <c r="N282" s="19">
        <v>0.0</v>
      </c>
      <c r="O282" s="19">
        <v>0.0</v>
      </c>
      <c r="P282" s="19">
        <v>0.0</v>
      </c>
      <c r="Q282" s="19">
        <v>0.0</v>
      </c>
      <c r="R282" s="19">
        <v>0.0</v>
      </c>
      <c r="S282" s="19">
        <v>0.0</v>
      </c>
      <c r="T282" s="19">
        <v>0.0</v>
      </c>
      <c r="U282" s="19">
        <v>0.0</v>
      </c>
      <c r="V282" s="19">
        <v>0.0</v>
      </c>
      <c r="W282" s="19">
        <v>0.0</v>
      </c>
      <c r="X282" s="19">
        <v>0.0</v>
      </c>
      <c r="Y282" s="19">
        <v>0.0</v>
      </c>
      <c r="Z282" s="18"/>
      <c r="AA282" s="20">
        <f t="shared" ref="AA282:AA286" si="98">SUM(B282:Z282)</f>
        <v>5</v>
      </c>
      <c r="AB282" s="21">
        <f t="shared" ref="AB282:AB285" si="99">AA282/(COUNT(B282:Z282)*1)</f>
        <v>0.2083333333</v>
      </c>
      <c r="AC282" s="2"/>
    </row>
    <row r="283">
      <c r="A283" s="17" t="s">
        <v>40</v>
      </c>
      <c r="B283" s="19">
        <v>1.0</v>
      </c>
      <c r="C283" s="19">
        <v>1.0</v>
      </c>
      <c r="D283" s="19">
        <v>1.0</v>
      </c>
      <c r="E283" s="19">
        <v>1.0</v>
      </c>
      <c r="F283" s="19">
        <v>1.0</v>
      </c>
      <c r="G283" s="19">
        <v>0.0</v>
      </c>
      <c r="H283" s="19">
        <v>1.0</v>
      </c>
      <c r="I283" s="19">
        <v>1.0</v>
      </c>
      <c r="J283" s="19">
        <v>1.0</v>
      </c>
      <c r="K283" s="19">
        <v>1.0</v>
      </c>
      <c r="L283" s="19">
        <v>1.0</v>
      </c>
      <c r="M283" s="19">
        <v>1.0</v>
      </c>
      <c r="N283" s="19">
        <v>1.0</v>
      </c>
      <c r="O283" s="19">
        <v>1.0</v>
      </c>
      <c r="P283" s="19">
        <v>1.0</v>
      </c>
      <c r="Q283" s="19">
        <v>1.0</v>
      </c>
      <c r="R283" s="19">
        <v>0.0</v>
      </c>
      <c r="S283" s="19">
        <v>0.0</v>
      </c>
      <c r="T283" s="19">
        <v>0.0</v>
      </c>
      <c r="U283" s="19">
        <v>0.0</v>
      </c>
      <c r="V283" s="19">
        <v>0.0</v>
      </c>
      <c r="W283" s="19">
        <v>0.0</v>
      </c>
      <c r="X283" s="19">
        <v>0.0</v>
      </c>
      <c r="Y283" s="19">
        <v>0.0</v>
      </c>
      <c r="Z283" s="18"/>
      <c r="AA283" s="20">
        <f t="shared" si="98"/>
        <v>15</v>
      </c>
      <c r="AB283" s="21">
        <f t="shared" si="99"/>
        <v>0.625</v>
      </c>
      <c r="AC283" s="2"/>
    </row>
    <row r="284">
      <c r="A284" s="17" t="s">
        <v>41</v>
      </c>
      <c r="B284" s="19">
        <v>1.0</v>
      </c>
      <c r="C284" s="19">
        <v>1.0</v>
      </c>
      <c r="D284" s="19">
        <v>1.0</v>
      </c>
      <c r="E284" s="19">
        <v>1.0</v>
      </c>
      <c r="F284" s="19">
        <v>1.0</v>
      </c>
      <c r="G284" s="19">
        <v>0.0</v>
      </c>
      <c r="H284" s="19">
        <v>0.0</v>
      </c>
      <c r="I284" s="19">
        <v>0.0</v>
      </c>
      <c r="J284" s="19">
        <v>0.0</v>
      </c>
      <c r="K284" s="19">
        <v>0.0</v>
      </c>
      <c r="L284" s="19">
        <v>0.0</v>
      </c>
      <c r="M284" s="19">
        <v>0.0</v>
      </c>
      <c r="N284" s="19">
        <v>0.0</v>
      </c>
      <c r="O284" s="19">
        <v>0.0</v>
      </c>
      <c r="P284" s="19">
        <v>0.0</v>
      </c>
      <c r="Q284" s="19">
        <v>0.0</v>
      </c>
      <c r="R284" s="19">
        <v>0.0</v>
      </c>
      <c r="S284" s="19">
        <v>0.0</v>
      </c>
      <c r="T284" s="19">
        <v>0.0</v>
      </c>
      <c r="U284" s="19">
        <v>0.0</v>
      </c>
      <c r="V284" s="19">
        <v>0.0</v>
      </c>
      <c r="W284" s="19">
        <v>0.0</v>
      </c>
      <c r="X284" s="19">
        <v>0.0</v>
      </c>
      <c r="Y284" s="19">
        <v>0.0</v>
      </c>
      <c r="Z284" s="18"/>
      <c r="AA284" s="20">
        <f t="shared" si="98"/>
        <v>5</v>
      </c>
      <c r="AB284" s="21">
        <f t="shared" si="99"/>
        <v>0.2083333333</v>
      </c>
      <c r="AC284" s="2"/>
    </row>
    <row r="285">
      <c r="A285" s="17" t="s">
        <v>42</v>
      </c>
      <c r="B285" s="19">
        <v>1.0</v>
      </c>
      <c r="C285" s="19">
        <v>1.0</v>
      </c>
      <c r="D285" s="19">
        <v>1.0</v>
      </c>
      <c r="E285" s="19">
        <v>1.0</v>
      </c>
      <c r="F285" s="19">
        <v>1.0</v>
      </c>
      <c r="G285" s="19">
        <v>1.0</v>
      </c>
      <c r="H285" s="19">
        <v>1.0</v>
      </c>
      <c r="I285" s="19">
        <v>1.0</v>
      </c>
      <c r="J285" s="19">
        <v>1.0</v>
      </c>
      <c r="K285" s="19">
        <v>1.0</v>
      </c>
      <c r="L285" s="19">
        <v>1.0</v>
      </c>
      <c r="M285" s="19">
        <v>1.0</v>
      </c>
      <c r="N285" s="19">
        <v>1.0</v>
      </c>
      <c r="O285" s="19">
        <v>1.0</v>
      </c>
      <c r="P285" s="19">
        <v>1.0</v>
      </c>
      <c r="Q285" s="19">
        <v>1.0</v>
      </c>
      <c r="R285" s="19">
        <v>1.0</v>
      </c>
      <c r="S285" s="19">
        <v>1.0</v>
      </c>
      <c r="T285" s="19">
        <v>1.0</v>
      </c>
      <c r="U285" s="19">
        <v>1.0</v>
      </c>
      <c r="V285" s="19">
        <v>1.0</v>
      </c>
      <c r="W285" s="19">
        <v>1.0</v>
      </c>
      <c r="X285" s="19">
        <v>1.0</v>
      </c>
      <c r="Y285" s="19">
        <v>1.0</v>
      </c>
      <c r="Z285" s="18"/>
      <c r="AA285" s="20">
        <f t="shared" si="98"/>
        <v>24</v>
      </c>
      <c r="AB285" s="21">
        <f t="shared" si="99"/>
        <v>1</v>
      </c>
      <c r="AC285" s="2"/>
    </row>
    <row r="286">
      <c r="A286" s="17" t="s">
        <v>43</v>
      </c>
      <c r="B286" s="22">
        <f t="shared" ref="B286:Z286" si="100">SUM(B282:B285)</f>
        <v>4</v>
      </c>
      <c r="C286" s="22">
        <f t="shared" si="100"/>
        <v>4</v>
      </c>
      <c r="D286" s="22">
        <f t="shared" si="100"/>
        <v>4</v>
      </c>
      <c r="E286" s="22">
        <f t="shared" si="100"/>
        <v>4</v>
      </c>
      <c r="F286" s="22">
        <f t="shared" si="100"/>
        <v>4</v>
      </c>
      <c r="G286" s="22">
        <f t="shared" si="100"/>
        <v>1</v>
      </c>
      <c r="H286" s="22">
        <f t="shared" si="100"/>
        <v>2</v>
      </c>
      <c r="I286" s="22">
        <f t="shared" si="100"/>
        <v>2</v>
      </c>
      <c r="J286" s="22">
        <f t="shared" si="100"/>
        <v>2</v>
      </c>
      <c r="K286" s="22">
        <f t="shared" si="100"/>
        <v>2</v>
      </c>
      <c r="L286" s="22">
        <f t="shared" si="100"/>
        <v>2</v>
      </c>
      <c r="M286" s="22">
        <f t="shared" si="100"/>
        <v>2</v>
      </c>
      <c r="N286" s="22">
        <f t="shared" si="100"/>
        <v>2</v>
      </c>
      <c r="O286" s="22">
        <f t="shared" si="100"/>
        <v>2</v>
      </c>
      <c r="P286" s="22">
        <f t="shared" si="100"/>
        <v>2</v>
      </c>
      <c r="Q286" s="22">
        <f t="shared" si="100"/>
        <v>2</v>
      </c>
      <c r="R286" s="22">
        <f t="shared" si="100"/>
        <v>1</v>
      </c>
      <c r="S286" s="22">
        <f t="shared" si="100"/>
        <v>1</v>
      </c>
      <c r="T286" s="22">
        <f t="shared" si="100"/>
        <v>1</v>
      </c>
      <c r="U286" s="22">
        <f t="shared" si="100"/>
        <v>1</v>
      </c>
      <c r="V286" s="22">
        <f t="shared" si="100"/>
        <v>1</v>
      </c>
      <c r="W286" s="22">
        <f t="shared" si="100"/>
        <v>1</v>
      </c>
      <c r="X286" s="22">
        <f t="shared" si="100"/>
        <v>1</v>
      </c>
      <c r="Y286" s="22">
        <f t="shared" si="100"/>
        <v>1</v>
      </c>
      <c r="Z286" s="22">
        <f t="shared" si="100"/>
        <v>0</v>
      </c>
      <c r="AA286" s="20">
        <f t="shared" si="98"/>
        <v>49</v>
      </c>
      <c r="AB286" s="23"/>
      <c r="AC286" s="2"/>
    </row>
    <row r="287">
      <c r="A287" s="17" t="s">
        <v>38</v>
      </c>
      <c r="B287" s="24">
        <f t="shared" ref="B287:Z287" si="101">B286/(COUNT(B282:B285)*1)</f>
        <v>1</v>
      </c>
      <c r="C287" s="24">
        <f t="shared" si="101"/>
        <v>1</v>
      </c>
      <c r="D287" s="24">
        <f t="shared" si="101"/>
        <v>1</v>
      </c>
      <c r="E287" s="24">
        <f t="shared" si="101"/>
        <v>1</v>
      </c>
      <c r="F287" s="24">
        <f t="shared" si="101"/>
        <v>1</v>
      </c>
      <c r="G287" s="24">
        <f t="shared" si="101"/>
        <v>0.25</v>
      </c>
      <c r="H287" s="24">
        <f t="shared" si="101"/>
        <v>0.5</v>
      </c>
      <c r="I287" s="24">
        <f t="shared" si="101"/>
        <v>0.5</v>
      </c>
      <c r="J287" s="24">
        <f t="shared" si="101"/>
        <v>0.5</v>
      </c>
      <c r="K287" s="24">
        <f t="shared" si="101"/>
        <v>0.5</v>
      </c>
      <c r="L287" s="24">
        <f t="shared" si="101"/>
        <v>0.5</v>
      </c>
      <c r="M287" s="24">
        <f t="shared" si="101"/>
        <v>0.5</v>
      </c>
      <c r="N287" s="24">
        <f t="shared" si="101"/>
        <v>0.5</v>
      </c>
      <c r="O287" s="24">
        <f t="shared" si="101"/>
        <v>0.5</v>
      </c>
      <c r="P287" s="24">
        <f t="shared" si="101"/>
        <v>0.5</v>
      </c>
      <c r="Q287" s="24">
        <f t="shared" si="101"/>
        <v>0.5</v>
      </c>
      <c r="R287" s="24">
        <f t="shared" si="101"/>
        <v>0.25</v>
      </c>
      <c r="S287" s="24">
        <f t="shared" si="101"/>
        <v>0.25</v>
      </c>
      <c r="T287" s="24">
        <f t="shared" si="101"/>
        <v>0.25</v>
      </c>
      <c r="U287" s="24">
        <f t="shared" si="101"/>
        <v>0.25</v>
      </c>
      <c r="V287" s="24">
        <f t="shared" si="101"/>
        <v>0.25</v>
      </c>
      <c r="W287" s="24">
        <f t="shared" si="101"/>
        <v>0.25</v>
      </c>
      <c r="X287" s="24">
        <f t="shared" si="101"/>
        <v>0.25</v>
      </c>
      <c r="Y287" s="24">
        <f t="shared" si="101"/>
        <v>0.25</v>
      </c>
      <c r="Z287" s="24" t="str">
        <f t="shared" si="101"/>
        <v>#DIV/0!</v>
      </c>
      <c r="AA287" s="25"/>
      <c r="AB287" s="26">
        <f>SUM(AB282:AB285)/4</f>
        <v>0.5104166667</v>
      </c>
      <c r="AC287" s="2"/>
    </row>
    <row r="288">
      <c r="A288" s="27" t="s">
        <v>75</v>
      </c>
      <c r="B288" s="60"/>
      <c r="C288" s="61"/>
      <c r="D288" s="60"/>
      <c r="E288" s="60"/>
      <c r="F288" s="60"/>
      <c r="G288" s="68">
        <v>5.0</v>
      </c>
      <c r="H288" s="68">
        <v>20.0</v>
      </c>
      <c r="I288" s="68">
        <v>20.0</v>
      </c>
      <c r="J288" s="68">
        <v>20.0</v>
      </c>
      <c r="K288" s="68">
        <v>20.0</v>
      </c>
      <c r="L288" s="68">
        <v>20.0</v>
      </c>
      <c r="M288" s="68">
        <v>15.0</v>
      </c>
      <c r="N288" s="68">
        <v>15.0</v>
      </c>
      <c r="O288" s="60"/>
      <c r="P288" s="60"/>
      <c r="Q288" s="60"/>
      <c r="R288" s="60"/>
      <c r="S288" s="68">
        <v>20.0</v>
      </c>
      <c r="T288" s="68">
        <v>20.0</v>
      </c>
      <c r="U288" s="68">
        <v>20.0</v>
      </c>
      <c r="V288" s="68">
        <v>20.0</v>
      </c>
      <c r="W288" s="68">
        <v>20.0</v>
      </c>
      <c r="X288" s="68">
        <v>10.0</v>
      </c>
      <c r="Y288" s="60"/>
      <c r="Z288" s="60"/>
      <c r="AA288" s="30">
        <f t="shared" ref="AA288:AA290" si="102">SUM(B288:Z288)</f>
        <v>245</v>
      </c>
      <c r="AB288" s="31"/>
      <c r="AC288" s="2"/>
    </row>
    <row r="289">
      <c r="A289" s="32" t="s">
        <v>45</v>
      </c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0"/>
      <c r="W289" s="60"/>
      <c r="X289" s="60"/>
      <c r="Y289" s="60"/>
      <c r="Z289" s="60"/>
      <c r="AA289" s="30">
        <f t="shared" si="102"/>
        <v>0</v>
      </c>
      <c r="AB289" s="31"/>
      <c r="AC289" s="9"/>
    </row>
    <row r="290">
      <c r="A290" s="34" t="s">
        <v>46</v>
      </c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0"/>
      <c r="W290" s="60"/>
      <c r="X290" s="60"/>
      <c r="Y290" s="60"/>
      <c r="Z290" s="60"/>
      <c r="AA290" s="30">
        <f t="shared" si="102"/>
        <v>0</v>
      </c>
      <c r="AB290" s="31"/>
      <c r="AC290" s="9"/>
    </row>
    <row r="291">
      <c r="A291" s="35" t="s">
        <v>47</v>
      </c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7"/>
      <c r="AA291" s="38"/>
      <c r="AB291" s="39"/>
      <c r="AC291" s="2"/>
    </row>
    <row r="292">
      <c r="A292" s="40" t="s">
        <v>48</v>
      </c>
      <c r="B292" s="63"/>
      <c r="C292" s="64"/>
      <c r="D292" s="63"/>
      <c r="E292" s="63"/>
      <c r="F292" s="63"/>
      <c r="G292" s="63"/>
      <c r="H292" s="65">
        <v>1.0</v>
      </c>
      <c r="I292" s="63"/>
      <c r="J292" s="63"/>
      <c r="K292" s="63"/>
      <c r="L292" s="63"/>
      <c r="M292" s="63"/>
      <c r="N292" s="63"/>
      <c r="O292" s="63"/>
      <c r="P292" s="63"/>
      <c r="Q292" s="65">
        <v>1.0</v>
      </c>
      <c r="R292" s="63"/>
      <c r="S292" s="63"/>
      <c r="T292" s="63"/>
      <c r="U292" s="63"/>
      <c r="V292" s="66"/>
      <c r="W292" s="66"/>
      <c r="X292" s="66"/>
      <c r="Y292" s="66"/>
      <c r="Z292" s="66"/>
      <c r="AA292" s="44">
        <f t="shared" ref="AA292:AA293" si="103">SUM(B292:Z292)</f>
        <v>2</v>
      </c>
      <c r="AB292" s="31"/>
      <c r="AC292" s="2"/>
    </row>
    <row r="293">
      <c r="A293" s="40" t="s">
        <v>49</v>
      </c>
      <c r="B293" s="63"/>
      <c r="C293" s="64"/>
      <c r="D293" s="63"/>
      <c r="E293" s="63"/>
      <c r="F293" s="63"/>
      <c r="G293" s="63"/>
      <c r="H293" s="65">
        <v>5.0</v>
      </c>
      <c r="I293" s="65">
        <v>20.0</v>
      </c>
      <c r="J293" s="65">
        <v>20.0</v>
      </c>
      <c r="K293" s="65">
        <v>20.0</v>
      </c>
      <c r="L293" s="65">
        <v>20.0</v>
      </c>
      <c r="M293" s="65">
        <v>15.0</v>
      </c>
      <c r="N293" s="65">
        <v>15.0</v>
      </c>
      <c r="O293" s="63"/>
      <c r="P293" s="63"/>
      <c r="Q293" s="65">
        <v>20.0</v>
      </c>
      <c r="R293" s="65">
        <v>20.0</v>
      </c>
      <c r="S293" s="65">
        <v>20.0</v>
      </c>
      <c r="T293" s="65">
        <v>20.0</v>
      </c>
      <c r="U293" s="65">
        <v>20.0</v>
      </c>
      <c r="V293" s="69">
        <v>20.0</v>
      </c>
      <c r="W293" s="69">
        <v>20.0</v>
      </c>
      <c r="X293" s="69">
        <v>10.0</v>
      </c>
      <c r="Y293" s="69">
        <v>10.0</v>
      </c>
      <c r="Z293" s="66"/>
      <c r="AA293" s="44">
        <f t="shared" si="103"/>
        <v>275</v>
      </c>
      <c r="AB293" s="31"/>
      <c r="AC293" s="2"/>
    </row>
    <row r="294">
      <c r="A294" s="40" t="s">
        <v>50</v>
      </c>
      <c r="B294" s="64"/>
      <c r="C294" s="64"/>
      <c r="D294" s="63"/>
      <c r="E294" s="63"/>
      <c r="F294" s="63"/>
      <c r="G294" s="63"/>
      <c r="H294" s="65">
        <v>1.0</v>
      </c>
      <c r="I294" s="63"/>
      <c r="J294" s="63"/>
      <c r="K294" s="63"/>
      <c r="L294" s="63"/>
      <c r="M294" s="63"/>
      <c r="N294" s="63"/>
      <c r="O294" s="63"/>
      <c r="P294" s="63"/>
      <c r="Q294" s="65">
        <v>1.0</v>
      </c>
      <c r="R294" s="63"/>
      <c r="S294" s="63"/>
      <c r="T294" s="63"/>
      <c r="U294" s="63"/>
      <c r="V294" s="66"/>
      <c r="W294" s="66"/>
      <c r="X294" s="66"/>
      <c r="Y294" s="66"/>
      <c r="Z294" s="66"/>
      <c r="AA294" s="44">
        <f>AVERAGE(B294:Z294)</f>
        <v>1</v>
      </c>
      <c r="AB294" s="31"/>
      <c r="AC294" s="2"/>
    </row>
    <row r="295">
      <c r="A295" s="45" t="s">
        <v>51</v>
      </c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7"/>
      <c r="AA295" s="46"/>
      <c r="AB295" s="39"/>
      <c r="AC295" s="2"/>
    </row>
    <row r="296">
      <c r="A296" s="47" t="s">
        <v>48</v>
      </c>
      <c r="B296" s="48"/>
      <c r="C296" s="49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50"/>
      <c r="W296" s="50"/>
      <c r="X296" s="50"/>
      <c r="Y296" s="50"/>
      <c r="Z296" s="50"/>
      <c r="AA296" s="51">
        <f t="shared" ref="AA296:AA297" si="104">SUM(B296:Z296)</f>
        <v>0</v>
      </c>
      <c r="AB296" s="31"/>
      <c r="AC296" s="2"/>
    </row>
    <row r="297">
      <c r="A297" s="47" t="s">
        <v>49</v>
      </c>
      <c r="B297" s="48"/>
      <c r="C297" s="49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50"/>
      <c r="W297" s="50"/>
      <c r="X297" s="50"/>
      <c r="Y297" s="50"/>
      <c r="Z297" s="50"/>
      <c r="AA297" s="51">
        <f t="shared" si="104"/>
        <v>0</v>
      </c>
      <c r="AB297" s="31"/>
      <c r="AC297" s="2"/>
    </row>
    <row r="298">
      <c r="A298" s="47" t="s">
        <v>50</v>
      </c>
      <c r="B298" s="49"/>
      <c r="C298" s="49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50"/>
      <c r="W298" s="50"/>
      <c r="X298" s="50"/>
      <c r="Y298" s="50"/>
      <c r="Z298" s="50"/>
      <c r="AA298" s="51" t="str">
        <f>AVERAGE(B298:Z298)</f>
        <v>#DIV/0!</v>
      </c>
      <c r="AB298" s="31"/>
      <c r="AC298" s="2"/>
    </row>
    <row r="299">
      <c r="A299" s="52" t="s">
        <v>53</v>
      </c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7"/>
      <c r="AA299" s="38"/>
      <c r="AB299" s="39"/>
      <c r="AC299" s="2"/>
    </row>
    <row r="300">
      <c r="A300" s="40" t="s">
        <v>48</v>
      </c>
      <c r="B300" s="41"/>
      <c r="C300" s="42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3"/>
      <c r="W300" s="43"/>
      <c r="X300" s="43"/>
      <c r="Y300" s="43"/>
      <c r="Z300" s="43"/>
      <c r="AA300" s="44">
        <f t="shared" ref="AA300:AA301" si="105">SUM(B300:Z300)</f>
        <v>0</v>
      </c>
      <c r="AB300" s="31"/>
      <c r="AC300" s="2"/>
    </row>
    <row r="301">
      <c r="A301" s="40" t="s">
        <v>49</v>
      </c>
      <c r="B301" s="41"/>
      <c r="C301" s="42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3"/>
      <c r="W301" s="43"/>
      <c r="X301" s="43"/>
      <c r="Y301" s="43"/>
      <c r="Z301" s="43"/>
      <c r="AA301" s="44">
        <f t="shared" si="105"/>
        <v>0</v>
      </c>
      <c r="AB301" s="31"/>
      <c r="AC301" s="2"/>
    </row>
    <row r="302">
      <c r="A302" s="53" t="s">
        <v>50</v>
      </c>
      <c r="B302" s="54"/>
      <c r="C302" s="54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6"/>
      <c r="W302" s="56"/>
      <c r="X302" s="56"/>
      <c r="Y302" s="56"/>
      <c r="Z302" s="56"/>
      <c r="AA302" s="57" t="str">
        <f>AVERAGE(B302:Z302)</f>
        <v>#DIV/0!</v>
      </c>
      <c r="AB302" s="58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59"/>
      <c r="AB303" s="59"/>
      <c r="AC303" s="2"/>
    </row>
    <row r="304">
      <c r="A304" s="13">
        <v>45986.0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5" t="s">
        <v>37</v>
      </c>
      <c r="AB304" s="16" t="s">
        <v>38</v>
      </c>
      <c r="AC304" s="2"/>
    </row>
    <row r="305">
      <c r="A305" s="17" t="s">
        <v>39</v>
      </c>
      <c r="B305" s="19">
        <v>1.0</v>
      </c>
      <c r="C305" s="19">
        <v>0.0</v>
      </c>
      <c r="D305" s="19">
        <v>0.0</v>
      </c>
      <c r="E305" s="19">
        <v>1.0</v>
      </c>
      <c r="F305" s="19">
        <v>1.0</v>
      </c>
      <c r="G305" s="19">
        <v>0.0</v>
      </c>
      <c r="H305" s="19">
        <v>0.0</v>
      </c>
      <c r="I305" s="19">
        <v>0.0</v>
      </c>
      <c r="J305" s="19">
        <v>0.0</v>
      </c>
      <c r="K305" s="19">
        <v>0.0</v>
      </c>
      <c r="L305" s="19">
        <v>0.0</v>
      </c>
      <c r="M305" s="19">
        <v>0.0</v>
      </c>
      <c r="N305" s="19">
        <v>0.0</v>
      </c>
      <c r="O305" s="19">
        <v>1.0</v>
      </c>
      <c r="P305" s="19">
        <v>1.0</v>
      </c>
      <c r="Q305" s="19">
        <v>0.0</v>
      </c>
      <c r="R305" s="19">
        <v>0.0</v>
      </c>
      <c r="S305" s="19">
        <v>0.0</v>
      </c>
      <c r="T305" s="19">
        <v>0.0</v>
      </c>
      <c r="U305" s="19">
        <v>0.0</v>
      </c>
      <c r="V305" s="19">
        <v>0.0</v>
      </c>
      <c r="W305" s="19">
        <v>0.0</v>
      </c>
      <c r="X305" s="19">
        <v>0.0</v>
      </c>
      <c r="Y305" s="19">
        <v>0.0</v>
      </c>
      <c r="Z305" s="18"/>
      <c r="AA305" s="20">
        <f t="shared" ref="AA305:AA309" si="106">SUM(B305:Z305)</f>
        <v>5</v>
      </c>
      <c r="AB305" s="21">
        <f t="shared" ref="AB305:AB308" si="107">AA305/(COUNT(B305:Z305)*1)</f>
        <v>0.2083333333</v>
      </c>
      <c r="AC305" s="2"/>
    </row>
    <row r="306">
      <c r="A306" s="17" t="s">
        <v>40</v>
      </c>
      <c r="B306" s="19">
        <v>1.0</v>
      </c>
      <c r="C306" s="19">
        <v>0.0</v>
      </c>
      <c r="D306" s="19">
        <v>0.0</v>
      </c>
      <c r="E306" s="19">
        <v>0.0</v>
      </c>
      <c r="F306" s="19">
        <v>1.0</v>
      </c>
      <c r="G306" s="19">
        <v>0.0</v>
      </c>
      <c r="H306" s="19">
        <v>0.0</v>
      </c>
      <c r="I306" s="19">
        <v>0.0</v>
      </c>
      <c r="J306" s="19">
        <v>0.0</v>
      </c>
      <c r="K306" s="19">
        <v>0.0</v>
      </c>
      <c r="L306" s="19">
        <v>0.0</v>
      </c>
      <c r="M306" s="19">
        <v>0.0</v>
      </c>
      <c r="N306" s="19">
        <v>0.0</v>
      </c>
      <c r="O306" s="19">
        <v>1.0</v>
      </c>
      <c r="P306" s="19">
        <v>1.0</v>
      </c>
      <c r="Q306" s="19">
        <v>0.0</v>
      </c>
      <c r="R306" s="19">
        <v>0.0</v>
      </c>
      <c r="S306" s="19">
        <v>0.0</v>
      </c>
      <c r="T306" s="19">
        <v>1.0</v>
      </c>
      <c r="U306" s="19">
        <v>1.0</v>
      </c>
      <c r="V306" s="19">
        <v>1.0</v>
      </c>
      <c r="W306" s="19">
        <v>1.0</v>
      </c>
      <c r="X306" s="19">
        <v>1.0</v>
      </c>
      <c r="Y306" s="19">
        <v>1.0</v>
      </c>
      <c r="Z306" s="18"/>
      <c r="AA306" s="20">
        <f t="shared" si="106"/>
        <v>10</v>
      </c>
      <c r="AB306" s="21">
        <f t="shared" si="107"/>
        <v>0.4166666667</v>
      </c>
      <c r="AC306" s="2"/>
    </row>
    <row r="307">
      <c r="A307" s="17" t="s">
        <v>41</v>
      </c>
      <c r="B307" s="19">
        <v>1.0</v>
      </c>
      <c r="C307" s="19">
        <v>1.0</v>
      </c>
      <c r="D307" s="19">
        <v>1.0</v>
      </c>
      <c r="E307" s="19">
        <v>0.0</v>
      </c>
      <c r="F307" s="19">
        <v>1.0</v>
      </c>
      <c r="G307" s="19">
        <v>0.0</v>
      </c>
      <c r="H307" s="19">
        <v>0.0</v>
      </c>
      <c r="I307" s="19">
        <v>0.0</v>
      </c>
      <c r="J307" s="19">
        <v>0.0</v>
      </c>
      <c r="K307" s="19">
        <v>0.0</v>
      </c>
      <c r="L307" s="19">
        <v>0.0</v>
      </c>
      <c r="M307" s="19">
        <v>0.0</v>
      </c>
      <c r="N307" s="19">
        <v>0.0</v>
      </c>
      <c r="O307" s="19">
        <v>1.0</v>
      </c>
      <c r="P307" s="19">
        <v>1.0</v>
      </c>
      <c r="Q307" s="19">
        <v>0.0</v>
      </c>
      <c r="R307" s="19">
        <v>0.0</v>
      </c>
      <c r="S307" s="19">
        <v>0.0</v>
      </c>
      <c r="T307" s="19">
        <v>0.0</v>
      </c>
      <c r="U307" s="19">
        <v>0.0</v>
      </c>
      <c r="V307" s="19">
        <v>0.0</v>
      </c>
      <c r="W307" s="19">
        <v>0.0</v>
      </c>
      <c r="X307" s="19">
        <v>0.0</v>
      </c>
      <c r="Y307" s="19">
        <v>0.0</v>
      </c>
      <c r="Z307" s="19"/>
      <c r="AA307" s="20">
        <f t="shared" si="106"/>
        <v>6</v>
      </c>
      <c r="AB307" s="21">
        <f t="shared" si="107"/>
        <v>0.25</v>
      </c>
      <c r="AC307" s="2"/>
    </row>
    <row r="308">
      <c r="A308" s="17" t="s">
        <v>42</v>
      </c>
      <c r="B308" s="19">
        <v>1.0</v>
      </c>
      <c r="C308" s="19">
        <v>1.0</v>
      </c>
      <c r="D308" s="19">
        <v>1.0</v>
      </c>
      <c r="E308" s="19">
        <v>0.0</v>
      </c>
      <c r="F308" s="19">
        <v>1.0</v>
      </c>
      <c r="G308" s="19">
        <v>1.0</v>
      </c>
      <c r="H308" s="19">
        <v>1.0</v>
      </c>
      <c r="I308" s="19">
        <v>1.0</v>
      </c>
      <c r="J308" s="19">
        <v>1.0</v>
      </c>
      <c r="K308" s="19">
        <v>1.0</v>
      </c>
      <c r="L308" s="19">
        <v>1.0</v>
      </c>
      <c r="M308" s="19">
        <v>1.0</v>
      </c>
      <c r="N308" s="19">
        <v>1.0</v>
      </c>
      <c r="O308" s="19">
        <v>1.0</v>
      </c>
      <c r="P308" s="19">
        <v>1.0</v>
      </c>
      <c r="Q308" s="19">
        <v>0.0</v>
      </c>
      <c r="R308" s="19">
        <v>0.0</v>
      </c>
      <c r="S308" s="19">
        <v>0.0</v>
      </c>
      <c r="T308" s="19">
        <v>1.0</v>
      </c>
      <c r="U308" s="19">
        <v>1.0</v>
      </c>
      <c r="V308" s="19">
        <v>1.0</v>
      </c>
      <c r="W308" s="19">
        <v>1.0</v>
      </c>
      <c r="X308" s="19">
        <v>1.0</v>
      </c>
      <c r="Y308" s="19">
        <v>1.0</v>
      </c>
      <c r="Z308" s="18"/>
      <c r="AA308" s="20">
        <f t="shared" si="106"/>
        <v>20</v>
      </c>
      <c r="AB308" s="21">
        <f t="shared" si="107"/>
        <v>0.8333333333</v>
      </c>
      <c r="AC308" s="2"/>
    </row>
    <row r="309">
      <c r="A309" s="17" t="s">
        <v>43</v>
      </c>
      <c r="B309" s="22">
        <f t="shared" ref="B309:Z309" si="108">SUM(B305:B308)</f>
        <v>4</v>
      </c>
      <c r="C309" s="22">
        <f t="shared" si="108"/>
        <v>2</v>
      </c>
      <c r="D309" s="22">
        <f t="shared" si="108"/>
        <v>2</v>
      </c>
      <c r="E309" s="22">
        <f t="shared" si="108"/>
        <v>1</v>
      </c>
      <c r="F309" s="22">
        <f t="shared" si="108"/>
        <v>4</v>
      </c>
      <c r="G309" s="22">
        <f t="shared" si="108"/>
        <v>1</v>
      </c>
      <c r="H309" s="22">
        <f t="shared" si="108"/>
        <v>1</v>
      </c>
      <c r="I309" s="22">
        <f t="shared" si="108"/>
        <v>1</v>
      </c>
      <c r="J309" s="22">
        <f t="shared" si="108"/>
        <v>1</v>
      </c>
      <c r="K309" s="22">
        <f t="shared" si="108"/>
        <v>1</v>
      </c>
      <c r="L309" s="22">
        <f t="shared" si="108"/>
        <v>1</v>
      </c>
      <c r="M309" s="22">
        <f t="shared" si="108"/>
        <v>1</v>
      </c>
      <c r="N309" s="22">
        <f t="shared" si="108"/>
        <v>1</v>
      </c>
      <c r="O309" s="22">
        <f t="shared" si="108"/>
        <v>4</v>
      </c>
      <c r="P309" s="22">
        <f t="shared" si="108"/>
        <v>4</v>
      </c>
      <c r="Q309" s="22">
        <f t="shared" si="108"/>
        <v>0</v>
      </c>
      <c r="R309" s="22">
        <f t="shared" si="108"/>
        <v>0</v>
      </c>
      <c r="S309" s="22">
        <f t="shared" si="108"/>
        <v>0</v>
      </c>
      <c r="T309" s="22">
        <f t="shared" si="108"/>
        <v>2</v>
      </c>
      <c r="U309" s="22">
        <f t="shared" si="108"/>
        <v>2</v>
      </c>
      <c r="V309" s="22">
        <f t="shared" si="108"/>
        <v>2</v>
      </c>
      <c r="W309" s="22">
        <f t="shared" si="108"/>
        <v>2</v>
      </c>
      <c r="X309" s="22">
        <f t="shared" si="108"/>
        <v>2</v>
      </c>
      <c r="Y309" s="22">
        <f t="shared" si="108"/>
        <v>2</v>
      </c>
      <c r="Z309" s="22">
        <f t="shared" si="108"/>
        <v>0</v>
      </c>
      <c r="AA309" s="20">
        <f t="shared" si="106"/>
        <v>41</v>
      </c>
      <c r="AB309" s="23"/>
      <c r="AC309" s="2"/>
    </row>
    <row r="310">
      <c r="A310" s="17" t="s">
        <v>38</v>
      </c>
      <c r="B310" s="24">
        <f t="shared" ref="B310:Z310" si="109">B309/(COUNT(B305:B308)*1)</f>
        <v>1</v>
      </c>
      <c r="C310" s="24">
        <f t="shared" si="109"/>
        <v>0.5</v>
      </c>
      <c r="D310" s="24">
        <f t="shared" si="109"/>
        <v>0.5</v>
      </c>
      <c r="E310" s="24">
        <f t="shared" si="109"/>
        <v>0.25</v>
      </c>
      <c r="F310" s="24">
        <f t="shared" si="109"/>
        <v>1</v>
      </c>
      <c r="G310" s="24">
        <f t="shared" si="109"/>
        <v>0.25</v>
      </c>
      <c r="H310" s="24">
        <f t="shared" si="109"/>
        <v>0.25</v>
      </c>
      <c r="I310" s="24">
        <f t="shared" si="109"/>
        <v>0.25</v>
      </c>
      <c r="J310" s="24">
        <f t="shared" si="109"/>
        <v>0.25</v>
      </c>
      <c r="K310" s="24">
        <f t="shared" si="109"/>
        <v>0.25</v>
      </c>
      <c r="L310" s="24">
        <f t="shared" si="109"/>
        <v>0.25</v>
      </c>
      <c r="M310" s="24">
        <f t="shared" si="109"/>
        <v>0.25</v>
      </c>
      <c r="N310" s="24">
        <f t="shared" si="109"/>
        <v>0.25</v>
      </c>
      <c r="O310" s="24">
        <f t="shared" si="109"/>
        <v>1</v>
      </c>
      <c r="P310" s="24">
        <f t="shared" si="109"/>
        <v>1</v>
      </c>
      <c r="Q310" s="24">
        <f t="shared" si="109"/>
        <v>0</v>
      </c>
      <c r="R310" s="24">
        <f t="shared" si="109"/>
        <v>0</v>
      </c>
      <c r="S310" s="24">
        <f t="shared" si="109"/>
        <v>0</v>
      </c>
      <c r="T310" s="24">
        <f t="shared" si="109"/>
        <v>0.5</v>
      </c>
      <c r="U310" s="24">
        <f t="shared" si="109"/>
        <v>0.5</v>
      </c>
      <c r="V310" s="24">
        <f t="shared" si="109"/>
        <v>0.5</v>
      </c>
      <c r="W310" s="24">
        <f t="shared" si="109"/>
        <v>0.5</v>
      </c>
      <c r="X310" s="24">
        <f t="shared" si="109"/>
        <v>0.5</v>
      </c>
      <c r="Y310" s="24">
        <f t="shared" si="109"/>
        <v>0.5</v>
      </c>
      <c r="Z310" s="24" t="str">
        <f t="shared" si="109"/>
        <v>#DIV/0!</v>
      </c>
      <c r="AA310" s="25"/>
      <c r="AB310" s="26">
        <f>SUM(AB305:AB308)/4</f>
        <v>0.4270833333</v>
      </c>
      <c r="AC310" s="2"/>
    </row>
    <row r="311">
      <c r="A311" s="27" t="s">
        <v>75</v>
      </c>
      <c r="B311" s="60"/>
      <c r="C311" s="61"/>
      <c r="D311" s="60"/>
      <c r="E311" s="60"/>
      <c r="F311" s="60"/>
      <c r="G311" s="68"/>
      <c r="H311" s="68">
        <v>20.0</v>
      </c>
      <c r="I311" s="68">
        <v>20.0</v>
      </c>
      <c r="J311" s="68">
        <v>20.0</v>
      </c>
      <c r="K311" s="68">
        <v>20.0</v>
      </c>
      <c r="L311" s="68">
        <v>20.0</v>
      </c>
      <c r="M311" s="68">
        <v>15.0</v>
      </c>
      <c r="N311" s="60"/>
      <c r="O311" s="60"/>
      <c r="P311" s="60"/>
      <c r="Q311" s="60"/>
      <c r="R311" s="68">
        <v>10.0</v>
      </c>
      <c r="S311" s="68">
        <v>10.0</v>
      </c>
      <c r="T311" s="68">
        <v>20.0</v>
      </c>
      <c r="U311" s="60"/>
      <c r="V311" s="60"/>
      <c r="W311" s="60"/>
      <c r="X311" s="60"/>
      <c r="Y311" s="60"/>
      <c r="Z311" s="60"/>
      <c r="AA311" s="30">
        <f t="shared" ref="AA311:AA313" si="110">SUM(B311:Z311)</f>
        <v>155</v>
      </c>
      <c r="AB311" s="31"/>
      <c r="AC311" s="2"/>
    </row>
    <row r="312">
      <c r="A312" s="32" t="s">
        <v>45</v>
      </c>
      <c r="B312" s="62"/>
      <c r="C312" s="62"/>
      <c r="D312" s="62"/>
      <c r="E312" s="128">
        <v>2.0</v>
      </c>
      <c r="F312" s="62"/>
      <c r="G312" s="128">
        <v>5.0</v>
      </c>
      <c r="H312" s="128">
        <v>3.0</v>
      </c>
      <c r="I312" s="62"/>
      <c r="J312" s="62"/>
      <c r="K312" s="62"/>
      <c r="L312" s="62"/>
      <c r="M312" s="62"/>
      <c r="N312" s="128">
        <v>2.0</v>
      </c>
      <c r="O312" s="62"/>
      <c r="P312" s="62"/>
      <c r="Q312" s="62"/>
      <c r="R312" s="62"/>
      <c r="S312" s="62"/>
      <c r="T312" s="62"/>
      <c r="U312" s="62"/>
      <c r="V312" s="60"/>
      <c r="W312" s="60"/>
      <c r="X312" s="60"/>
      <c r="Y312" s="60"/>
      <c r="Z312" s="60"/>
      <c r="AA312" s="30">
        <f t="shared" si="110"/>
        <v>12</v>
      </c>
      <c r="AB312" s="31"/>
      <c r="AC312" s="9"/>
    </row>
    <row r="313">
      <c r="A313" s="34" t="s">
        <v>46</v>
      </c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0"/>
      <c r="W313" s="60"/>
      <c r="X313" s="60"/>
      <c r="Y313" s="60"/>
      <c r="Z313" s="60"/>
      <c r="AA313" s="30">
        <f t="shared" si="110"/>
        <v>0</v>
      </c>
      <c r="AB313" s="31"/>
      <c r="AC313" s="9"/>
    </row>
    <row r="314">
      <c r="A314" s="35" t="s">
        <v>47</v>
      </c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7"/>
      <c r="AA314" s="38"/>
      <c r="AB314" s="39"/>
      <c r="AC314" s="2"/>
    </row>
    <row r="315">
      <c r="A315" s="40" t="s">
        <v>48</v>
      </c>
      <c r="B315" s="63"/>
      <c r="C315" s="64"/>
      <c r="D315" s="63"/>
      <c r="E315" s="63"/>
      <c r="F315" s="63"/>
      <c r="G315" s="65">
        <v>1.0</v>
      </c>
      <c r="H315" s="63"/>
      <c r="I315" s="63"/>
      <c r="J315" s="63"/>
      <c r="K315" s="63"/>
      <c r="L315" s="63"/>
      <c r="M315" s="63"/>
      <c r="N315" s="63"/>
      <c r="O315" s="63"/>
      <c r="P315" s="63"/>
      <c r="Q315" s="65">
        <v>1.0</v>
      </c>
      <c r="R315" s="65">
        <v>1.0</v>
      </c>
      <c r="S315" s="63"/>
      <c r="T315" s="63"/>
      <c r="U315" s="63"/>
      <c r="V315" s="66"/>
      <c r="W315" s="66"/>
      <c r="X315" s="66"/>
      <c r="Y315" s="66"/>
      <c r="Z315" s="66"/>
      <c r="AA315" s="44">
        <f t="shared" ref="AA315:AA316" si="111">SUM(B315:Z315)</f>
        <v>3</v>
      </c>
      <c r="AB315" s="31"/>
      <c r="AC315" s="2"/>
    </row>
    <row r="316">
      <c r="A316" s="40" t="s">
        <v>49</v>
      </c>
      <c r="B316" s="63"/>
      <c r="C316" s="64"/>
      <c r="D316" s="63"/>
      <c r="E316" s="63"/>
      <c r="F316" s="63"/>
      <c r="G316" s="65">
        <v>20.0</v>
      </c>
      <c r="H316" s="65">
        <v>20.0</v>
      </c>
      <c r="I316" s="65">
        <v>20.0</v>
      </c>
      <c r="J316" s="65">
        <v>20.0</v>
      </c>
      <c r="K316" s="65">
        <v>20.0</v>
      </c>
      <c r="L316" s="65">
        <v>20.0</v>
      </c>
      <c r="M316" s="65">
        <v>15.0</v>
      </c>
      <c r="N316" s="65">
        <v>15.0</v>
      </c>
      <c r="O316" s="63"/>
      <c r="P316" s="63"/>
      <c r="Q316" s="65">
        <v>20.0</v>
      </c>
      <c r="R316" s="65">
        <v>20.0</v>
      </c>
      <c r="S316" s="65">
        <v>20.0</v>
      </c>
      <c r="T316" s="65">
        <v>20.0</v>
      </c>
      <c r="U316" s="63"/>
      <c r="V316" s="66"/>
      <c r="W316" s="66"/>
      <c r="X316" s="66"/>
      <c r="Y316" s="66"/>
      <c r="Z316" s="66"/>
      <c r="AA316" s="44">
        <f t="shared" si="111"/>
        <v>230</v>
      </c>
      <c r="AB316" s="31"/>
      <c r="AC316" s="2"/>
    </row>
    <row r="317">
      <c r="A317" s="40" t="s">
        <v>50</v>
      </c>
      <c r="B317" s="64"/>
      <c r="C317" s="64"/>
      <c r="D317" s="63"/>
      <c r="E317" s="63"/>
      <c r="F317" s="63"/>
      <c r="G317" s="65">
        <v>1.0</v>
      </c>
      <c r="H317" s="63"/>
      <c r="I317" s="63"/>
      <c r="J317" s="63"/>
      <c r="K317" s="63"/>
      <c r="L317" s="63"/>
      <c r="M317" s="63"/>
      <c r="N317" s="63"/>
      <c r="O317" s="63"/>
      <c r="P317" s="63"/>
      <c r="Q317" s="65">
        <v>3.0</v>
      </c>
      <c r="R317" s="65">
        <v>1.0</v>
      </c>
      <c r="S317" s="63"/>
      <c r="T317" s="63"/>
      <c r="U317" s="63"/>
      <c r="V317" s="66"/>
      <c r="W317" s="66"/>
      <c r="X317" s="66"/>
      <c r="Y317" s="66"/>
      <c r="Z317" s="66"/>
      <c r="AA317" s="44">
        <f>AVERAGE(B317:Z317)</f>
        <v>1.666666667</v>
      </c>
      <c r="AB317" s="31"/>
      <c r="AC317" s="2"/>
    </row>
    <row r="318">
      <c r="A318" s="45" t="s">
        <v>51</v>
      </c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7"/>
      <c r="AA318" s="46"/>
      <c r="AB318" s="39"/>
      <c r="AC318" s="2"/>
    </row>
    <row r="319">
      <c r="A319" s="47" t="s">
        <v>48</v>
      </c>
      <c r="B319" s="48"/>
      <c r="C319" s="49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50"/>
      <c r="W319" s="50"/>
      <c r="X319" s="50"/>
      <c r="Y319" s="50"/>
      <c r="Z319" s="50"/>
      <c r="AA319" s="51">
        <f t="shared" ref="AA319:AA320" si="112">SUM(B319:Z319)</f>
        <v>0</v>
      </c>
      <c r="AB319" s="31"/>
      <c r="AC319" s="2"/>
    </row>
    <row r="320">
      <c r="A320" s="47" t="s">
        <v>49</v>
      </c>
      <c r="B320" s="48"/>
      <c r="C320" s="49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50"/>
      <c r="W320" s="50"/>
      <c r="X320" s="50"/>
      <c r="Y320" s="50"/>
      <c r="Z320" s="50"/>
      <c r="AA320" s="51">
        <f t="shared" si="112"/>
        <v>0</v>
      </c>
      <c r="AB320" s="31"/>
      <c r="AC320" s="2"/>
    </row>
    <row r="321">
      <c r="A321" s="47" t="s">
        <v>50</v>
      </c>
      <c r="B321" s="49"/>
      <c r="C321" s="49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50"/>
      <c r="W321" s="50"/>
      <c r="X321" s="50"/>
      <c r="Y321" s="50"/>
      <c r="Z321" s="50"/>
      <c r="AA321" s="51" t="str">
        <f>AVERAGE(B321:Z321)</f>
        <v>#DIV/0!</v>
      </c>
      <c r="AB321" s="31"/>
      <c r="AC321" s="2"/>
    </row>
    <row r="322">
      <c r="A322" s="52" t="s">
        <v>53</v>
      </c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7"/>
      <c r="AA322" s="38"/>
      <c r="AB322" s="39"/>
      <c r="AC322" s="2"/>
    </row>
    <row r="323">
      <c r="A323" s="40" t="s">
        <v>48</v>
      </c>
      <c r="B323" s="41"/>
      <c r="C323" s="42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3"/>
      <c r="W323" s="43"/>
      <c r="X323" s="43"/>
      <c r="Y323" s="43"/>
      <c r="Z323" s="43"/>
      <c r="AA323" s="44">
        <f t="shared" ref="AA323:AA324" si="113">SUM(B323:Z323)</f>
        <v>0</v>
      </c>
      <c r="AB323" s="31"/>
      <c r="AC323" s="2"/>
    </row>
    <row r="324">
      <c r="A324" s="40" t="s">
        <v>49</v>
      </c>
      <c r="B324" s="41"/>
      <c r="C324" s="42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3"/>
      <c r="W324" s="43"/>
      <c r="X324" s="43"/>
      <c r="Y324" s="43"/>
      <c r="Z324" s="43"/>
      <c r="AA324" s="44">
        <f t="shared" si="113"/>
        <v>0</v>
      </c>
      <c r="AB324" s="31"/>
      <c r="AC324" s="2"/>
    </row>
    <row r="325">
      <c r="A325" s="53" t="s">
        <v>50</v>
      </c>
      <c r="B325" s="54"/>
      <c r="C325" s="54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6"/>
      <c r="W325" s="56"/>
      <c r="X325" s="56"/>
      <c r="Y325" s="56"/>
      <c r="Z325" s="56"/>
      <c r="AA325" s="57" t="str">
        <f>AVERAGE(B325:Z325)</f>
        <v>#DIV/0!</v>
      </c>
      <c r="AB325" s="58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59"/>
      <c r="AB326" s="59"/>
      <c r="AC326" s="2"/>
    </row>
    <row r="327">
      <c r="A327" s="71" t="s">
        <v>54</v>
      </c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 t="s">
        <v>37</v>
      </c>
      <c r="AB327" s="16" t="s">
        <v>38</v>
      </c>
      <c r="AC327" s="2"/>
    </row>
    <row r="328">
      <c r="A328" s="17" t="s">
        <v>39</v>
      </c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20">
        <f t="shared" ref="AA328:AA332" si="114">SUM(B328:Z328)</f>
        <v>0</v>
      </c>
      <c r="AB328" s="21" t="str">
        <f t="shared" ref="AB328:AB331" si="115">AA328/(COUNT(B328:Z328)*1)</f>
        <v>#DIV/0!</v>
      </c>
      <c r="AC328" s="2"/>
    </row>
    <row r="329">
      <c r="A329" s="17" t="s">
        <v>40</v>
      </c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20">
        <f t="shared" si="114"/>
        <v>0</v>
      </c>
      <c r="AB329" s="21" t="str">
        <f t="shared" si="115"/>
        <v>#DIV/0!</v>
      </c>
      <c r="AC329" s="2"/>
    </row>
    <row r="330">
      <c r="A330" s="17" t="s">
        <v>41</v>
      </c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20">
        <f t="shared" si="114"/>
        <v>0</v>
      </c>
      <c r="AB330" s="21" t="str">
        <f t="shared" si="115"/>
        <v>#DIV/0!</v>
      </c>
      <c r="AC330" s="2"/>
    </row>
    <row r="331">
      <c r="A331" s="17" t="s">
        <v>42</v>
      </c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20">
        <f t="shared" si="114"/>
        <v>0</v>
      </c>
      <c r="AB331" s="21" t="str">
        <f t="shared" si="115"/>
        <v>#DIV/0!</v>
      </c>
      <c r="AC331" s="2"/>
    </row>
    <row r="332">
      <c r="A332" s="17" t="s">
        <v>43</v>
      </c>
      <c r="B332" s="22">
        <f t="shared" ref="B332:Z332" si="116">SUM(B328:B331)</f>
        <v>0</v>
      </c>
      <c r="C332" s="22">
        <f t="shared" si="116"/>
        <v>0</v>
      </c>
      <c r="D332" s="22">
        <f t="shared" si="116"/>
        <v>0</v>
      </c>
      <c r="E332" s="22">
        <f t="shared" si="116"/>
        <v>0</v>
      </c>
      <c r="F332" s="22">
        <f t="shared" si="116"/>
        <v>0</v>
      </c>
      <c r="G332" s="22">
        <f t="shared" si="116"/>
        <v>0</v>
      </c>
      <c r="H332" s="22">
        <f t="shared" si="116"/>
        <v>0</v>
      </c>
      <c r="I332" s="22">
        <f t="shared" si="116"/>
        <v>0</v>
      </c>
      <c r="J332" s="22">
        <f t="shared" si="116"/>
        <v>0</v>
      </c>
      <c r="K332" s="22">
        <f t="shared" si="116"/>
        <v>0</v>
      </c>
      <c r="L332" s="22">
        <f t="shared" si="116"/>
        <v>0</v>
      </c>
      <c r="M332" s="22">
        <f t="shared" si="116"/>
        <v>0</v>
      </c>
      <c r="N332" s="22">
        <f t="shared" si="116"/>
        <v>0</v>
      </c>
      <c r="O332" s="22">
        <f t="shared" si="116"/>
        <v>0</v>
      </c>
      <c r="P332" s="22">
        <f t="shared" si="116"/>
        <v>0</v>
      </c>
      <c r="Q332" s="22">
        <f t="shared" si="116"/>
        <v>0</v>
      </c>
      <c r="R332" s="22">
        <f t="shared" si="116"/>
        <v>0</v>
      </c>
      <c r="S332" s="22">
        <f t="shared" si="116"/>
        <v>0</v>
      </c>
      <c r="T332" s="22">
        <f t="shared" si="116"/>
        <v>0</v>
      </c>
      <c r="U332" s="22">
        <f t="shared" si="116"/>
        <v>0</v>
      </c>
      <c r="V332" s="22">
        <f t="shared" si="116"/>
        <v>0</v>
      </c>
      <c r="W332" s="22">
        <f t="shared" si="116"/>
        <v>0</v>
      </c>
      <c r="X332" s="22">
        <f t="shared" si="116"/>
        <v>0</v>
      </c>
      <c r="Y332" s="22">
        <f t="shared" si="116"/>
        <v>0</v>
      </c>
      <c r="Z332" s="22">
        <f t="shared" si="116"/>
        <v>0</v>
      </c>
      <c r="AA332" s="20">
        <f t="shared" si="114"/>
        <v>0</v>
      </c>
      <c r="AB332" s="23"/>
      <c r="AC332" s="2"/>
    </row>
    <row r="333">
      <c r="A333" s="17" t="s">
        <v>38</v>
      </c>
      <c r="B333" s="24" t="str">
        <f t="shared" ref="B333:Z333" si="117">B332/(COUNT(B328:B331)*1)</f>
        <v>#DIV/0!</v>
      </c>
      <c r="C333" s="24" t="str">
        <f t="shared" si="117"/>
        <v>#DIV/0!</v>
      </c>
      <c r="D333" s="24" t="str">
        <f t="shared" si="117"/>
        <v>#DIV/0!</v>
      </c>
      <c r="E333" s="24" t="str">
        <f t="shared" si="117"/>
        <v>#DIV/0!</v>
      </c>
      <c r="F333" s="24" t="str">
        <f t="shared" si="117"/>
        <v>#DIV/0!</v>
      </c>
      <c r="G333" s="24" t="str">
        <f t="shared" si="117"/>
        <v>#DIV/0!</v>
      </c>
      <c r="H333" s="24" t="str">
        <f t="shared" si="117"/>
        <v>#DIV/0!</v>
      </c>
      <c r="I333" s="24" t="str">
        <f t="shared" si="117"/>
        <v>#DIV/0!</v>
      </c>
      <c r="J333" s="24" t="str">
        <f t="shared" si="117"/>
        <v>#DIV/0!</v>
      </c>
      <c r="K333" s="24" t="str">
        <f t="shared" si="117"/>
        <v>#DIV/0!</v>
      </c>
      <c r="L333" s="24" t="str">
        <f t="shared" si="117"/>
        <v>#DIV/0!</v>
      </c>
      <c r="M333" s="24" t="str">
        <f t="shared" si="117"/>
        <v>#DIV/0!</v>
      </c>
      <c r="N333" s="24" t="str">
        <f t="shared" si="117"/>
        <v>#DIV/0!</v>
      </c>
      <c r="O333" s="24" t="str">
        <f t="shared" si="117"/>
        <v>#DIV/0!</v>
      </c>
      <c r="P333" s="24" t="str">
        <f t="shared" si="117"/>
        <v>#DIV/0!</v>
      </c>
      <c r="Q333" s="24" t="str">
        <f t="shared" si="117"/>
        <v>#DIV/0!</v>
      </c>
      <c r="R333" s="24" t="str">
        <f t="shared" si="117"/>
        <v>#DIV/0!</v>
      </c>
      <c r="S333" s="24" t="str">
        <f t="shared" si="117"/>
        <v>#DIV/0!</v>
      </c>
      <c r="T333" s="24" t="str">
        <f t="shared" si="117"/>
        <v>#DIV/0!</v>
      </c>
      <c r="U333" s="24" t="str">
        <f t="shared" si="117"/>
        <v>#DIV/0!</v>
      </c>
      <c r="V333" s="24" t="str">
        <f t="shared" si="117"/>
        <v>#DIV/0!</v>
      </c>
      <c r="W333" s="24" t="str">
        <f t="shared" si="117"/>
        <v>#DIV/0!</v>
      </c>
      <c r="X333" s="24" t="str">
        <f t="shared" si="117"/>
        <v>#DIV/0!</v>
      </c>
      <c r="Y333" s="24" t="str">
        <f t="shared" si="117"/>
        <v>#DIV/0!</v>
      </c>
      <c r="Z333" s="24" t="str">
        <f t="shared" si="117"/>
        <v>#DIV/0!</v>
      </c>
      <c r="AA333" s="25"/>
      <c r="AB333" s="26" t="str">
        <f>SUM(AB328:AB331)/4</f>
        <v>#DIV/0!</v>
      </c>
      <c r="AC333" s="2"/>
    </row>
    <row r="334">
      <c r="A334" s="27" t="s">
        <v>75</v>
      </c>
      <c r="B334" s="28"/>
      <c r="C334" s="29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30">
        <f t="shared" ref="AA334:AA336" si="118">SUM(B334:Z334)</f>
        <v>0</v>
      </c>
      <c r="AB334" s="31"/>
      <c r="AC334" s="2"/>
    </row>
    <row r="335">
      <c r="A335" s="32" t="s">
        <v>45</v>
      </c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28"/>
      <c r="W335" s="28"/>
      <c r="X335" s="28"/>
      <c r="Y335" s="28"/>
      <c r="Z335" s="28"/>
      <c r="AA335" s="30">
        <f t="shared" si="118"/>
        <v>0</v>
      </c>
      <c r="AB335" s="31"/>
      <c r="AC335" s="9"/>
    </row>
    <row r="336">
      <c r="A336" s="34" t="s">
        <v>46</v>
      </c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28"/>
      <c r="W336" s="28"/>
      <c r="X336" s="28"/>
      <c r="Y336" s="28"/>
      <c r="Z336" s="28"/>
      <c r="AA336" s="30">
        <f t="shared" si="118"/>
        <v>0</v>
      </c>
      <c r="AB336" s="31"/>
      <c r="AC336" s="9"/>
    </row>
    <row r="337">
      <c r="A337" s="35" t="s">
        <v>47</v>
      </c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7"/>
      <c r="AA337" s="38"/>
      <c r="AB337" s="39"/>
      <c r="AC337" s="2"/>
    </row>
    <row r="338">
      <c r="A338" s="40" t="s">
        <v>48</v>
      </c>
      <c r="B338" s="41"/>
      <c r="C338" s="42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3"/>
      <c r="W338" s="43"/>
      <c r="X338" s="43"/>
      <c r="Y338" s="43"/>
      <c r="Z338" s="43"/>
      <c r="AA338" s="44">
        <f t="shared" ref="AA338:AA339" si="119">SUM(B338:Z338)</f>
        <v>0</v>
      </c>
      <c r="AB338" s="31"/>
      <c r="AC338" s="2"/>
    </row>
    <row r="339">
      <c r="A339" s="40" t="s">
        <v>49</v>
      </c>
      <c r="B339" s="41"/>
      <c r="C339" s="42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3"/>
      <c r="W339" s="43"/>
      <c r="X339" s="43"/>
      <c r="Y339" s="43"/>
      <c r="Z339" s="43"/>
      <c r="AA339" s="44">
        <f t="shared" si="119"/>
        <v>0</v>
      </c>
      <c r="AB339" s="31"/>
      <c r="AC339" s="2"/>
    </row>
    <row r="340">
      <c r="A340" s="40" t="s">
        <v>50</v>
      </c>
      <c r="B340" s="42"/>
      <c r="C340" s="42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3"/>
      <c r="W340" s="43"/>
      <c r="X340" s="43"/>
      <c r="Y340" s="43"/>
      <c r="Z340" s="43"/>
      <c r="AA340" s="44" t="str">
        <f>AVERAGE(B340:Z340)</f>
        <v>#DIV/0!</v>
      </c>
      <c r="AB340" s="31"/>
      <c r="AC340" s="2"/>
    </row>
    <row r="341">
      <c r="A341" s="45" t="s">
        <v>51</v>
      </c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7"/>
      <c r="AA341" s="46"/>
      <c r="AB341" s="39"/>
      <c r="AC341" s="2"/>
    </row>
    <row r="342">
      <c r="A342" s="47" t="s">
        <v>48</v>
      </c>
      <c r="B342" s="48"/>
      <c r="C342" s="49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50"/>
      <c r="W342" s="50"/>
      <c r="X342" s="50"/>
      <c r="Y342" s="50"/>
      <c r="Z342" s="50"/>
      <c r="AA342" s="51">
        <f t="shared" ref="AA342:AA343" si="120">SUM(B342:Z342)</f>
        <v>0</v>
      </c>
      <c r="AB342" s="31"/>
      <c r="AC342" s="2"/>
    </row>
    <row r="343">
      <c r="A343" s="47" t="s">
        <v>49</v>
      </c>
      <c r="B343" s="48"/>
      <c r="C343" s="49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50"/>
      <c r="W343" s="50"/>
      <c r="X343" s="50"/>
      <c r="Y343" s="50"/>
      <c r="Z343" s="50"/>
      <c r="AA343" s="51">
        <f t="shared" si="120"/>
        <v>0</v>
      </c>
      <c r="AB343" s="31"/>
      <c r="AC343" s="2"/>
    </row>
    <row r="344">
      <c r="A344" s="47" t="s">
        <v>50</v>
      </c>
      <c r="B344" s="49"/>
      <c r="C344" s="49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50"/>
      <c r="W344" s="50"/>
      <c r="X344" s="50"/>
      <c r="Y344" s="50"/>
      <c r="Z344" s="50"/>
      <c r="AA344" s="51" t="str">
        <f>AVERAGE(B344:Z344)</f>
        <v>#DIV/0!</v>
      </c>
      <c r="AB344" s="31"/>
      <c r="AC344" s="2"/>
    </row>
    <row r="345">
      <c r="A345" s="52" t="s">
        <v>53</v>
      </c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7"/>
      <c r="AA345" s="38"/>
      <c r="AB345" s="39"/>
      <c r="AC345" s="2"/>
    </row>
    <row r="346">
      <c r="A346" s="40" t="s">
        <v>48</v>
      </c>
      <c r="B346" s="41"/>
      <c r="C346" s="42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3"/>
      <c r="W346" s="43"/>
      <c r="X346" s="43"/>
      <c r="Y346" s="43"/>
      <c r="Z346" s="43"/>
      <c r="AA346" s="44">
        <f t="shared" ref="AA346:AA347" si="121">SUM(B346:Z346)</f>
        <v>0</v>
      </c>
      <c r="AB346" s="31"/>
      <c r="AC346" s="2"/>
    </row>
    <row r="347">
      <c r="A347" s="40" t="s">
        <v>49</v>
      </c>
      <c r="B347" s="41"/>
      <c r="C347" s="42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3"/>
      <c r="W347" s="43"/>
      <c r="X347" s="43"/>
      <c r="Y347" s="43"/>
      <c r="Z347" s="43"/>
      <c r="AA347" s="44">
        <f t="shared" si="121"/>
        <v>0</v>
      </c>
      <c r="AB347" s="31"/>
      <c r="AC347" s="2"/>
    </row>
    <row r="348">
      <c r="A348" s="53" t="s">
        <v>50</v>
      </c>
      <c r="B348" s="54"/>
      <c r="C348" s="54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6"/>
      <c r="W348" s="56"/>
      <c r="X348" s="56"/>
      <c r="Y348" s="56"/>
      <c r="Z348" s="56"/>
      <c r="AA348" s="57" t="str">
        <f>AVERAGE(B348:Z348)</f>
        <v>#DIV/0!</v>
      </c>
      <c r="AB348" s="58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59"/>
      <c r="AB349" s="59"/>
      <c r="AC349" s="2"/>
    </row>
    <row r="350">
      <c r="A350" s="71" t="s">
        <v>54</v>
      </c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5" t="s">
        <v>37</v>
      </c>
      <c r="AB350" s="16" t="s">
        <v>38</v>
      </c>
      <c r="AC350" s="2"/>
    </row>
    <row r="351">
      <c r="A351" s="17" t="s">
        <v>39</v>
      </c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20">
        <f t="shared" ref="AA351:AA355" si="122">SUM(B351:Z351)</f>
        <v>0</v>
      </c>
      <c r="AB351" s="21" t="str">
        <f t="shared" ref="AB351:AB354" si="123">AA351/(COUNT(B351:Z351)*1)</f>
        <v>#DIV/0!</v>
      </c>
      <c r="AC351" s="2"/>
    </row>
    <row r="352">
      <c r="A352" s="17" t="s">
        <v>40</v>
      </c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20">
        <f t="shared" si="122"/>
        <v>0</v>
      </c>
      <c r="AB352" s="21" t="str">
        <f t="shared" si="123"/>
        <v>#DIV/0!</v>
      </c>
      <c r="AC352" s="2"/>
    </row>
    <row r="353">
      <c r="A353" s="17" t="s">
        <v>41</v>
      </c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20">
        <f t="shared" si="122"/>
        <v>0</v>
      </c>
      <c r="AB353" s="21" t="str">
        <f t="shared" si="123"/>
        <v>#DIV/0!</v>
      </c>
      <c r="AC353" s="2"/>
    </row>
    <row r="354">
      <c r="A354" s="17" t="s">
        <v>42</v>
      </c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20">
        <f t="shared" si="122"/>
        <v>0</v>
      </c>
      <c r="AB354" s="21" t="str">
        <f t="shared" si="123"/>
        <v>#DIV/0!</v>
      </c>
      <c r="AC354" s="2"/>
    </row>
    <row r="355">
      <c r="A355" s="17" t="s">
        <v>43</v>
      </c>
      <c r="B355" s="22">
        <f t="shared" ref="B355:Z355" si="124">SUM(B351:B354)</f>
        <v>0</v>
      </c>
      <c r="C355" s="22">
        <f t="shared" si="124"/>
        <v>0</v>
      </c>
      <c r="D355" s="22">
        <f t="shared" si="124"/>
        <v>0</v>
      </c>
      <c r="E355" s="22">
        <f t="shared" si="124"/>
        <v>0</v>
      </c>
      <c r="F355" s="22">
        <f t="shared" si="124"/>
        <v>0</v>
      </c>
      <c r="G355" s="22">
        <f t="shared" si="124"/>
        <v>0</v>
      </c>
      <c r="H355" s="22">
        <f t="shared" si="124"/>
        <v>0</v>
      </c>
      <c r="I355" s="22">
        <f t="shared" si="124"/>
        <v>0</v>
      </c>
      <c r="J355" s="22">
        <f t="shared" si="124"/>
        <v>0</v>
      </c>
      <c r="K355" s="22">
        <f t="shared" si="124"/>
        <v>0</v>
      </c>
      <c r="L355" s="22">
        <f t="shared" si="124"/>
        <v>0</v>
      </c>
      <c r="M355" s="22">
        <f t="shared" si="124"/>
        <v>0</v>
      </c>
      <c r="N355" s="22">
        <f t="shared" si="124"/>
        <v>0</v>
      </c>
      <c r="O355" s="22">
        <f t="shared" si="124"/>
        <v>0</v>
      </c>
      <c r="P355" s="22">
        <f t="shared" si="124"/>
        <v>0</v>
      </c>
      <c r="Q355" s="22">
        <f t="shared" si="124"/>
        <v>0</v>
      </c>
      <c r="R355" s="22">
        <f t="shared" si="124"/>
        <v>0</v>
      </c>
      <c r="S355" s="22">
        <f t="shared" si="124"/>
        <v>0</v>
      </c>
      <c r="T355" s="22">
        <f t="shared" si="124"/>
        <v>0</v>
      </c>
      <c r="U355" s="22">
        <f t="shared" si="124"/>
        <v>0</v>
      </c>
      <c r="V355" s="22">
        <f t="shared" si="124"/>
        <v>0</v>
      </c>
      <c r="W355" s="22">
        <f t="shared" si="124"/>
        <v>0</v>
      </c>
      <c r="X355" s="22">
        <f t="shared" si="124"/>
        <v>0</v>
      </c>
      <c r="Y355" s="22">
        <f t="shared" si="124"/>
        <v>0</v>
      </c>
      <c r="Z355" s="22">
        <f t="shared" si="124"/>
        <v>0</v>
      </c>
      <c r="AA355" s="20">
        <f t="shared" si="122"/>
        <v>0</v>
      </c>
      <c r="AB355" s="23"/>
      <c r="AC355" s="2"/>
    </row>
    <row r="356">
      <c r="A356" s="17" t="s">
        <v>38</v>
      </c>
      <c r="B356" s="24" t="str">
        <f t="shared" ref="B356:Z356" si="125">B355/(COUNT(B351:B354)*1)</f>
        <v>#DIV/0!</v>
      </c>
      <c r="C356" s="24" t="str">
        <f t="shared" si="125"/>
        <v>#DIV/0!</v>
      </c>
      <c r="D356" s="24" t="str">
        <f t="shared" si="125"/>
        <v>#DIV/0!</v>
      </c>
      <c r="E356" s="24" t="str">
        <f t="shared" si="125"/>
        <v>#DIV/0!</v>
      </c>
      <c r="F356" s="24" t="str">
        <f t="shared" si="125"/>
        <v>#DIV/0!</v>
      </c>
      <c r="G356" s="24" t="str">
        <f t="shared" si="125"/>
        <v>#DIV/0!</v>
      </c>
      <c r="H356" s="24" t="str">
        <f t="shared" si="125"/>
        <v>#DIV/0!</v>
      </c>
      <c r="I356" s="24" t="str">
        <f t="shared" si="125"/>
        <v>#DIV/0!</v>
      </c>
      <c r="J356" s="24" t="str">
        <f t="shared" si="125"/>
        <v>#DIV/0!</v>
      </c>
      <c r="K356" s="24" t="str">
        <f t="shared" si="125"/>
        <v>#DIV/0!</v>
      </c>
      <c r="L356" s="24" t="str">
        <f t="shared" si="125"/>
        <v>#DIV/0!</v>
      </c>
      <c r="M356" s="24" t="str">
        <f t="shared" si="125"/>
        <v>#DIV/0!</v>
      </c>
      <c r="N356" s="24" t="str">
        <f t="shared" si="125"/>
        <v>#DIV/0!</v>
      </c>
      <c r="O356" s="24" t="str">
        <f t="shared" si="125"/>
        <v>#DIV/0!</v>
      </c>
      <c r="P356" s="24" t="str">
        <f t="shared" si="125"/>
        <v>#DIV/0!</v>
      </c>
      <c r="Q356" s="24" t="str">
        <f t="shared" si="125"/>
        <v>#DIV/0!</v>
      </c>
      <c r="R356" s="24" t="str">
        <f t="shared" si="125"/>
        <v>#DIV/0!</v>
      </c>
      <c r="S356" s="24" t="str">
        <f t="shared" si="125"/>
        <v>#DIV/0!</v>
      </c>
      <c r="T356" s="24" t="str">
        <f t="shared" si="125"/>
        <v>#DIV/0!</v>
      </c>
      <c r="U356" s="24" t="str">
        <f t="shared" si="125"/>
        <v>#DIV/0!</v>
      </c>
      <c r="V356" s="24" t="str">
        <f t="shared" si="125"/>
        <v>#DIV/0!</v>
      </c>
      <c r="W356" s="24" t="str">
        <f t="shared" si="125"/>
        <v>#DIV/0!</v>
      </c>
      <c r="X356" s="24" t="str">
        <f t="shared" si="125"/>
        <v>#DIV/0!</v>
      </c>
      <c r="Y356" s="24" t="str">
        <f t="shared" si="125"/>
        <v>#DIV/0!</v>
      </c>
      <c r="Z356" s="24" t="str">
        <f t="shared" si="125"/>
        <v>#DIV/0!</v>
      </c>
      <c r="AA356" s="25"/>
      <c r="AB356" s="26" t="str">
        <f>SUM(AB351:AB354)/4</f>
        <v>#DIV/0!</v>
      </c>
      <c r="AC356" s="2"/>
    </row>
    <row r="357">
      <c r="A357" s="27" t="s">
        <v>75</v>
      </c>
      <c r="B357" s="28"/>
      <c r="C357" s="29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30">
        <f t="shared" ref="AA357:AA359" si="126">SUM(B357:Z357)</f>
        <v>0</v>
      </c>
      <c r="AB357" s="31"/>
      <c r="AC357" s="2"/>
    </row>
    <row r="358">
      <c r="A358" s="32" t="s">
        <v>45</v>
      </c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28"/>
      <c r="W358" s="28"/>
      <c r="X358" s="28"/>
      <c r="Y358" s="28"/>
      <c r="Z358" s="28"/>
      <c r="AA358" s="30">
        <f t="shared" si="126"/>
        <v>0</v>
      </c>
      <c r="AB358" s="31"/>
      <c r="AC358" s="9"/>
    </row>
    <row r="359">
      <c r="A359" s="34" t="s">
        <v>46</v>
      </c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28"/>
      <c r="W359" s="28"/>
      <c r="X359" s="28"/>
      <c r="Y359" s="28"/>
      <c r="Z359" s="28"/>
      <c r="AA359" s="30">
        <f t="shared" si="126"/>
        <v>0</v>
      </c>
      <c r="AB359" s="31"/>
      <c r="AC359" s="9"/>
    </row>
    <row r="360">
      <c r="A360" s="35" t="s">
        <v>47</v>
      </c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7"/>
      <c r="AA360" s="38"/>
      <c r="AB360" s="39"/>
      <c r="AC360" s="2"/>
    </row>
    <row r="361">
      <c r="A361" s="40" t="s">
        <v>48</v>
      </c>
      <c r="B361" s="41"/>
      <c r="C361" s="42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3"/>
      <c r="W361" s="43"/>
      <c r="X361" s="43"/>
      <c r="Y361" s="43"/>
      <c r="Z361" s="43"/>
      <c r="AA361" s="44">
        <f t="shared" ref="AA361:AA362" si="127">SUM(B361:Z361)</f>
        <v>0</v>
      </c>
      <c r="AB361" s="31"/>
      <c r="AC361" s="2"/>
    </row>
    <row r="362">
      <c r="A362" s="40" t="s">
        <v>49</v>
      </c>
      <c r="B362" s="41"/>
      <c r="C362" s="42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3"/>
      <c r="W362" s="43"/>
      <c r="X362" s="43"/>
      <c r="Y362" s="43"/>
      <c r="Z362" s="43"/>
      <c r="AA362" s="44">
        <f t="shared" si="127"/>
        <v>0</v>
      </c>
      <c r="AB362" s="31"/>
      <c r="AC362" s="2"/>
    </row>
    <row r="363">
      <c r="A363" s="40" t="s">
        <v>50</v>
      </c>
      <c r="B363" s="42"/>
      <c r="C363" s="42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3"/>
      <c r="W363" s="43"/>
      <c r="X363" s="43"/>
      <c r="Y363" s="43"/>
      <c r="Z363" s="43"/>
      <c r="AA363" s="44" t="str">
        <f>AVERAGE(B363:Z363)</f>
        <v>#DIV/0!</v>
      </c>
      <c r="AB363" s="31"/>
      <c r="AC363" s="2"/>
    </row>
    <row r="364">
      <c r="A364" s="45" t="s">
        <v>51</v>
      </c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7"/>
      <c r="AA364" s="46"/>
      <c r="AB364" s="39"/>
      <c r="AC364" s="2"/>
    </row>
    <row r="365">
      <c r="A365" s="47" t="s">
        <v>48</v>
      </c>
      <c r="B365" s="48"/>
      <c r="C365" s="49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50"/>
      <c r="W365" s="50"/>
      <c r="X365" s="50"/>
      <c r="Y365" s="50"/>
      <c r="Z365" s="50"/>
      <c r="AA365" s="51">
        <f t="shared" ref="AA365:AA366" si="128">SUM(B365:Z365)</f>
        <v>0</v>
      </c>
      <c r="AB365" s="31"/>
      <c r="AC365" s="2"/>
    </row>
    <row r="366">
      <c r="A366" s="47" t="s">
        <v>49</v>
      </c>
      <c r="B366" s="48"/>
      <c r="C366" s="49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50"/>
      <c r="W366" s="50"/>
      <c r="X366" s="50"/>
      <c r="Y366" s="50"/>
      <c r="Z366" s="50"/>
      <c r="AA366" s="51">
        <f t="shared" si="128"/>
        <v>0</v>
      </c>
      <c r="AB366" s="31"/>
      <c r="AC366" s="2"/>
    </row>
    <row r="367">
      <c r="A367" s="47" t="s">
        <v>50</v>
      </c>
      <c r="B367" s="49"/>
      <c r="C367" s="49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50"/>
      <c r="W367" s="50"/>
      <c r="X367" s="50"/>
      <c r="Y367" s="50"/>
      <c r="Z367" s="50"/>
      <c r="AA367" s="51" t="str">
        <f>AVERAGE(B367:Z367)</f>
        <v>#DIV/0!</v>
      </c>
      <c r="AB367" s="31"/>
      <c r="AC367" s="2"/>
    </row>
    <row r="368">
      <c r="A368" s="52" t="s">
        <v>53</v>
      </c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8"/>
      <c r="AB368" s="39"/>
      <c r="AC368" s="2"/>
    </row>
    <row r="369">
      <c r="A369" s="40" t="s">
        <v>48</v>
      </c>
      <c r="B369" s="41"/>
      <c r="C369" s="42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3"/>
      <c r="W369" s="43"/>
      <c r="X369" s="43"/>
      <c r="Y369" s="43"/>
      <c r="Z369" s="43"/>
      <c r="AA369" s="44">
        <f t="shared" ref="AA369:AA370" si="129">SUM(B369:Z369)</f>
        <v>0</v>
      </c>
      <c r="AB369" s="31"/>
      <c r="AC369" s="2"/>
    </row>
    <row r="370">
      <c r="A370" s="40" t="s">
        <v>49</v>
      </c>
      <c r="B370" s="41"/>
      <c r="C370" s="42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3"/>
      <c r="W370" s="43"/>
      <c r="X370" s="43"/>
      <c r="Y370" s="43"/>
      <c r="Z370" s="43"/>
      <c r="AA370" s="44">
        <f t="shared" si="129"/>
        <v>0</v>
      </c>
      <c r="AB370" s="31"/>
      <c r="AC370" s="2"/>
    </row>
    <row r="371">
      <c r="A371" s="53" t="s">
        <v>50</v>
      </c>
      <c r="B371" s="54"/>
      <c r="C371" s="54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6"/>
      <c r="W371" s="56"/>
      <c r="X371" s="56"/>
      <c r="Y371" s="56"/>
      <c r="Z371" s="56"/>
      <c r="AA371" s="57" t="str">
        <f>AVERAGE(B371:Z371)</f>
        <v>#DIV/0!</v>
      </c>
      <c r="AB371" s="58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59"/>
      <c r="AB372" s="59"/>
      <c r="AC372" s="2"/>
    </row>
    <row r="373">
      <c r="A373" s="71" t="s">
        <v>54</v>
      </c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5" t="s">
        <v>37</v>
      </c>
      <c r="AB373" s="16" t="s">
        <v>38</v>
      </c>
      <c r="AC373" s="2"/>
    </row>
    <row r="374">
      <c r="A374" s="17" t="s">
        <v>39</v>
      </c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20">
        <f t="shared" ref="AA374:AA378" si="130">SUM(B374:Z374)</f>
        <v>0</v>
      </c>
      <c r="AB374" s="21" t="str">
        <f t="shared" ref="AB374:AB377" si="131">AA374/(COUNT(B374:Z374)*1)</f>
        <v>#DIV/0!</v>
      </c>
      <c r="AC374" s="2"/>
    </row>
    <row r="375">
      <c r="A375" s="17" t="s">
        <v>40</v>
      </c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20">
        <f t="shared" si="130"/>
        <v>0</v>
      </c>
      <c r="AB375" s="21" t="str">
        <f t="shared" si="131"/>
        <v>#DIV/0!</v>
      </c>
      <c r="AC375" s="2"/>
    </row>
    <row r="376">
      <c r="A376" s="17" t="s">
        <v>41</v>
      </c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20">
        <f t="shared" si="130"/>
        <v>0</v>
      </c>
      <c r="AB376" s="21" t="str">
        <f t="shared" si="131"/>
        <v>#DIV/0!</v>
      </c>
      <c r="AC376" s="2"/>
    </row>
    <row r="377">
      <c r="A377" s="17" t="s">
        <v>42</v>
      </c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20">
        <f t="shared" si="130"/>
        <v>0</v>
      </c>
      <c r="AB377" s="21" t="str">
        <f t="shared" si="131"/>
        <v>#DIV/0!</v>
      </c>
      <c r="AC377" s="2"/>
    </row>
    <row r="378">
      <c r="A378" s="17" t="s">
        <v>43</v>
      </c>
      <c r="B378" s="22">
        <f t="shared" ref="B378:Z378" si="132">SUM(B374:B377)</f>
        <v>0</v>
      </c>
      <c r="C378" s="22">
        <f t="shared" si="132"/>
        <v>0</v>
      </c>
      <c r="D378" s="22">
        <f t="shared" si="132"/>
        <v>0</v>
      </c>
      <c r="E378" s="22">
        <f t="shared" si="132"/>
        <v>0</v>
      </c>
      <c r="F378" s="22">
        <f t="shared" si="132"/>
        <v>0</v>
      </c>
      <c r="G378" s="22">
        <f t="shared" si="132"/>
        <v>0</v>
      </c>
      <c r="H378" s="22">
        <f t="shared" si="132"/>
        <v>0</v>
      </c>
      <c r="I378" s="22">
        <f t="shared" si="132"/>
        <v>0</v>
      </c>
      <c r="J378" s="22">
        <f t="shared" si="132"/>
        <v>0</v>
      </c>
      <c r="K378" s="22">
        <f t="shared" si="132"/>
        <v>0</v>
      </c>
      <c r="L378" s="22">
        <f t="shared" si="132"/>
        <v>0</v>
      </c>
      <c r="M378" s="22">
        <f t="shared" si="132"/>
        <v>0</v>
      </c>
      <c r="N378" s="22">
        <f t="shared" si="132"/>
        <v>0</v>
      </c>
      <c r="O378" s="22">
        <f t="shared" si="132"/>
        <v>0</v>
      </c>
      <c r="P378" s="22">
        <f t="shared" si="132"/>
        <v>0</v>
      </c>
      <c r="Q378" s="22">
        <f t="shared" si="132"/>
        <v>0</v>
      </c>
      <c r="R378" s="22">
        <f t="shared" si="132"/>
        <v>0</v>
      </c>
      <c r="S378" s="22">
        <f t="shared" si="132"/>
        <v>0</v>
      </c>
      <c r="T378" s="22">
        <f t="shared" si="132"/>
        <v>0</v>
      </c>
      <c r="U378" s="22">
        <f t="shared" si="132"/>
        <v>0</v>
      </c>
      <c r="V378" s="22">
        <f t="shared" si="132"/>
        <v>0</v>
      </c>
      <c r="W378" s="22">
        <f t="shared" si="132"/>
        <v>0</v>
      </c>
      <c r="X378" s="22">
        <f t="shared" si="132"/>
        <v>0</v>
      </c>
      <c r="Y378" s="22">
        <f t="shared" si="132"/>
        <v>0</v>
      </c>
      <c r="Z378" s="22">
        <f t="shared" si="132"/>
        <v>0</v>
      </c>
      <c r="AA378" s="20">
        <f t="shared" si="130"/>
        <v>0</v>
      </c>
      <c r="AB378" s="23"/>
      <c r="AC378" s="2"/>
    </row>
    <row r="379">
      <c r="A379" s="17" t="s">
        <v>38</v>
      </c>
      <c r="B379" s="24" t="str">
        <f t="shared" ref="B379:Z379" si="133">B378/(COUNT(B374:B377)*1)</f>
        <v>#DIV/0!</v>
      </c>
      <c r="C379" s="24" t="str">
        <f t="shared" si="133"/>
        <v>#DIV/0!</v>
      </c>
      <c r="D379" s="24" t="str">
        <f t="shared" si="133"/>
        <v>#DIV/0!</v>
      </c>
      <c r="E379" s="24" t="str">
        <f t="shared" si="133"/>
        <v>#DIV/0!</v>
      </c>
      <c r="F379" s="24" t="str">
        <f t="shared" si="133"/>
        <v>#DIV/0!</v>
      </c>
      <c r="G379" s="24" t="str">
        <f t="shared" si="133"/>
        <v>#DIV/0!</v>
      </c>
      <c r="H379" s="24" t="str">
        <f t="shared" si="133"/>
        <v>#DIV/0!</v>
      </c>
      <c r="I379" s="24" t="str">
        <f t="shared" si="133"/>
        <v>#DIV/0!</v>
      </c>
      <c r="J379" s="24" t="str">
        <f t="shared" si="133"/>
        <v>#DIV/0!</v>
      </c>
      <c r="K379" s="24" t="str">
        <f t="shared" si="133"/>
        <v>#DIV/0!</v>
      </c>
      <c r="L379" s="24" t="str">
        <f t="shared" si="133"/>
        <v>#DIV/0!</v>
      </c>
      <c r="M379" s="24" t="str">
        <f t="shared" si="133"/>
        <v>#DIV/0!</v>
      </c>
      <c r="N379" s="24" t="str">
        <f t="shared" si="133"/>
        <v>#DIV/0!</v>
      </c>
      <c r="O379" s="24" t="str">
        <f t="shared" si="133"/>
        <v>#DIV/0!</v>
      </c>
      <c r="P379" s="24" t="str">
        <f t="shared" si="133"/>
        <v>#DIV/0!</v>
      </c>
      <c r="Q379" s="24" t="str">
        <f t="shared" si="133"/>
        <v>#DIV/0!</v>
      </c>
      <c r="R379" s="24" t="str">
        <f t="shared" si="133"/>
        <v>#DIV/0!</v>
      </c>
      <c r="S379" s="24" t="str">
        <f t="shared" si="133"/>
        <v>#DIV/0!</v>
      </c>
      <c r="T379" s="24" t="str">
        <f t="shared" si="133"/>
        <v>#DIV/0!</v>
      </c>
      <c r="U379" s="24" t="str">
        <f t="shared" si="133"/>
        <v>#DIV/0!</v>
      </c>
      <c r="V379" s="24" t="str">
        <f t="shared" si="133"/>
        <v>#DIV/0!</v>
      </c>
      <c r="W379" s="24" t="str">
        <f t="shared" si="133"/>
        <v>#DIV/0!</v>
      </c>
      <c r="X379" s="24" t="str">
        <f t="shared" si="133"/>
        <v>#DIV/0!</v>
      </c>
      <c r="Y379" s="24" t="str">
        <f t="shared" si="133"/>
        <v>#DIV/0!</v>
      </c>
      <c r="Z379" s="24" t="str">
        <f t="shared" si="133"/>
        <v>#DIV/0!</v>
      </c>
      <c r="AA379" s="25"/>
      <c r="AB379" s="26" t="str">
        <f>SUM(AB374:AB377)/4</f>
        <v>#DIV/0!</v>
      </c>
      <c r="AC379" s="2"/>
    </row>
    <row r="380">
      <c r="A380" s="27" t="s">
        <v>75</v>
      </c>
      <c r="B380" s="28"/>
      <c r="C380" s="29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30">
        <f t="shared" ref="AA380:AA382" si="134">SUM(B380:Z380)</f>
        <v>0</v>
      </c>
      <c r="AB380" s="31"/>
      <c r="AC380" s="2"/>
    </row>
    <row r="381">
      <c r="A381" s="32" t="s">
        <v>45</v>
      </c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28"/>
      <c r="W381" s="28"/>
      <c r="X381" s="28"/>
      <c r="Y381" s="28"/>
      <c r="Z381" s="28"/>
      <c r="AA381" s="30">
        <f t="shared" si="134"/>
        <v>0</v>
      </c>
      <c r="AB381" s="31"/>
      <c r="AC381" s="9"/>
    </row>
    <row r="382">
      <c r="A382" s="34" t="s">
        <v>46</v>
      </c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28"/>
      <c r="W382" s="28"/>
      <c r="X382" s="28"/>
      <c r="Y382" s="28"/>
      <c r="Z382" s="28"/>
      <c r="AA382" s="30">
        <f t="shared" si="134"/>
        <v>0</v>
      </c>
      <c r="AB382" s="31"/>
      <c r="AC382" s="9"/>
    </row>
    <row r="383">
      <c r="A383" s="35" t="s">
        <v>47</v>
      </c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7"/>
      <c r="AA383" s="38"/>
      <c r="AB383" s="39"/>
      <c r="AC383" s="2"/>
    </row>
    <row r="384">
      <c r="A384" s="40" t="s">
        <v>48</v>
      </c>
      <c r="B384" s="41"/>
      <c r="C384" s="42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3"/>
      <c r="W384" s="43"/>
      <c r="X384" s="43"/>
      <c r="Y384" s="43"/>
      <c r="Z384" s="43"/>
      <c r="AA384" s="44">
        <f t="shared" ref="AA384:AA385" si="135">SUM(B384:Z384)</f>
        <v>0</v>
      </c>
      <c r="AB384" s="31"/>
      <c r="AC384" s="2"/>
    </row>
    <row r="385">
      <c r="A385" s="40" t="s">
        <v>49</v>
      </c>
      <c r="B385" s="41"/>
      <c r="C385" s="42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3"/>
      <c r="W385" s="43"/>
      <c r="X385" s="43"/>
      <c r="Y385" s="43"/>
      <c r="Z385" s="43"/>
      <c r="AA385" s="44">
        <f t="shared" si="135"/>
        <v>0</v>
      </c>
      <c r="AB385" s="31"/>
      <c r="AC385" s="2"/>
    </row>
    <row r="386">
      <c r="A386" s="40" t="s">
        <v>50</v>
      </c>
      <c r="B386" s="42"/>
      <c r="C386" s="42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3"/>
      <c r="W386" s="43"/>
      <c r="X386" s="43"/>
      <c r="Y386" s="43"/>
      <c r="Z386" s="43"/>
      <c r="AA386" s="44" t="str">
        <f>AVERAGE(B386:Z386)</f>
        <v>#DIV/0!</v>
      </c>
      <c r="AB386" s="31"/>
      <c r="AC386" s="2"/>
    </row>
    <row r="387">
      <c r="A387" s="45" t="s">
        <v>51</v>
      </c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7"/>
      <c r="AA387" s="46"/>
      <c r="AB387" s="39"/>
      <c r="AC387" s="2"/>
    </row>
    <row r="388">
      <c r="A388" s="47" t="s">
        <v>48</v>
      </c>
      <c r="B388" s="48"/>
      <c r="C388" s="49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50"/>
      <c r="W388" s="50"/>
      <c r="X388" s="50"/>
      <c r="Y388" s="50"/>
      <c r="Z388" s="50"/>
      <c r="AA388" s="51">
        <f t="shared" ref="AA388:AA389" si="136">SUM(B388:Z388)</f>
        <v>0</v>
      </c>
      <c r="AB388" s="31"/>
      <c r="AC388" s="2"/>
    </row>
    <row r="389">
      <c r="A389" s="47" t="s">
        <v>49</v>
      </c>
      <c r="B389" s="48"/>
      <c r="C389" s="49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50"/>
      <c r="W389" s="50"/>
      <c r="X389" s="50"/>
      <c r="Y389" s="50"/>
      <c r="Z389" s="50"/>
      <c r="AA389" s="51">
        <f t="shared" si="136"/>
        <v>0</v>
      </c>
      <c r="AB389" s="31"/>
      <c r="AC389" s="2"/>
    </row>
    <row r="390">
      <c r="A390" s="47" t="s">
        <v>50</v>
      </c>
      <c r="B390" s="49"/>
      <c r="C390" s="49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50"/>
      <c r="W390" s="50"/>
      <c r="X390" s="50"/>
      <c r="Y390" s="50"/>
      <c r="Z390" s="50"/>
      <c r="AA390" s="51" t="str">
        <f>AVERAGE(B390:Z390)</f>
        <v>#DIV/0!</v>
      </c>
      <c r="AB390" s="31"/>
      <c r="AC390" s="2"/>
    </row>
    <row r="391">
      <c r="A391" s="52" t="s">
        <v>53</v>
      </c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7"/>
      <c r="AA391" s="38"/>
      <c r="AB391" s="39"/>
      <c r="AC391" s="2"/>
    </row>
    <row r="392">
      <c r="A392" s="40" t="s">
        <v>48</v>
      </c>
      <c r="B392" s="41"/>
      <c r="C392" s="42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3"/>
      <c r="W392" s="43"/>
      <c r="X392" s="43"/>
      <c r="Y392" s="43"/>
      <c r="Z392" s="43"/>
      <c r="AA392" s="44">
        <f t="shared" ref="AA392:AA393" si="137">SUM(B392:Z392)</f>
        <v>0</v>
      </c>
      <c r="AB392" s="31"/>
      <c r="AC392" s="2"/>
    </row>
    <row r="393">
      <c r="A393" s="40" t="s">
        <v>49</v>
      </c>
      <c r="B393" s="41"/>
      <c r="C393" s="42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3"/>
      <c r="W393" s="43"/>
      <c r="X393" s="43"/>
      <c r="Y393" s="43"/>
      <c r="Z393" s="43"/>
      <c r="AA393" s="44">
        <f t="shared" si="137"/>
        <v>0</v>
      </c>
      <c r="AB393" s="31"/>
      <c r="AC393" s="2"/>
    </row>
    <row r="394">
      <c r="A394" s="53" t="s">
        <v>50</v>
      </c>
      <c r="B394" s="54"/>
      <c r="C394" s="54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6"/>
      <c r="W394" s="56"/>
      <c r="X394" s="56"/>
      <c r="Y394" s="56"/>
      <c r="Z394" s="56"/>
      <c r="AA394" s="57" t="str">
        <f>AVERAGE(B394:Z394)</f>
        <v>#DIV/0!</v>
      </c>
      <c r="AB394" s="58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59"/>
      <c r="AB395" s="59"/>
      <c r="AC395" s="2"/>
    </row>
    <row r="396">
      <c r="A396" s="71" t="s">
        <v>54</v>
      </c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5" t="s">
        <v>37</v>
      </c>
      <c r="AB396" s="16" t="s">
        <v>38</v>
      </c>
      <c r="AC396" s="2"/>
    </row>
    <row r="397">
      <c r="A397" s="17" t="s">
        <v>39</v>
      </c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20">
        <f t="shared" ref="AA397:AA401" si="138">SUM(B397:Z397)</f>
        <v>0</v>
      </c>
      <c r="AB397" s="21" t="str">
        <f t="shared" ref="AB397:AB400" si="139">AA397/(COUNT(B397:Z397)*1)</f>
        <v>#DIV/0!</v>
      </c>
      <c r="AC397" s="2"/>
    </row>
    <row r="398">
      <c r="A398" s="17" t="s">
        <v>40</v>
      </c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20">
        <f t="shared" si="138"/>
        <v>0</v>
      </c>
      <c r="AB398" s="21" t="str">
        <f t="shared" si="139"/>
        <v>#DIV/0!</v>
      </c>
      <c r="AC398" s="2"/>
    </row>
    <row r="399">
      <c r="A399" s="17" t="s">
        <v>41</v>
      </c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20">
        <f t="shared" si="138"/>
        <v>0</v>
      </c>
      <c r="AB399" s="21" t="str">
        <f t="shared" si="139"/>
        <v>#DIV/0!</v>
      </c>
      <c r="AC399" s="2"/>
    </row>
    <row r="400">
      <c r="A400" s="17" t="s">
        <v>42</v>
      </c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20">
        <f t="shared" si="138"/>
        <v>0</v>
      </c>
      <c r="AB400" s="21" t="str">
        <f t="shared" si="139"/>
        <v>#DIV/0!</v>
      </c>
      <c r="AC400" s="2"/>
    </row>
    <row r="401">
      <c r="A401" s="17" t="s">
        <v>43</v>
      </c>
      <c r="B401" s="22">
        <f t="shared" ref="B401:Z401" si="140">SUM(B397:B400)</f>
        <v>0</v>
      </c>
      <c r="C401" s="22">
        <f t="shared" si="140"/>
        <v>0</v>
      </c>
      <c r="D401" s="22">
        <f t="shared" si="140"/>
        <v>0</v>
      </c>
      <c r="E401" s="22">
        <f t="shared" si="140"/>
        <v>0</v>
      </c>
      <c r="F401" s="22">
        <f t="shared" si="140"/>
        <v>0</v>
      </c>
      <c r="G401" s="22">
        <f t="shared" si="140"/>
        <v>0</v>
      </c>
      <c r="H401" s="22">
        <f t="shared" si="140"/>
        <v>0</v>
      </c>
      <c r="I401" s="22">
        <f t="shared" si="140"/>
        <v>0</v>
      </c>
      <c r="J401" s="22">
        <f t="shared" si="140"/>
        <v>0</v>
      </c>
      <c r="K401" s="22">
        <f t="shared" si="140"/>
        <v>0</v>
      </c>
      <c r="L401" s="22">
        <f t="shared" si="140"/>
        <v>0</v>
      </c>
      <c r="M401" s="22">
        <f t="shared" si="140"/>
        <v>0</v>
      </c>
      <c r="N401" s="22">
        <f t="shared" si="140"/>
        <v>0</v>
      </c>
      <c r="O401" s="22">
        <f t="shared" si="140"/>
        <v>0</v>
      </c>
      <c r="P401" s="22">
        <f t="shared" si="140"/>
        <v>0</v>
      </c>
      <c r="Q401" s="22">
        <f t="shared" si="140"/>
        <v>0</v>
      </c>
      <c r="R401" s="22">
        <f t="shared" si="140"/>
        <v>0</v>
      </c>
      <c r="S401" s="22">
        <f t="shared" si="140"/>
        <v>0</v>
      </c>
      <c r="T401" s="22">
        <f t="shared" si="140"/>
        <v>0</v>
      </c>
      <c r="U401" s="22">
        <f t="shared" si="140"/>
        <v>0</v>
      </c>
      <c r="V401" s="22">
        <f t="shared" si="140"/>
        <v>0</v>
      </c>
      <c r="W401" s="22">
        <f t="shared" si="140"/>
        <v>0</v>
      </c>
      <c r="X401" s="22">
        <f t="shared" si="140"/>
        <v>0</v>
      </c>
      <c r="Y401" s="22">
        <f t="shared" si="140"/>
        <v>0</v>
      </c>
      <c r="Z401" s="22">
        <f t="shared" si="140"/>
        <v>0</v>
      </c>
      <c r="AA401" s="20">
        <f t="shared" si="138"/>
        <v>0</v>
      </c>
      <c r="AB401" s="23"/>
      <c r="AC401" s="2"/>
    </row>
    <row r="402">
      <c r="A402" s="17" t="s">
        <v>38</v>
      </c>
      <c r="B402" s="24" t="str">
        <f t="shared" ref="B402:Z402" si="141">B401/(COUNT(B397:B400)*1)</f>
        <v>#DIV/0!</v>
      </c>
      <c r="C402" s="24" t="str">
        <f t="shared" si="141"/>
        <v>#DIV/0!</v>
      </c>
      <c r="D402" s="24" t="str">
        <f t="shared" si="141"/>
        <v>#DIV/0!</v>
      </c>
      <c r="E402" s="24" t="str">
        <f t="shared" si="141"/>
        <v>#DIV/0!</v>
      </c>
      <c r="F402" s="24" t="str">
        <f t="shared" si="141"/>
        <v>#DIV/0!</v>
      </c>
      <c r="G402" s="24" t="str">
        <f t="shared" si="141"/>
        <v>#DIV/0!</v>
      </c>
      <c r="H402" s="24" t="str">
        <f t="shared" si="141"/>
        <v>#DIV/0!</v>
      </c>
      <c r="I402" s="24" t="str">
        <f t="shared" si="141"/>
        <v>#DIV/0!</v>
      </c>
      <c r="J402" s="24" t="str">
        <f t="shared" si="141"/>
        <v>#DIV/0!</v>
      </c>
      <c r="K402" s="24" t="str">
        <f t="shared" si="141"/>
        <v>#DIV/0!</v>
      </c>
      <c r="L402" s="24" t="str">
        <f t="shared" si="141"/>
        <v>#DIV/0!</v>
      </c>
      <c r="M402" s="24" t="str">
        <f t="shared" si="141"/>
        <v>#DIV/0!</v>
      </c>
      <c r="N402" s="24" t="str">
        <f t="shared" si="141"/>
        <v>#DIV/0!</v>
      </c>
      <c r="O402" s="24" t="str">
        <f t="shared" si="141"/>
        <v>#DIV/0!</v>
      </c>
      <c r="P402" s="24" t="str">
        <f t="shared" si="141"/>
        <v>#DIV/0!</v>
      </c>
      <c r="Q402" s="24" t="str">
        <f t="shared" si="141"/>
        <v>#DIV/0!</v>
      </c>
      <c r="R402" s="24" t="str">
        <f t="shared" si="141"/>
        <v>#DIV/0!</v>
      </c>
      <c r="S402" s="24" t="str">
        <f t="shared" si="141"/>
        <v>#DIV/0!</v>
      </c>
      <c r="T402" s="24" t="str">
        <f t="shared" si="141"/>
        <v>#DIV/0!</v>
      </c>
      <c r="U402" s="24" t="str">
        <f t="shared" si="141"/>
        <v>#DIV/0!</v>
      </c>
      <c r="V402" s="24" t="str">
        <f t="shared" si="141"/>
        <v>#DIV/0!</v>
      </c>
      <c r="W402" s="24" t="str">
        <f t="shared" si="141"/>
        <v>#DIV/0!</v>
      </c>
      <c r="X402" s="24" t="str">
        <f t="shared" si="141"/>
        <v>#DIV/0!</v>
      </c>
      <c r="Y402" s="24" t="str">
        <f t="shared" si="141"/>
        <v>#DIV/0!</v>
      </c>
      <c r="Z402" s="24" t="str">
        <f t="shared" si="141"/>
        <v>#DIV/0!</v>
      </c>
      <c r="AA402" s="25"/>
      <c r="AB402" s="26" t="str">
        <f>SUM(AB397:AB400)/4</f>
        <v>#DIV/0!</v>
      </c>
      <c r="AC402" s="2"/>
    </row>
    <row r="403">
      <c r="A403" s="27" t="s">
        <v>75</v>
      </c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30">
        <f t="shared" ref="AA403:AA405" si="142">SUM(B403:Z403)</f>
        <v>0</v>
      </c>
      <c r="AB403" s="31"/>
      <c r="AC403" s="2"/>
    </row>
    <row r="404">
      <c r="A404" s="32" t="s">
        <v>45</v>
      </c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28"/>
      <c r="W404" s="28"/>
      <c r="X404" s="28"/>
      <c r="Y404" s="28"/>
      <c r="Z404" s="28"/>
      <c r="AA404" s="30">
        <f t="shared" si="142"/>
        <v>0</v>
      </c>
      <c r="AB404" s="31"/>
      <c r="AC404" s="9"/>
    </row>
    <row r="405">
      <c r="A405" s="34" t="s">
        <v>46</v>
      </c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28"/>
      <c r="W405" s="28"/>
      <c r="X405" s="28"/>
      <c r="Y405" s="28"/>
      <c r="Z405" s="28"/>
      <c r="AA405" s="30">
        <f t="shared" si="142"/>
        <v>0</v>
      </c>
      <c r="AB405" s="31"/>
      <c r="AC405" s="9"/>
    </row>
    <row r="406">
      <c r="A406" s="35" t="s">
        <v>47</v>
      </c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8"/>
      <c r="AB406" s="39"/>
      <c r="AC406" s="2"/>
    </row>
    <row r="407">
      <c r="A407" s="40" t="s">
        <v>48</v>
      </c>
      <c r="B407" s="41"/>
      <c r="C407" s="42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3"/>
      <c r="W407" s="43"/>
      <c r="X407" s="43"/>
      <c r="Y407" s="43"/>
      <c r="Z407" s="43"/>
      <c r="AA407" s="44">
        <f t="shared" ref="AA407:AA408" si="143">SUM(B407:Z407)</f>
        <v>0</v>
      </c>
      <c r="AB407" s="31"/>
      <c r="AC407" s="2"/>
    </row>
    <row r="408">
      <c r="A408" s="40" t="s">
        <v>49</v>
      </c>
      <c r="B408" s="41"/>
      <c r="C408" s="42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3"/>
      <c r="W408" s="43"/>
      <c r="X408" s="43"/>
      <c r="Y408" s="43"/>
      <c r="Z408" s="43"/>
      <c r="AA408" s="44">
        <f t="shared" si="143"/>
        <v>0</v>
      </c>
      <c r="AB408" s="31"/>
      <c r="AC408" s="2"/>
    </row>
    <row r="409">
      <c r="A409" s="40" t="s">
        <v>50</v>
      </c>
      <c r="B409" s="42"/>
      <c r="C409" s="42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3"/>
      <c r="W409" s="43"/>
      <c r="X409" s="43"/>
      <c r="Y409" s="43"/>
      <c r="Z409" s="43"/>
      <c r="AA409" s="44" t="str">
        <f>AVERAGE(B409:Z409)</f>
        <v>#DIV/0!</v>
      </c>
      <c r="AB409" s="31"/>
      <c r="AC409" s="2"/>
    </row>
    <row r="410">
      <c r="A410" s="45" t="s">
        <v>51</v>
      </c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7"/>
      <c r="AA410" s="46"/>
      <c r="AB410" s="39"/>
      <c r="AC410" s="2"/>
    </row>
    <row r="411">
      <c r="A411" s="47" t="s">
        <v>48</v>
      </c>
      <c r="B411" s="48"/>
      <c r="C411" s="49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50"/>
      <c r="W411" s="50"/>
      <c r="X411" s="50"/>
      <c r="Y411" s="50"/>
      <c r="Z411" s="50"/>
      <c r="AA411" s="51">
        <f t="shared" ref="AA411:AA412" si="144">SUM(B411:Z411)</f>
        <v>0</v>
      </c>
      <c r="AB411" s="31"/>
      <c r="AC411" s="2"/>
    </row>
    <row r="412">
      <c r="A412" s="47" t="s">
        <v>49</v>
      </c>
      <c r="B412" s="48"/>
      <c r="C412" s="49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50"/>
      <c r="W412" s="50"/>
      <c r="X412" s="50"/>
      <c r="Y412" s="50"/>
      <c r="Z412" s="50"/>
      <c r="AA412" s="51">
        <f t="shared" si="144"/>
        <v>0</v>
      </c>
      <c r="AB412" s="31"/>
      <c r="AC412" s="2"/>
    </row>
    <row r="413">
      <c r="A413" s="47" t="s">
        <v>50</v>
      </c>
      <c r="B413" s="49"/>
      <c r="C413" s="49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50"/>
      <c r="W413" s="50"/>
      <c r="X413" s="50"/>
      <c r="Y413" s="50"/>
      <c r="Z413" s="50"/>
      <c r="AA413" s="51" t="str">
        <f>AVERAGE(B413:Z413)</f>
        <v>#DIV/0!</v>
      </c>
      <c r="AB413" s="31"/>
      <c r="AC413" s="2"/>
    </row>
    <row r="414">
      <c r="A414" s="52" t="s">
        <v>53</v>
      </c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7"/>
      <c r="AA414" s="38"/>
      <c r="AB414" s="39"/>
      <c r="AC414" s="2"/>
    </row>
    <row r="415">
      <c r="A415" s="40" t="s">
        <v>48</v>
      </c>
      <c r="B415" s="41"/>
      <c r="C415" s="42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3"/>
      <c r="W415" s="43"/>
      <c r="X415" s="43"/>
      <c r="Y415" s="43"/>
      <c r="Z415" s="43"/>
      <c r="AA415" s="44">
        <f t="shared" ref="AA415:AA416" si="145">SUM(B415:Z415)</f>
        <v>0</v>
      </c>
      <c r="AB415" s="31"/>
      <c r="AC415" s="2"/>
    </row>
    <row r="416">
      <c r="A416" s="40" t="s">
        <v>49</v>
      </c>
      <c r="B416" s="41"/>
      <c r="C416" s="42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3"/>
      <c r="W416" s="43"/>
      <c r="X416" s="43"/>
      <c r="Y416" s="43"/>
      <c r="Z416" s="43"/>
      <c r="AA416" s="44">
        <f t="shared" si="145"/>
        <v>0</v>
      </c>
      <c r="AB416" s="31"/>
      <c r="AC416" s="2"/>
    </row>
    <row r="417">
      <c r="A417" s="53" t="s">
        <v>50</v>
      </c>
      <c r="B417" s="54"/>
      <c r="C417" s="54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6"/>
      <c r="W417" s="56"/>
      <c r="X417" s="56"/>
      <c r="Y417" s="56"/>
      <c r="Z417" s="56"/>
      <c r="AA417" s="57" t="str">
        <f>AVERAGE(B417:Z417)</f>
        <v>#DIV/0!</v>
      </c>
      <c r="AB417" s="58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59"/>
      <c r="AB418" s="59"/>
      <c r="AC418" s="2"/>
    </row>
    <row r="419">
      <c r="A419" s="71" t="s">
        <v>54</v>
      </c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5" t="s">
        <v>37</v>
      </c>
      <c r="AB419" s="16" t="s">
        <v>38</v>
      </c>
      <c r="AC419" s="2"/>
    </row>
    <row r="420">
      <c r="A420" s="17" t="s">
        <v>39</v>
      </c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20">
        <f t="shared" ref="AA420:AA424" si="146">SUM(B420:Z420)</f>
        <v>0</v>
      </c>
      <c r="AB420" s="21" t="str">
        <f t="shared" ref="AB420:AB423" si="147">AA420/(COUNT(B420:Z420)*1)</f>
        <v>#DIV/0!</v>
      </c>
      <c r="AC420" s="2"/>
    </row>
    <row r="421">
      <c r="A421" s="17" t="s">
        <v>40</v>
      </c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20">
        <f t="shared" si="146"/>
        <v>0</v>
      </c>
      <c r="AB421" s="21" t="str">
        <f t="shared" si="147"/>
        <v>#DIV/0!</v>
      </c>
      <c r="AC421" s="2"/>
    </row>
    <row r="422">
      <c r="A422" s="17" t="s">
        <v>41</v>
      </c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20">
        <f t="shared" si="146"/>
        <v>0</v>
      </c>
      <c r="AB422" s="21" t="str">
        <f t="shared" si="147"/>
        <v>#DIV/0!</v>
      </c>
      <c r="AC422" s="2"/>
    </row>
    <row r="423">
      <c r="A423" s="17" t="s">
        <v>42</v>
      </c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20">
        <f t="shared" si="146"/>
        <v>0</v>
      </c>
      <c r="AB423" s="21" t="str">
        <f t="shared" si="147"/>
        <v>#DIV/0!</v>
      </c>
      <c r="AC423" s="2"/>
    </row>
    <row r="424">
      <c r="A424" s="17" t="s">
        <v>43</v>
      </c>
      <c r="B424" s="22">
        <f t="shared" ref="B424:Z424" si="148">SUM(B420:B423)</f>
        <v>0</v>
      </c>
      <c r="C424" s="22">
        <f t="shared" si="148"/>
        <v>0</v>
      </c>
      <c r="D424" s="22">
        <f t="shared" si="148"/>
        <v>0</v>
      </c>
      <c r="E424" s="22">
        <f t="shared" si="148"/>
        <v>0</v>
      </c>
      <c r="F424" s="22">
        <f t="shared" si="148"/>
        <v>0</v>
      </c>
      <c r="G424" s="22">
        <f t="shared" si="148"/>
        <v>0</v>
      </c>
      <c r="H424" s="22">
        <f t="shared" si="148"/>
        <v>0</v>
      </c>
      <c r="I424" s="22">
        <f t="shared" si="148"/>
        <v>0</v>
      </c>
      <c r="J424" s="22">
        <f t="shared" si="148"/>
        <v>0</v>
      </c>
      <c r="K424" s="22">
        <f t="shared" si="148"/>
        <v>0</v>
      </c>
      <c r="L424" s="22">
        <f t="shared" si="148"/>
        <v>0</v>
      </c>
      <c r="M424" s="22">
        <f t="shared" si="148"/>
        <v>0</v>
      </c>
      <c r="N424" s="22">
        <f t="shared" si="148"/>
        <v>0</v>
      </c>
      <c r="O424" s="22">
        <f t="shared" si="148"/>
        <v>0</v>
      </c>
      <c r="P424" s="22">
        <f t="shared" si="148"/>
        <v>0</v>
      </c>
      <c r="Q424" s="22">
        <f t="shared" si="148"/>
        <v>0</v>
      </c>
      <c r="R424" s="22">
        <f t="shared" si="148"/>
        <v>0</v>
      </c>
      <c r="S424" s="22">
        <f t="shared" si="148"/>
        <v>0</v>
      </c>
      <c r="T424" s="22">
        <f t="shared" si="148"/>
        <v>0</v>
      </c>
      <c r="U424" s="22">
        <f t="shared" si="148"/>
        <v>0</v>
      </c>
      <c r="V424" s="22">
        <f t="shared" si="148"/>
        <v>0</v>
      </c>
      <c r="W424" s="22">
        <f t="shared" si="148"/>
        <v>0</v>
      </c>
      <c r="X424" s="22">
        <f t="shared" si="148"/>
        <v>0</v>
      </c>
      <c r="Y424" s="22">
        <f t="shared" si="148"/>
        <v>0</v>
      </c>
      <c r="Z424" s="22">
        <f t="shared" si="148"/>
        <v>0</v>
      </c>
      <c r="AA424" s="20">
        <f t="shared" si="146"/>
        <v>0</v>
      </c>
      <c r="AB424" s="23"/>
      <c r="AC424" s="2"/>
    </row>
    <row r="425">
      <c r="A425" s="17" t="s">
        <v>38</v>
      </c>
      <c r="B425" s="24" t="str">
        <f t="shared" ref="B425:Z425" si="149">B424/(COUNT(B420:B423)*1)</f>
        <v>#DIV/0!</v>
      </c>
      <c r="C425" s="24" t="str">
        <f t="shared" si="149"/>
        <v>#DIV/0!</v>
      </c>
      <c r="D425" s="24" t="str">
        <f t="shared" si="149"/>
        <v>#DIV/0!</v>
      </c>
      <c r="E425" s="24" t="str">
        <f t="shared" si="149"/>
        <v>#DIV/0!</v>
      </c>
      <c r="F425" s="24" t="str">
        <f t="shared" si="149"/>
        <v>#DIV/0!</v>
      </c>
      <c r="G425" s="24" t="str">
        <f t="shared" si="149"/>
        <v>#DIV/0!</v>
      </c>
      <c r="H425" s="24" t="str">
        <f t="shared" si="149"/>
        <v>#DIV/0!</v>
      </c>
      <c r="I425" s="24" t="str">
        <f t="shared" si="149"/>
        <v>#DIV/0!</v>
      </c>
      <c r="J425" s="24" t="str">
        <f t="shared" si="149"/>
        <v>#DIV/0!</v>
      </c>
      <c r="K425" s="24" t="str">
        <f t="shared" si="149"/>
        <v>#DIV/0!</v>
      </c>
      <c r="L425" s="24" t="str">
        <f t="shared" si="149"/>
        <v>#DIV/0!</v>
      </c>
      <c r="M425" s="24" t="str">
        <f t="shared" si="149"/>
        <v>#DIV/0!</v>
      </c>
      <c r="N425" s="24" t="str">
        <f t="shared" si="149"/>
        <v>#DIV/0!</v>
      </c>
      <c r="O425" s="24" t="str">
        <f t="shared" si="149"/>
        <v>#DIV/0!</v>
      </c>
      <c r="P425" s="24" t="str">
        <f t="shared" si="149"/>
        <v>#DIV/0!</v>
      </c>
      <c r="Q425" s="24" t="str">
        <f t="shared" si="149"/>
        <v>#DIV/0!</v>
      </c>
      <c r="R425" s="24" t="str">
        <f t="shared" si="149"/>
        <v>#DIV/0!</v>
      </c>
      <c r="S425" s="24" t="str">
        <f t="shared" si="149"/>
        <v>#DIV/0!</v>
      </c>
      <c r="T425" s="24" t="str">
        <f t="shared" si="149"/>
        <v>#DIV/0!</v>
      </c>
      <c r="U425" s="24" t="str">
        <f t="shared" si="149"/>
        <v>#DIV/0!</v>
      </c>
      <c r="V425" s="24" t="str">
        <f t="shared" si="149"/>
        <v>#DIV/0!</v>
      </c>
      <c r="W425" s="24" t="str">
        <f t="shared" si="149"/>
        <v>#DIV/0!</v>
      </c>
      <c r="X425" s="24" t="str">
        <f t="shared" si="149"/>
        <v>#DIV/0!</v>
      </c>
      <c r="Y425" s="24" t="str">
        <f t="shared" si="149"/>
        <v>#DIV/0!</v>
      </c>
      <c r="Z425" s="24" t="str">
        <f t="shared" si="149"/>
        <v>#DIV/0!</v>
      </c>
      <c r="AA425" s="25"/>
      <c r="AB425" s="26" t="str">
        <f>SUM(AB420:AB423)/4</f>
        <v>#DIV/0!</v>
      </c>
      <c r="AC425" s="2"/>
    </row>
    <row r="426">
      <c r="A426" s="27" t="s">
        <v>75</v>
      </c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30">
        <f t="shared" ref="AA426:AA428" si="150">SUM(B426:Z426)</f>
        <v>0</v>
      </c>
      <c r="AB426" s="31"/>
      <c r="AC426" s="2"/>
    </row>
    <row r="427">
      <c r="A427" s="32" t="s">
        <v>45</v>
      </c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28"/>
      <c r="W427" s="28"/>
      <c r="X427" s="28"/>
      <c r="Y427" s="28"/>
      <c r="Z427" s="28"/>
      <c r="AA427" s="30">
        <f t="shared" si="150"/>
        <v>0</v>
      </c>
      <c r="AB427" s="31"/>
      <c r="AC427" s="9"/>
    </row>
    <row r="428">
      <c r="A428" s="34" t="s">
        <v>46</v>
      </c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28"/>
      <c r="W428" s="28"/>
      <c r="X428" s="28"/>
      <c r="Y428" s="28"/>
      <c r="Z428" s="28"/>
      <c r="AA428" s="30">
        <f t="shared" si="150"/>
        <v>0</v>
      </c>
      <c r="AB428" s="31"/>
      <c r="AC428" s="9"/>
    </row>
    <row r="429">
      <c r="A429" s="35" t="s">
        <v>47</v>
      </c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7"/>
      <c r="AA429" s="38"/>
      <c r="AB429" s="39"/>
      <c r="AC429" s="2"/>
    </row>
    <row r="430">
      <c r="A430" s="40" t="s">
        <v>48</v>
      </c>
      <c r="B430" s="41"/>
      <c r="C430" s="42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3"/>
      <c r="W430" s="43"/>
      <c r="X430" s="43"/>
      <c r="Y430" s="43"/>
      <c r="Z430" s="43"/>
      <c r="AA430" s="44">
        <f t="shared" ref="AA430:AA431" si="151">SUM(B430:Z430)</f>
        <v>0</v>
      </c>
      <c r="AB430" s="31"/>
      <c r="AC430" s="2"/>
    </row>
    <row r="431">
      <c r="A431" s="40" t="s">
        <v>49</v>
      </c>
      <c r="B431" s="41"/>
      <c r="C431" s="42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3"/>
      <c r="W431" s="43"/>
      <c r="X431" s="43"/>
      <c r="Y431" s="43"/>
      <c r="Z431" s="43"/>
      <c r="AA431" s="44">
        <f t="shared" si="151"/>
        <v>0</v>
      </c>
      <c r="AB431" s="31"/>
      <c r="AC431" s="2"/>
    </row>
    <row r="432">
      <c r="A432" s="40" t="s">
        <v>50</v>
      </c>
      <c r="B432" s="42"/>
      <c r="C432" s="42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3"/>
      <c r="W432" s="43"/>
      <c r="X432" s="43"/>
      <c r="Y432" s="43"/>
      <c r="Z432" s="43"/>
      <c r="AA432" s="44" t="str">
        <f>AVERAGE(B432:Z432)</f>
        <v>#DIV/0!</v>
      </c>
      <c r="AB432" s="31"/>
      <c r="AC432" s="2"/>
    </row>
    <row r="433">
      <c r="A433" s="45" t="s">
        <v>51</v>
      </c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7"/>
      <c r="AA433" s="46"/>
      <c r="AB433" s="39"/>
      <c r="AC433" s="2"/>
    </row>
    <row r="434">
      <c r="A434" s="47" t="s">
        <v>48</v>
      </c>
      <c r="B434" s="48"/>
      <c r="C434" s="49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50"/>
      <c r="W434" s="50"/>
      <c r="X434" s="50"/>
      <c r="Y434" s="50"/>
      <c r="Z434" s="50"/>
      <c r="AA434" s="51">
        <f t="shared" ref="AA434:AA435" si="152">SUM(B434:Z434)</f>
        <v>0</v>
      </c>
      <c r="AB434" s="31"/>
      <c r="AC434" s="2"/>
    </row>
    <row r="435">
      <c r="A435" s="47" t="s">
        <v>49</v>
      </c>
      <c r="B435" s="48"/>
      <c r="C435" s="49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50"/>
      <c r="W435" s="50"/>
      <c r="X435" s="50"/>
      <c r="Y435" s="50"/>
      <c r="Z435" s="50"/>
      <c r="AA435" s="51">
        <f t="shared" si="152"/>
        <v>0</v>
      </c>
      <c r="AB435" s="31"/>
      <c r="AC435" s="2"/>
    </row>
    <row r="436">
      <c r="A436" s="47" t="s">
        <v>50</v>
      </c>
      <c r="B436" s="49"/>
      <c r="C436" s="49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50"/>
      <c r="W436" s="50"/>
      <c r="X436" s="50"/>
      <c r="Y436" s="50"/>
      <c r="Z436" s="50"/>
      <c r="AA436" s="51" t="str">
        <f>AVERAGE(B436:Z436)</f>
        <v>#DIV/0!</v>
      </c>
      <c r="AB436" s="31"/>
      <c r="AC436" s="2"/>
    </row>
    <row r="437">
      <c r="A437" s="52" t="s">
        <v>53</v>
      </c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7"/>
      <c r="AA437" s="38"/>
      <c r="AB437" s="39"/>
      <c r="AC437" s="2"/>
    </row>
    <row r="438">
      <c r="A438" s="40" t="s">
        <v>48</v>
      </c>
      <c r="B438" s="41"/>
      <c r="C438" s="42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3"/>
      <c r="W438" s="43"/>
      <c r="X438" s="43"/>
      <c r="Y438" s="43"/>
      <c r="Z438" s="43"/>
      <c r="AA438" s="44">
        <f t="shared" ref="AA438:AA439" si="153">SUM(B438:Z438)</f>
        <v>0</v>
      </c>
      <c r="AB438" s="31"/>
      <c r="AC438" s="2"/>
    </row>
    <row r="439">
      <c r="A439" s="40" t="s">
        <v>49</v>
      </c>
      <c r="B439" s="41"/>
      <c r="C439" s="42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3"/>
      <c r="W439" s="43"/>
      <c r="X439" s="43"/>
      <c r="Y439" s="43"/>
      <c r="Z439" s="43"/>
      <c r="AA439" s="44">
        <f t="shared" si="153"/>
        <v>0</v>
      </c>
      <c r="AB439" s="31"/>
      <c r="AC439" s="2"/>
    </row>
    <row r="440">
      <c r="A440" s="53" t="s">
        <v>50</v>
      </c>
      <c r="B440" s="54"/>
      <c r="C440" s="54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6"/>
      <c r="W440" s="56"/>
      <c r="X440" s="56"/>
      <c r="Y440" s="56"/>
      <c r="Z440" s="56"/>
      <c r="AA440" s="57" t="str">
        <f>AVERAGE(B440:Z440)</f>
        <v>#DIV/0!</v>
      </c>
      <c r="AB440" s="58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59"/>
      <c r="AB441" s="59"/>
      <c r="AC441" s="2"/>
    </row>
    <row r="442">
      <c r="A442" s="71" t="s">
        <v>54</v>
      </c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5" t="s">
        <v>37</v>
      </c>
      <c r="AB442" s="16" t="s">
        <v>38</v>
      </c>
      <c r="AC442" s="2"/>
    </row>
    <row r="443">
      <c r="A443" s="17" t="s">
        <v>39</v>
      </c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20">
        <f t="shared" ref="AA443:AA447" si="154">SUM(B443:Z443)</f>
        <v>0</v>
      </c>
      <c r="AB443" s="21" t="str">
        <f t="shared" ref="AB443:AB446" si="155">AA443/(COUNT(B443:Z443)*1)</f>
        <v>#DIV/0!</v>
      </c>
      <c r="AC443" s="2"/>
    </row>
    <row r="444">
      <c r="A444" s="17" t="s">
        <v>40</v>
      </c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20">
        <f t="shared" si="154"/>
        <v>0</v>
      </c>
      <c r="AB444" s="21" t="str">
        <f t="shared" si="155"/>
        <v>#DIV/0!</v>
      </c>
      <c r="AC444" s="2"/>
    </row>
    <row r="445">
      <c r="A445" s="17" t="s">
        <v>41</v>
      </c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20">
        <f t="shared" si="154"/>
        <v>0</v>
      </c>
      <c r="AB445" s="21" t="str">
        <f t="shared" si="155"/>
        <v>#DIV/0!</v>
      </c>
      <c r="AC445" s="2"/>
    </row>
    <row r="446">
      <c r="A446" s="17" t="s">
        <v>42</v>
      </c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20">
        <f t="shared" si="154"/>
        <v>0</v>
      </c>
      <c r="AB446" s="21" t="str">
        <f t="shared" si="155"/>
        <v>#DIV/0!</v>
      </c>
      <c r="AC446" s="2"/>
    </row>
    <row r="447">
      <c r="A447" s="17" t="s">
        <v>43</v>
      </c>
      <c r="B447" s="22">
        <f t="shared" ref="B447:Z447" si="156">SUM(B443:B446)</f>
        <v>0</v>
      </c>
      <c r="C447" s="22">
        <f t="shared" si="156"/>
        <v>0</v>
      </c>
      <c r="D447" s="22">
        <f t="shared" si="156"/>
        <v>0</v>
      </c>
      <c r="E447" s="22">
        <f t="shared" si="156"/>
        <v>0</v>
      </c>
      <c r="F447" s="22">
        <f t="shared" si="156"/>
        <v>0</v>
      </c>
      <c r="G447" s="22">
        <f t="shared" si="156"/>
        <v>0</v>
      </c>
      <c r="H447" s="22">
        <f t="shared" si="156"/>
        <v>0</v>
      </c>
      <c r="I447" s="22">
        <f t="shared" si="156"/>
        <v>0</v>
      </c>
      <c r="J447" s="22">
        <f t="shared" si="156"/>
        <v>0</v>
      </c>
      <c r="K447" s="22">
        <f t="shared" si="156"/>
        <v>0</v>
      </c>
      <c r="L447" s="22">
        <f t="shared" si="156"/>
        <v>0</v>
      </c>
      <c r="M447" s="22">
        <f t="shared" si="156"/>
        <v>0</v>
      </c>
      <c r="N447" s="22">
        <f t="shared" si="156"/>
        <v>0</v>
      </c>
      <c r="O447" s="22">
        <f t="shared" si="156"/>
        <v>0</v>
      </c>
      <c r="P447" s="22">
        <f t="shared" si="156"/>
        <v>0</v>
      </c>
      <c r="Q447" s="22">
        <f t="shared" si="156"/>
        <v>0</v>
      </c>
      <c r="R447" s="22">
        <f t="shared" si="156"/>
        <v>0</v>
      </c>
      <c r="S447" s="22">
        <f t="shared" si="156"/>
        <v>0</v>
      </c>
      <c r="T447" s="22">
        <f t="shared" si="156"/>
        <v>0</v>
      </c>
      <c r="U447" s="22">
        <f t="shared" si="156"/>
        <v>0</v>
      </c>
      <c r="V447" s="22">
        <f t="shared" si="156"/>
        <v>0</v>
      </c>
      <c r="W447" s="22">
        <f t="shared" si="156"/>
        <v>0</v>
      </c>
      <c r="X447" s="22">
        <f t="shared" si="156"/>
        <v>0</v>
      </c>
      <c r="Y447" s="22">
        <f t="shared" si="156"/>
        <v>0</v>
      </c>
      <c r="Z447" s="22">
        <f t="shared" si="156"/>
        <v>0</v>
      </c>
      <c r="AA447" s="20">
        <f t="shared" si="154"/>
        <v>0</v>
      </c>
      <c r="AB447" s="23"/>
      <c r="AC447" s="2"/>
    </row>
    <row r="448">
      <c r="A448" s="17" t="s">
        <v>38</v>
      </c>
      <c r="B448" s="24" t="str">
        <f t="shared" ref="B448:Z448" si="157">B447/(COUNT(B443:B446)*1)</f>
        <v>#DIV/0!</v>
      </c>
      <c r="C448" s="24" t="str">
        <f t="shared" si="157"/>
        <v>#DIV/0!</v>
      </c>
      <c r="D448" s="24" t="str">
        <f t="shared" si="157"/>
        <v>#DIV/0!</v>
      </c>
      <c r="E448" s="24" t="str">
        <f t="shared" si="157"/>
        <v>#DIV/0!</v>
      </c>
      <c r="F448" s="24" t="str">
        <f t="shared" si="157"/>
        <v>#DIV/0!</v>
      </c>
      <c r="G448" s="24" t="str">
        <f t="shared" si="157"/>
        <v>#DIV/0!</v>
      </c>
      <c r="H448" s="24" t="str">
        <f t="shared" si="157"/>
        <v>#DIV/0!</v>
      </c>
      <c r="I448" s="24" t="str">
        <f t="shared" si="157"/>
        <v>#DIV/0!</v>
      </c>
      <c r="J448" s="24" t="str">
        <f t="shared" si="157"/>
        <v>#DIV/0!</v>
      </c>
      <c r="K448" s="24" t="str">
        <f t="shared" si="157"/>
        <v>#DIV/0!</v>
      </c>
      <c r="L448" s="24" t="str">
        <f t="shared" si="157"/>
        <v>#DIV/0!</v>
      </c>
      <c r="M448" s="24" t="str">
        <f t="shared" si="157"/>
        <v>#DIV/0!</v>
      </c>
      <c r="N448" s="24" t="str">
        <f t="shared" si="157"/>
        <v>#DIV/0!</v>
      </c>
      <c r="O448" s="24" t="str">
        <f t="shared" si="157"/>
        <v>#DIV/0!</v>
      </c>
      <c r="P448" s="24" t="str">
        <f t="shared" si="157"/>
        <v>#DIV/0!</v>
      </c>
      <c r="Q448" s="24" t="str">
        <f t="shared" si="157"/>
        <v>#DIV/0!</v>
      </c>
      <c r="R448" s="24" t="str">
        <f t="shared" si="157"/>
        <v>#DIV/0!</v>
      </c>
      <c r="S448" s="24" t="str">
        <f t="shared" si="157"/>
        <v>#DIV/0!</v>
      </c>
      <c r="T448" s="24" t="str">
        <f t="shared" si="157"/>
        <v>#DIV/0!</v>
      </c>
      <c r="U448" s="24" t="str">
        <f t="shared" si="157"/>
        <v>#DIV/0!</v>
      </c>
      <c r="V448" s="24" t="str">
        <f t="shared" si="157"/>
        <v>#DIV/0!</v>
      </c>
      <c r="W448" s="24" t="str">
        <f t="shared" si="157"/>
        <v>#DIV/0!</v>
      </c>
      <c r="X448" s="24" t="str">
        <f t="shared" si="157"/>
        <v>#DIV/0!</v>
      </c>
      <c r="Y448" s="24" t="str">
        <f t="shared" si="157"/>
        <v>#DIV/0!</v>
      </c>
      <c r="Z448" s="24" t="str">
        <f t="shared" si="157"/>
        <v>#DIV/0!</v>
      </c>
      <c r="AA448" s="25"/>
      <c r="AB448" s="26" t="str">
        <f>SUM(AB443:AB446)/4</f>
        <v>#DIV/0!</v>
      </c>
      <c r="AC448" s="2"/>
    </row>
    <row r="449">
      <c r="A449" s="27" t="s">
        <v>75</v>
      </c>
      <c r="B449" s="28"/>
      <c r="C449" s="29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30">
        <f t="shared" ref="AA449:AA451" si="158">SUM(B449:Z449)</f>
        <v>0</v>
      </c>
      <c r="AB449" s="31"/>
      <c r="AC449" s="2"/>
    </row>
    <row r="450">
      <c r="A450" s="32" t="s">
        <v>45</v>
      </c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28"/>
      <c r="W450" s="28"/>
      <c r="X450" s="28"/>
      <c r="Y450" s="28"/>
      <c r="Z450" s="28"/>
      <c r="AA450" s="30">
        <f t="shared" si="158"/>
        <v>0</v>
      </c>
      <c r="AB450" s="31"/>
      <c r="AC450" s="9"/>
    </row>
    <row r="451">
      <c r="A451" s="34" t="s">
        <v>46</v>
      </c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28"/>
      <c r="W451" s="28"/>
      <c r="X451" s="28"/>
      <c r="Y451" s="28"/>
      <c r="Z451" s="28"/>
      <c r="AA451" s="30">
        <f t="shared" si="158"/>
        <v>0</v>
      </c>
      <c r="AB451" s="31"/>
      <c r="AC451" s="9"/>
    </row>
    <row r="452">
      <c r="A452" s="35" t="s">
        <v>47</v>
      </c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7"/>
      <c r="AA452" s="38"/>
      <c r="AB452" s="39"/>
      <c r="AC452" s="2"/>
    </row>
    <row r="453">
      <c r="A453" s="40" t="s">
        <v>48</v>
      </c>
      <c r="B453" s="41"/>
      <c r="C453" s="42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3"/>
      <c r="W453" s="43"/>
      <c r="X453" s="43"/>
      <c r="Y453" s="43"/>
      <c r="Z453" s="43"/>
      <c r="AA453" s="44">
        <f t="shared" ref="AA453:AA454" si="159">SUM(B453:Z453)</f>
        <v>0</v>
      </c>
      <c r="AB453" s="31"/>
      <c r="AC453" s="2"/>
    </row>
    <row r="454">
      <c r="A454" s="40" t="s">
        <v>49</v>
      </c>
      <c r="B454" s="41"/>
      <c r="C454" s="42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3"/>
      <c r="W454" s="43"/>
      <c r="X454" s="43"/>
      <c r="Y454" s="43"/>
      <c r="Z454" s="43"/>
      <c r="AA454" s="44">
        <f t="shared" si="159"/>
        <v>0</v>
      </c>
      <c r="AB454" s="31"/>
      <c r="AC454" s="2"/>
    </row>
    <row r="455">
      <c r="A455" s="40" t="s">
        <v>50</v>
      </c>
      <c r="B455" s="42"/>
      <c r="C455" s="42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3"/>
      <c r="W455" s="43"/>
      <c r="X455" s="43"/>
      <c r="Y455" s="43"/>
      <c r="Z455" s="43"/>
      <c r="AA455" s="44" t="str">
        <f>AVERAGE(B455:Z455)</f>
        <v>#DIV/0!</v>
      </c>
      <c r="AB455" s="31"/>
      <c r="AC455" s="2"/>
    </row>
    <row r="456">
      <c r="A456" s="45" t="s">
        <v>51</v>
      </c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7"/>
      <c r="AA456" s="46"/>
      <c r="AB456" s="39"/>
      <c r="AC456" s="2"/>
    </row>
    <row r="457">
      <c r="A457" s="47" t="s">
        <v>48</v>
      </c>
      <c r="B457" s="48"/>
      <c r="C457" s="49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50"/>
      <c r="W457" s="50"/>
      <c r="X457" s="50"/>
      <c r="Y457" s="50"/>
      <c r="Z457" s="50"/>
      <c r="AA457" s="51">
        <f t="shared" ref="AA457:AA458" si="160">SUM(B457:Z457)</f>
        <v>0</v>
      </c>
      <c r="AB457" s="31"/>
      <c r="AC457" s="2"/>
    </row>
    <row r="458">
      <c r="A458" s="47" t="s">
        <v>49</v>
      </c>
      <c r="B458" s="48"/>
      <c r="C458" s="49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50"/>
      <c r="W458" s="50"/>
      <c r="X458" s="50"/>
      <c r="Y458" s="50"/>
      <c r="Z458" s="50"/>
      <c r="AA458" s="51">
        <f t="shared" si="160"/>
        <v>0</v>
      </c>
      <c r="AB458" s="31"/>
      <c r="AC458" s="2"/>
    </row>
    <row r="459">
      <c r="A459" s="47" t="s">
        <v>50</v>
      </c>
      <c r="B459" s="49"/>
      <c r="C459" s="49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50"/>
      <c r="W459" s="50"/>
      <c r="X459" s="50"/>
      <c r="Y459" s="50"/>
      <c r="Z459" s="50"/>
      <c r="AA459" s="51" t="str">
        <f>AVERAGE(B459:Z459)</f>
        <v>#DIV/0!</v>
      </c>
      <c r="AB459" s="31"/>
      <c r="AC459" s="2"/>
    </row>
    <row r="460">
      <c r="A460" s="52" t="s">
        <v>53</v>
      </c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7"/>
      <c r="AA460" s="38"/>
      <c r="AB460" s="39"/>
      <c r="AC460" s="2"/>
    </row>
    <row r="461">
      <c r="A461" s="40" t="s">
        <v>48</v>
      </c>
      <c r="B461" s="41"/>
      <c r="C461" s="42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3"/>
      <c r="W461" s="43"/>
      <c r="X461" s="43"/>
      <c r="Y461" s="43"/>
      <c r="Z461" s="43"/>
      <c r="AA461" s="44">
        <f t="shared" ref="AA461:AA462" si="161">SUM(B461:Z461)</f>
        <v>0</v>
      </c>
      <c r="AB461" s="31"/>
      <c r="AC461" s="2"/>
    </row>
    <row r="462">
      <c r="A462" s="40" t="s">
        <v>49</v>
      </c>
      <c r="B462" s="41"/>
      <c r="C462" s="42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3"/>
      <c r="W462" s="43"/>
      <c r="X462" s="43"/>
      <c r="Y462" s="43"/>
      <c r="Z462" s="43"/>
      <c r="AA462" s="44">
        <f t="shared" si="161"/>
        <v>0</v>
      </c>
      <c r="AB462" s="31"/>
      <c r="AC462" s="2"/>
    </row>
    <row r="463">
      <c r="A463" s="53" t="s">
        <v>50</v>
      </c>
      <c r="B463" s="54"/>
      <c r="C463" s="54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6"/>
      <c r="W463" s="56"/>
      <c r="X463" s="56"/>
      <c r="Y463" s="56"/>
      <c r="Z463" s="56"/>
      <c r="AA463" s="57" t="str">
        <f>AVERAGE(B463:Z463)</f>
        <v>#DIV/0!</v>
      </c>
      <c r="AB463" s="58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59"/>
      <c r="AB464" s="59"/>
      <c r="AC464" s="2"/>
    </row>
    <row r="465">
      <c r="A465" s="71" t="s">
        <v>54</v>
      </c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 t="s">
        <v>37</v>
      </c>
      <c r="AB465" s="16" t="s">
        <v>38</v>
      </c>
      <c r="AC465" s="2"/>
    </row>
    <row r="466">
      <c r="A466" s="17" t="s">
        <v>39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20">
        <f t="shared" ref="AA466:AA470" si="162">SUM(B466:Z466)</f>
        <v>0</v>
      </c>
      <c r="AB466" s="21" t="str">
        <f t="shared" ref="AB466:AB469" si="163">AA466/(COUNT(B466:Z466)*1)</f>
        <v>#DIV/0!</v>
      </c>
      <c r="AC466" s="2"/>
    </row>
    <row r="467">
      <c r="A467" s="17" t="s">
        <v>40</v>
      </c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20">
        <f t="shared" si="162"/>
        <v>0</v>
      </c>
      <c r="AB467" s="21" t="str">
        <f t="shared" si="163"/>
        <v>#DIV/0!</v>
      </c>
      <c r="AC467" s="2"/>
    </row>
    <row r="468">
      <c r="A468" s="17" t="s">
        <v>41</v>
      </c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20">
        <f t="shared" si="162"/>
        <v>0</v>
      </c>
      <c r="AB468" s="21" t="str">
        <f t="shared" si="163"/>
        <v>#DIV/0!</v>
      </c>
      <c r="AC468" s="2"/>
    </row>
    <row r="469">
      <c r="A469" s="17" t="s">
        <v>42</v>
      </c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20">
        <f t="shared" si="162"/>
        <v>0</v>
      </c>
      <c r="AB469" s="21" t="str">
        <f t="shared" si="163"/>
        <v>#DIV/0!</v>
      </c>
      <c r="AC469" s="2"/>
    </row>
    <row r="470">
      <c r="A470" s="17" t="s">
        <v>43</v>
      </c>
      <c r="B470" s="22">
        <f t="shared" ref="B470:Z470" si="164">SUM(B466:B469)</f>
        <v>0</v>
      </c>
      <c r="C470" s="22">
        <f t="shared" si="164"/>
        <v>0</v>
      </c>
      <c r="D470" s="22">
        <f t="shared" si="164"/>
        <v>0</v>
      </c>
      <c r="E470" s="22">
        <f t="shared" si="164"/>
        <v>0</v>
      </c>
      <c r="F470" s="22">
        <f t="shared" si="164"/>
        <v>0</v>
      </c>
      <c r="G470" s="22">
        <f t="shared" si="164"/>
        <v>0</v>
      </c>
      <c r="H470" s="22">
        <f t="shared" si="164"/>
        <v>0</v>
      </c>
      <c r="I470" s="22">
        <f t="shared" si="164"/>
        <v>0</v>
      </c>
      <c r="J470" s="22">
        <f t="shared" si="164"/>
        <v>0</v>
      </c>
      <c r="K470" s="22">
        <f t="shared" si="164"/>
        <v>0</v>
      </c>
      <c r="L470" s="22">
        <f t="shared" si="164"/>
        <v>0</v>
      </c>
      <c r="M470" s="22">
        <f t="shared" si="164"/>
        <v>0</v>
      </c>
      <c r="N470" s="22">
        <f t="shared" si="164"/>
        <v>0</v>
      </c>
      <c r="O470" s="22">
        <f t="shared" si="164"/>
        <v>0</v>
      </c>
      <c r="P470" s="22">
        <f t="shared" si="164"/>
        <v>0</v>
      </c>
      <c r="Q470" s="22">
        <f t="shared" si="164"/>
        <v>0</v>
      </c>
      <c r="R470" s="22">
        <f t="shared" si="164"/>
        <v>0</v>
      </c>
      <c r="S470" s="22">
        <f t="shared" si="164"/>
        <v>0</v>
      </c>
      <c r="T470" s="22">
        <f t="shared" si="164"/>
        <v>0</v>
      </c>
      <c r="U470" s="22">
        <f t="shared" si="164"/>
        <v>0</v>
      </c>
      <c r="V470" s="22">
        <f t="shared" si="164"/>
        <v>0</v>
      </c>
      <c r="W470" s="22">
        <f t="shared" si="164"/>
        <v>0</v>
      </c>
      <c r="X470" s="22">
        <f t="shared" si="164"/>
        <v>0</v>
      </c>
      <c r="Y470" s="22">
        <f t="shared" si="164"/>
        <v>0</v>
      </c>
      <c r="Z470" s="22">
        <f t="shared" si="164"/>
        <v>0</v>
      </c>
      <c r="AA470" s="20">
        <f t="shared" si="162"/>
        <v>0</v>
      </c>
      <c r="AB470" s="23"/>
      <c r="AC470" s="2"/>
    </row>
    <row r="471">
      <c r="A471" s="17" t="s">
        <v>38</v>
      </c>
      <c r="B471" s="24" t="str">
        <f t="shared" ref="B471:Z471" si="165">B470/(COUNT(B466:B469)*1)</f>
        <v>#DIV/0!</v>
      </c>
      <c r="C471" s="24" t="str">
        <f t="shared" si="165"/>
        <v>#DIV/0!</v>
      </c>
      <c r="D471" s="24" t="str">
        <f t="shared" si="165"/>
        <v>#DIV/0!</v>
      </c>
      <c r="E471" s="24" t="str">
        <f t="shared" si="165"/>
        <v>#DIV/0!</v>
      </c>
      <c r="F471" s="24" t="str">
        <f t="shared" si="165"/>
        <v>#DIV/0!</v>
      </c>
      <c r="G471" s="24" t="str">
        <f t="shared" si="165"/>
        <v>#DIV/0!</v>
      </c>
      <c r="H471" s="24" t="str">
        <f t="shared" si="165"/>
        <v>#DIV/0!</v>
      </c>
      <c r="I471" s="24" t="str">
        <f t="shared" si="165"/>
        <v>#DIV/0!</v>
      </c>
      <c r="J471" s="24" t="str">
        <f t="shared" si="165"/>
        <v>#DIV/0!</v>
      </c>
      <c r="K471" s="24" t="str">
        <f t="shared" si="165"/>
        <v>#DIV/0!</v>
      </c>
      <c r="L471" s="24" t="str">
        <f t="shared" si="165"/>
        <v>#DIV/0!</v>
      </c>
      <c r="M471" s="24" t="str">
        <f t="shared" si="165"/>
        <v>#DIV/0!</v>
      </c>
      <c r="N471" s="24" t="str">
        <f t="shared" si="165"/>
        <v>#DIV/0!</v>
      </c>
      <c r="O471" s="24" t="str">
        <f t="shared" si="165"/>
        <v>#DIV/0!</v>
      </c>
      <c r="P471" s="24" t="str">
        <f t="shared" si="165"/>
        <v>#DIV/0!</v>
      </c>
      <c r="Q471" s="24" t="str">
        <f t="shared" si="165"/>
        <v>#DIV/0!</v>
      </c>
      <c r="R471" s="24" t="str">
        <f t="shared" si="165"/>
        <v>#DIV/0!</v>
      </c>
      <c r="S471" s="24" t="str">
        <f t="shared" si="165"/>
        <v>#DIV/0!</v>
      </c>
      <c r="T471" s="24" t="str">
        <f t="shared" si="165"/>
        <v>#DIV/0!</v>
      </c>
      <c r="U471" s="24" t="str">
        <f t="shared" si="165"/>
        <v>#DIV/0!</v>
      </c>
      <c r="V471" s="24" t="str">
        <f t="shared" si="165"/>
        <v>#DIV/0!</v>
      </c>
      <c r="W471" s="24" t="str">
        <f t="shared" si="165"/>
        <v>#DIV/0!</v>
      </c>
      <c r="X471" s="24" t="str">
        <f t="shared" si="165"/>
        <v>#DIV/0!</v>
      </c>
      <c r="Y471" s="24" t="str">
        <f t="shared" si="165"/>
        <v>#DIV/0!</v>
      </c>
      <c r="Z471" s="24" t="str">
        <f t="shared" si="165"/>
        <v>#DIV/0!</v>
      </c>
      <c r="AA471" s="25"/>
      <c r="AB471" s="26" t="str">
        <f>SUM(AB466:AB469)/4</f>
        <v>#DIV/0!</v>
      </c>
      <c r="AC471" s="2"/>
    </row>
    <row r="472">
      <c r="A472" s="27" t="s">
        <v>75</v>
      </c>
      <c r="B472" s="28"/>
      <c r="C472" s="2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30">
        <f t="shared" ref="AA472:AA474" si="166">SUM(B472:Z472)</f>
        <v>0</v>
      </c>
      <c r="AB472" s="31"/>
      <c r="AC472" s="2"/>
    </row>
    <row r="473">
      <c r="A473" s="32" t="s">
        <v>45</v>
      </c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28"/>
      <c r="W473" s="28"/>
      <c r="X473" s="28"/>
      <c r="Y473" s="28"/>
      <c r="Z473" s="28"/>
      <c r="AA473" s="30">
        <f t="shared" si="166"/>
        <v>0</v>
      </c>
      <c r="AB473" s="31"/>
      <c r="AC473" s="9"/>
    </row>
    <row r="474">
      <c r="A474" s="34" t="s">
        <v>46</v>
      </c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28"/>
      <c r="W474" s="28"/>
      <c r="X474" s="28"/>
      <c r="Y474" s="28"/>
      <c r="Z474" s="28"/>
      <c r="AA474" s="30">
        <f t="shared" si="166"/>
        <v>0</v>
      </c>
      <c r="AB474" s="31"/>
      <c r="AC474" s="9"/>
    </row>
    <row r="475">
      <c r="A475" s="35" t="s">
        <v>47</v>
      </c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7"/>
      <c r="AA475" s="38"/>
      <c r="AB475" s="39"/>
      <c r="AC475" s="2"/>
    </row>
    <row r="476">
      <c r="A476" s="40" t="s">
        <v>48</v>
      </c>
      <c r="B476" s="41"/>
      <c r="C476" s="42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3"/>
      <c r="W476" s="43"/>
      <c r="X476" s="43"/>
      <c r="Y476" s="43"/>
      <c r="Z476" s="43"/>
      <c r="AA476" s="44">
        <f t="shared" ref="AA476:AA477" si="167">SUM(B476:Z476)</f>
        <v>0</v>
      </c>
      <c r="AB476" s="31"/>
      <c r="AC476" s="2"/>
    </row>
    <row r="477">
      <c r="A477" s="40" t="s">
        <v>49</v>
      </c>
      <c r="B477" s="41"/>
      <c r="C477" s="42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3"/>
      <c r="W477" s="43"/>
      <c r="X477" s="43"/>
      <c r="Y477" s="43"/>
      <c r="Z477" s="43"/>
      <c r="AA477" s="44">
        <f t="shared" si="167"/>
        <v>0</v>
      </c>
      <c r="AB477" s="31"/>
      <c r="AC477" s="2"/>
    </row>
    <row r="478">
      <c r="A478" s="40" t="s">
        <v>50</v>
      </c>
      <c r="B478" s="42"/>
      <c r="C478" s="42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3"/>
      <c r="W478" s="43"/>
      <c r="X478" s="43"/>
      <c r="Y478" s="43"/>
      <c r="Z478" s="43"/>
      <c r="AA478" s="44" t="str">
        <f>AVERAGE(B478:Z478)</f>
        <v>#DIV/0!</v>
      </c>
      <c r="AB478" s="31"/>
      <c r="AC478" s="2"/>
    </row>
    <row r="479">
      <c r="A479" s="45" t="s">
        <v>51</v>
      </c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7"/>
      <c r="AA479" s="46"/>
      <c r="AB479" s="39"/>
      <c r="AC479" s="2"/>
    </row>
    <row r="480">
      <c r="A480" s="47" t="s">
        <v>48</v>
      </c>
      <c r="B480" s="48"/>
      <c r="C480" s="49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50"/>
      <c r="W480" s="50"/>
      <c r="X480" s="50"/>
      <c r="Y480" s="50"/>
      <c r="Z480" s="50"/>
      <c r="AA480" s="51">
        <f t="shared" ref="AA480:AA481" si="168">SUM(B480:Z480)</f>
        <v>0</v>
      </c>
      <c r="AB480" s="31"/>
      <c r="AC480" s="2"/>
    </row>
    <row r="481">
      <c r="A481" s="47" t="s">
        <v>49</v>
      </c>
      <c r="B481" s="48"/>
      <c r="C481" s="49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50"/>
      <c r="W481" s="50"/>
      <c r="X481" s="50"/>
      <c r="Y481" s="50"/>
      <c r="Z481" s="50"/>
      <c r="AA481" s="51">
        <f t="shared" si="168"/>
        <v>0</v>
      </c>
      <c r="AB481" s="31"/>
      <c r="AC481" s="2"/>
    </row>
    <row r="482">
      <c r="A482" s="47" t="s">
        <v>50</v>
      </c>
      <c r="B482" s="49"/>
      <c r="C482" s="49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50"/>
      <c r="W482" s="50"/>
      <c r="X482" s="50"/>
      <c r="Y482" s="50"/>
      <c r="Z482" s="50"/>
      <c r="AA482" s="51" t="str">
        <f>AVERAGE(B482:Z482)</f>
        <v>#DIV/0!</v>
      </c>
      <c r="AB482" s="31"/>
      <c r="AC482" s="2"/>
    </row>
    <row r="483">
      <c r="A483" s="52" t="s">
        <v>53</v>
      </c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7"/>
      <c r="AA483" s="38"/>
      <c r="AB483" s="39"/>
      <c r="AC483" s="2"/>
    </row>
    <row r="484">
      <c r="A484" s="40" t="s">
        <v>48</v>
      </c>
      <c r="B484" s="41"/>
      <c r="C484" s="42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3"/>
      <c r="W484" s="43"/>
      <c r="X484" s="43"/>
      <c r="Y484" s="43"/>
      <c r="Z484" s="43"/>
      <c r="AA484" s="44">
        <f t="shared" ref="AA484:AA485" si="169">SUM(B484:Z484)</f>
        <v>0</v>
      </c>
      <c r="AB484" s="31"/>
      <c r="AC484" s="2"/>
    </row>
    <row r="485">
      <c r="A485" s="40" t="s">
        <v>49</v>
      </c>
      <c r="B485" s="41"/>
      <c r="C485" s="42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3"/>
      <c r="W485" s="43"/>
      <c r="X485" s="43"/>
      <c r="Y485" s="43"/>
      <c r="Z485" s="43"/>
      <c r="AA485" s="44">
        <f t="shared" si="169"/>
        <v>0</v>
      </c>
      <c r="AB485" s="31"/>
      <c r="AC485" s="2"/>
    </row>
    <row r="486">
      <c r="A486" s="53" t="s">
        <v>50</v>
      </c>
      <c r="B486" s="54"/>
      <c r="C486" s="54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6"/>
      <c r="W486" s="56"/>
      <c r="X486" s="56"/>
      <c r="Y486" s="56"/>
      <c r="Z486" s="56"/>
      <c r="AA486" s="57" t="str">
        <f>AVERAGE(B486:Z486)</f>
        <v>#DIV/0!</v>
      </c>
      <c r="AB486" s="58"/>
      <c r="AC486" s="2"/>
    </row>
    <row r="487">
      <c r="A487" s="9"/>
      <c r="B487" s="9"/>
      <c r="C487" s="9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71" t="s">
        <v>54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5" t="s">
        <v>37</v>
      </c>
      <c r="AB488" s="16" t="s">
        <v>38</v>
      </c>
      <c r="AC488" s="2"/>
    </row>
    <row r="489">
      <c r="A489" s="17" t="s">
        <v>39</v>
      </c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20">
        <f t="shared" ref="AA489:AA493" si="170">SUM(B489:Z489)</f>
        <v>0</v>
      </c>
      <c r="AB489" s="21" t="str">
        <f t="shared" ref="AB489:AB492" si="171">AA489/(COUNT(B489:Z489)*1)</f>
        <v>#DIV/0!</v>
      </c>
      <c r="AC489" s="2"/>
    </row>
    <row r="490">
      <c r="A490" s="17" t="s">
        <v>40</v>
      </c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20">
        <f t="shared" si="170"/>
        <v>0</v>
      </c>
      <c r="AB490" s="21" t="str">
        <f t="shared" si="171"/>
        <v>#DIV/0!</v>
      </c>
      <c r="AC490" s="2"/>
    </row>
    <row r="491">
      <c r="A491" s="17" t="s">
        <v>41</v>
      </c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20">
        <f t="shared" si="170"/>
        <v>0</v>
      </c>
      <c r="AB491" s="21" t="str">
        <f t="shared" si="171"/>
        <v>#DIV/0!</v>
      </c>
      <c r="AC491" s="2"/>
    </row>
    <row r="492">
      <c r="A492" s="17" t="s">
        <v>42</v>
      </c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20">
        <f t="shared" si="170"/>
        <v>0</v>
      </c>
      <c r="AB492" s="21" t="str">
        <f t="shared" si="171"/>
        <v>#DIV/0!</v>
      </c>
      <c r="AC492" s="2"/>
    </row>
    <row r="493">
      <c r="A493" s="17" t="s">
        <v>43</v>
      </c>
      <c r="B493" s="22">
        <f t="shared" ref="B493:Z493" si="172">SUM(B489:B492)</f>
        <v>0</v>
      </c>
      <c r="C493" s="22">
        <f t="shared" si="172"/>
        <v>0</v>
      </c>
      <c r="D493" s="22">
        <f t="shared" si="172"/>
        <v>0</v>
      </c>
      <c r="E493" s="22">
        <f t="shared" si="172"/>
        <v>0</v>
      </c>
      <c r="F493" s="22">
        <f t="shared" si="172"/>
        <v>0</v>
      </c>
      <c r="G493" s="22">
        <f t="shared" si="172"/>
        <v>0</v>
      </c>
      <c r="H493" s="22">
        <f t="shared" si="172"/>
        <v>0</v>
      </c>
      <c r="I493" s="22">
        <f t="shared" si="172"/>
        <v>0</v>
      </c>
      <c r="J493" s="22">
        <f t="shared" si="172"/>
        <v>0</v>
      </c>
      <c r="K493" s="22">
        <f t="shared" si="172"/>
        <v>0</v>
      </c>
      <c r="L493" s="22">
        <f t="shared" si="172"/>
        <v>0</v>
      </c>
      <c r="M493" s="22">
        <f t="shared" si="172"/>
        <v>0</v>
      </c>
      <c r="N493" s="22">
        <f t="shared" si="172"/>
        <v>0</v>
      </c>
      <c r="O493" s="22">
        <f t="shared" si="172"/>
        <v>0</v>
      </c>
      <c r="P493" s="22">
        <f t="shared" si="172"/>
        <v>0</v>
      </c>
      <c r="Q493" s="22">
        <f t="shared" si="172"/>
        <v>0</v>
      </c>
      <c r="R493" s="22">
        <f t="shared" si="172"/>
        <v>0</v>
      </c>
      <c r="S493" s="22">
        <f t="shared" si="172"/>
        <v>0</v>
      </c>
      <c r="T493" s="22">
        <f t="shared" si="172"/>
        <v>0</v>
      </c>
      <c r="U493" s="22">
        <f t="shared" si="172"/>
        <v>0</v>
      </c>
      <c r="V493" s="22">
        <f t="shared" si="172"/>
        <v>0</v>
      </c>
      <c r="W493" s="22">
        <f t="shared" si="172"/>
        <v>0</v>
      </c>
      <c r="X493" s="22">
        <f t="shared" si="172"/>
        <v>0</v>
      </c>
      <c r="Y493" s="22">
        <f t="shared" si="172"/>
        <v>0</v>
      </c>
      <c r="Z493" s="22">
        <f t="shared" si="172"/>
        <v>0</v>
      </c>
      <c r="AA493" s="20">
        <f t="shared" si="170"/>
        <v>0</v>
      </c>
      <c r="AB493" s="23"/>
      <c r="AC493" s="2"/>
    </row>
    <row r="494">
      <c r="A494" s="17" t="s">
        <v>38</v>
      </c>
      <c r="B494" s="24" t="str">
        <f t="shared" ref="B494:Z494" si="173">B493/(COUNT(B489:B492)*1)</f>
        <v>#DIV/0!</v>
      </c>
      <c r="C494" s="24" t="str">
        <f t="shared" si="173"/>
        <v>#DIV/0!</v>
      </c>
      <c r="D494" s="24" t="str">
        <f t="shared" si="173"/>
        <v>#DIV/0!</v>
      </c>
      <c r="E494" s="24" t="str">
        <f t="shared" si="173"/>
        <v>#DIV/0!</v>
      </c>
      <c r="F494" s="24" t="str">
        <f t="shared" si="173"/>
        <v>#DIV/0!</v>
      </c>
      <c r="G494" s="24" t="str">
        <f t="shared" si="173"/>
        <v>#DIV/0!</v>
      </c>
      <c r="H494" s="24" t="str">
        <f t="shared" si="173"/>
        <v>#DIV/0!</v>
      </c>
      <c r="I494" s="24" t="str">
        <f t="shared" si="173"/>
        <v>#DIV/0!</v>
      </c>
      <c r="J494" s="24" t="str">
        <f t="shared" si="173"/>
        <v>#DIV/0!</v>
      </c>
      <c r="K494" s="24" t="str">
        <f t="shared" si="173"/>
        <v>#DIV/0!</v>
      </c>
      <c r="L494" s="24" t="str">
        <f t="shared" si="173"/>
        <v>#DIV/0!</v>
      </c>
      <c r="M494" s="24" t="str">
        <f t="shared" si="173"/>
        <v>#DIV/0!</v>
      </c>
      <c r="N494" s="24" t="str">
        <f t="shared" si="173"/>
        <v>#DIV/0!</v>
      </c>
      <c r="O494" s="24" t="str">
        <f t="shared" si="173"/>
        <v>#DIV/0!</v>
      </c>
      <c r="P494" s="24" t="str">
        <f t="shared" si="173"/>
        <v>#DIV/0!</v>
      </c>
      <c r="Q494" s="24" t="str">
        <f t="shared" si="173"/>
        <v>#DIV/0!</v>
      </c>
      <c r="R494" s="24" t="str">
        <f t="shared" si="173"/>
        <v>#DIV/0!</v>
      </c>
      <c r="S494" s="24" t="str">
        <f t="shared" si="173"/>
        <v>#DIV/0!</v>
      </c>
      <c r="T494" s="24" t="str">
        <f t="shared" si="173"/>
        <v>#DIV/0!</v>
      </c>
      <c r="U494" s="24" t="str">
        <f t="shared" si="173"/>
        <v>#DIV/0!</v>
      </c>
      <c r="V494" s="24" t="str">
        <f t="shared" si="173"/>
        <v>#DIV/0!</v>
      </c>
      <c r="W494" s="24" t="str">
        <f t="shared" si="173"/>
        <v>#DIV/0!</v>
      </c>
      <c r="X494" s="24" t="str">
        <f t="shared" si="173"/>
        <v>#DIV/0!</v>
      </c>
      <c r="Y494" s="24" t="str">
        <f t="shared" si="173"/>
        <v>#DIV/0!</v>
      </c>
      <c r="Z494" s="24" t="str">
        <f t="shared" si="173"/>
        <v>#DIV/0!</v>
      </c>
      <c r="AA494" s="25"/>
      <c r="AB494" s="26" t="str">
        <f>SUM(AB489:AB492)/4</f>
        <v>#DIV/0!</v>
      </c>
      <c r="AC494" s="2"/>
    </row>
    <row r="495">
      <c r="A495" s="27" t="s">
        <v>75</v>
      </c>
      <c r="B495" s="28"/>
      <c r="C495" s="2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30">
        <f t="shared" ref="AA495:AA497" si="174">SUM(B495:Z495)</f>
        <v>0</v>
      </c>
      <c r="AB495" s="31"/>
      <c r="AC495" s="2"/>
    </row>
    <row r="496">
      <c r="A496" s="32" t="s">
        <v>45</v>
      </c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28"/>
      <c r="W496" s="28"/>
      <c r="X496" s="28"/>
      <c r="Y496" s="28"/>
      <c r="Z496" s="28"/>
      <c r="AA496" s="30">
        <f t="shared" si="174"/>
        <v>0</v>
      </c>
      <c r="AB496" s="31"/>
      <c r="AC496" s="9"/>
    </row>
    <row r="497">
      <c r="A497" s="34" t="s">
        <v>46</v>
      </c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28"/>
      <c r="W497" s="28"/>
      <c r="X497" s="28"/>
      <c r="Y497" s="28"/>
      <c r="Z497" s="28"/>
      <c r="AA497" s="30">
        <f t="shared" si="174"/>
        <v>0</v>
      </c>
      <c r="AB497" s="31"/>
      <c r="AC497" s="9"/>
    </row>
    <row r="498">
      <c r="A498" s="35" t="s">
        <v>47</v>
      </c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7"/>
      <c r="AA498" s="38"/>
      <c r="AB498" s="39"/>
      <c r="AC498" s="2"/>
    </row>
    <row r="499">
      <c r="A499" s="40" t="s">
        <v>48</v>
      </c>
      <c r="B499" s="41"/>
      <c r="C499" s="42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3"/>
      <c r="W499" s="43"/>
      <c r="X499" s="43"/>
      <c r="Y499" s="43"/>
      <c r="Z499" s="43"/>
      <c r="AA499" s="44">
        <f t="shared" ref="AA499:AA500" si="175">SUM(B499:Z499)</f>
        <v>0</v>
      </c>
      <c r="AB499" s="31"/>
      <c r="AC499" s="2"/>
    </row>
    <row r="500">
      <c r="A500" s="40" t="s">
        <v>49</v>
      </c>
      <c r="B500" s="41"/>
      <c r="C500" s="42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3"/>
      <c r="W500" s="43"/>
      <c r="X500" s="43"/>
      <c r="Y500" s="43"/>
      <c r="Z500" s="43"/>
      <c r="AA500" s="44">
        <f t="shared" si="175"/>
        <v>0</v>
      </c>
      <c r="AB500" s="31"/>
      <c r="AC500" s="2"/>
    </row>
    <row r="501">
      <c r="A501" s="40" t="s">
        <v>50</v>
      </c>
      <c r="B501" s="42"/>
      <c r="C501" s="42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3"/>
      <c r="W501" s="43"/>
      <c r="X501" s="43"/>
      <c r="Y501" s="43"/>
      <c r="Z501" s="43"/>
      <c r="AA501" s="44" t="str">
        <f>AVERAGE(B501:Z501)</f>
        <v>#DIV/0!</v>
      </c>
      <c r="AB501" s="31"/>
      <c r="AC501" s="2"/>
    </row>
    <row r="502">
      <c r="A502" s="45" t="s">
        <v>51</v>
      </c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7"/>
      <c r="AA502" s="46"/>
      <c r="AB502" s="39"/>
      <c r="AC502" s="2"/>
    </row>
    <row r="503">
      <c r="A503" s="47" t="s">
        <v>48</v>
      </c>
      <c r="B503" s="48"/>
      <c r="C503" s="49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50"/>
      <c r="W503" s="50"/>
      <c r="X503" s="50"/>
      <c r="Y503" s="50"/>
      <c r="Z503" s="50"/>
      <c r="AA503" s="51">
        <f t="shared" ref="AA503:AA504" si="176">SUM(B503:Z503)</f>
        <v>0</v>
      </c>
      <c r="AB503" s="31"/>
      <c r="AC503" s="2"/>
    </row>
    <row r="504">
      <c r="A504" s="47" t="s">
        <v>49</v>
      </c>
      <c r="B504" s="48"/>
      <c r="C504" s="49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50"/>
      <c r="W504" s="50"/>
      <c r="X504" s="50"/>
      <c r="Y504" s="50"/>
      <c r="Z504" s="50"/>
      <c r="AA504" s="51">
        <f t="shared" si="176"/>
        <v>0</v>
      </c>
      <c r="AB504" s="31"/>
      <c r="AC504" s="2"/>
    </row>
    <row r="505">
      <c r="A505" s="47" t="s">
        <v>50</v>
      </c>
      <c r="B505" s="49"/>
      <c r="C505" s="49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50"/>
      <c r="W505" s="50"/>
      <c r="X505" s="50"/>
      <c r="Y505" s="50"/>
      <c r="Z505" s="50"/>
      <c r="AA505" s="51" t="str">
        <f>AVERAGE(B505:Z505)</f>
        <v>#DIV/0!</v>
      </c>
      <c r="AB505" s="31"/>
      <c r="AC505" s="2"/>
    </row>
    <row r="506">
      <c r="A506" s="52" t="s">
        <v>53</v>
      </c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7"/>
      <c r="AA506" s="38"/>
      <c r="AB506" s="39"/>
      <c r="AC506" s="2"/>
    </row>
    <row r="507">
      <c r="A507" s="40" t="s">
        <v>48</v>
      </c>
      <c r="B507" s="41"/>
      <c r="C507" s="42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3"/>
      <c r="W507" s="43"/>
      <c r="X507" s="43"/>
      <c r="Y507" s="43"/>
      <c r="Z507" s="43"/>
      <c r="AA507" s="44">
        <f t="shared" ref="AA507:AA508" si="177">SUM(B507:Z507)</f>
        <v>0</v>
      </c>
      <c r="AB507" s="31"/>
      <c r="AC507" s="2"/>
    </row>
    <row r="508">
      <c r="A508" s="40" t="s">
        <v>49</v>
      </c>
      <c r="B508" s="41"/>
      <c r="C508" s="42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3"/>
      <c r="W508" s="43"/>
      <c r="X508" s="43"/>
      <c r="Y508" s="43"/>
      <c r="Z508" s="43"/>
      <c r="AA508" s="44">
        <f t="shared" si="177"/>
        <v>0</v>
      </c>
      <c r="AB508" s="31"/>
      <c r="AC508" s="2"/>
    </row>
    <row r="509">
      <c r="A509" s="53" t="s">
        <v>50</v>
      </c>
      <c r="B509" s="54"/>
      <c r="C509" s="54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6"/>
      <c r="W509" s="56"/>
      <c r="X509" s="56"/>
      <c r="Y509" s="56"/>
      <c r="Z509" s="56"/>
      <c r="AA509" s="57" t="str">
        <f>AVERAGE(B509:Z509)</f>
        <v>#DIV/0!</v>
      </c>
      <c r="AB509" s="58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9"/>
      <c r="AB511" s="9"/>
      <c r="AC511" s="2"/>
    </row>
    <row r="512" ht="15.75" customHeight="1">
      <c r="A512" s="72" t="s">
        <v>55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73" t="s">
        <v>56</v>
      </c>
      <c r="AB512" s="73" t="s">
        <v>57</v>
      </c>
      <c r="AC512" s="2"/>
    </row>
    <row r="513" ht="15.75" customHeight="1">
      <c r="A513" s="74" t="s">
        <v>39</v>
      </c>
      <c r="B513" s="75">
        <f t="shared" ref="B513:Z513" si="178">B6+B29+B52+B75+B98+B121+B144+B167+B190+B213+B236+B259+B282+B305+B328+B351+B374+B397+B420+B443+B466+B489</f>
        <v>13</v>
      </c>
      <c r="C513" s="75">
        <f t="shared" si="178"/>
        <v>12</v>
      </c>
      <c r="D513" s="75">
        <f t="shared" si="178"/>
        <v>12</v>
      </c>
      <c r="E513" s="75">
        <f t="shared" si="178"/>
        <v>13</v>
      </c>
      <c r="F513" s="75">
        <f t="shared" si="178"/>
        <v>11</v>
      </c>
      <c r="G513" s="75">
        <f t="shared" si="178"/>
        <v>10</v>
      </c>
      <c r="H513" s="75">
        <f t="shared" si="178"/>
        <v>9</v>
      </c>
      <c r="I513" s="75">
        <f t="shared" si="178"/>
        <v>9</v>
      </c>
      <c r="J513" s="75">
        <f t="shared" si="178"/>
        <v>7</v>
      </c>
      <c r="K513" s="75">
        <f t="shared" si="178"/>
        <v>8</v>
      </c>
      <c r="L513" s="75">
        <f t="shared" si="178"/>
        <v>7</v>
      </c>
      <c r="M513" s="75">
        <f t="shared" si="178"/>
        <v>7</v>
      </c>
      <c r="N513" s="75">
        <f t="shared" si="178"/>
        <v>6</v>
      </c>
      <c r="O513" s="75">
        <f t="shared" si="178"/>
        <v>11</v>
      </c>
      <c r="P513" s="75">
        <f t="shared" si="178"/>
        <v>11</v>
      </c>
      <c r="Q513" s="75">
        <f t="shared" si="178"/>
        <v>8</v>
      </c>
      <c r="R513" s="75">
        <f t="shared" si="178"/>
        <v>7</v>
      </c>
      <c r="S513" s="75">
        <f t="shared" si="178"/>
        <v>8</v>
      </c>
      <c r="T513" s="75">
        <f t="shared" si="178"/>
        <v>8</v>
      </c>
      <c r="U513" s="75">
        <f t="shared" si="178"/>
        <v>7</v>
      </c>
      <c r="V513" s="75">
        <f t="shared" si="178"/>
        <v>7</v>
      </c>
      <c r="W513" s="75">
        <f t="shared" si="178"/>
        <v>7</v>
      </c>
      <c r="X513" s="75">
        <f t="shared" si="178"/>
        <v>8</v>
      </c>
      <c r="Y513" s="75">
        <f t="shared" si="178"/>
        <v>7</v>
      </c>
      <c r="Z513" s="75">
        <f t="shared" si="178"/>
        <v>5</v>
      </c>
      <c r="AA513" s="76">
        <f t="shared" ref="AA513:AA521" si="180">SUM(B513:Z513)</f>
        <v>218</v>
      </c>
      <c r="AB513" s="77">
        <f t="shared" ref="AB513:AB516" si="181">AA513/(COUNT(B6:Z6,B29:Z29,B52:Z52,B75:Z75,B98:Z98,B121:Z121,B144:Z144,B167:Z167,B190:Z190,B213:Z213,B236:Z236,B259:Z259,B282:Z282,B305:Z305,B328:Z328,B351:Z351,B374:Z374,B397:Z397,B420:Z420,B443:Z443,B466:Z466,B489:Z489))</f>
        <v>0.6855345912</v>
      </c>
      <c r="AC513" s="78" t="s">
        <v>39</v>
      </c>
    </row>
    <row r="514" ht="15.75" customHeight="1">
      <c r="A514" s="17" t="s">
        <v>40</v>
      </c>
      <c r="B514" s="20">
        <f t="shared" ref="B514:Z514" si="179">B7+B30+B53+B76+B99+B122+B145+B168+B191+B214+B237+B260+B283+B306+B329+B352+B375+B398+B421+B444+B467+B490</f>
        <v>14</v>
      </c>
      <c r="C514" s="20">
        <f t="shared" si="179"/>
        <v>13</v>
      </c>
      <c r="D514" s="20">
        <f t="shared" si="179"/>
        <v>13</v>
      </c>
      <c r="E514" s="20">
        <f t="shared" si="179"/>
        <v>12</v>
      </c>
      <c r="F514" s="20">
        <f t="shared" si="179"/>
        <v>9</v>
      </c>
      <c r="G514" s="20">
        <f t="shared" si="179"/>
        <v>10</v>
      </c>
      <c r="H514" s="20">
        <f t="shared" si="179"/>
        <v>12</v>
      </c>
      <c r="I514" s="20">
        <f t="shared" si="179"/>
        <v>10</v>
      </c>
      <c r="J514" s="20">
        <f t="shared" si="179"/>
        <v>10</v>
      </c>
      <c r="K514" s="20">
        <f t="shared" si="179"/>
        <v>11</v>
      </c>
      <c r="L514" s="20">
        <f t="shared" si="179"/>
        <v>12</v>
      </c>
      <c r="M514" s="20">
        <f t="shared" si="179"/>
        <v>12</v>
      </c>
      <c r="N514" s="20">
        <f t="shared" si="179"/>
        <v>11</v>
      </c>
      <c r="O514" s="20">
        <f t="shared" si="179"/>
        <v>13</v>
      </c>
      <c r="P514" s="20">
        <f t="shared" si="179"/>
        <v>12</v>
      </c>
      <c r="Q514" s="20">
        <f t="shared" si="179"/>
        <v>10</v>
      </c>
      <c r="R514" s="20">
        <f t="shared" si="179"/>
        <v>8</v>
      </c>
      <c r="S514" s="20">
        <f t="shared" si="179"/>
        <v>10</v>
      </c>
      <c r="T514" s="20">
        <f t="shared" si="179"/>
        <v>11</v>
      </c>
      <c r="U514" s="20">
        <f t="shared" si="179"/>
        <v>11</v>
      </c>
      <c r="V514" s="20">
        <f t="shared" si="179"/>
        <v>11</v>
      </c>
      <c r="W514" s="20">
        <f t="shared" si="179"/>
        <v>10</v>
      </c>
      <c r="X514" s="20">
        <f t="shared" si="179"/>
        <v>11</v>
      </c>
      <c r="Y514" s="20">
        <f t="shared" si="179"/>
        <v>9</v>
      </c>
      <c r="Z514" s="20">
        <f t="shared" si="179"/>
        <v>6</v>
      </c>
      <c r="AA514" s="79">
        <f t="shared" si="180"/>
        <v>271</v>
      </c>
      <c r="AB514" s="80">
        <f t="shared" si="181"/>
        <v>0.8522012579</v>
      </c>
      <c r="AC514" s="81" t="s">
        <v>40</v>
      </c>
    </row>
    <row r="515" ht="15.75" customHeight="1">
      <c r="A515" s="17" t="s">
        <v>41</v>
      </c>
      <c r="B515" s="20">
        <f t="shared" ref="B515:Z515" si="182">B8+B31+B54+B77+B100+B123+B146+B169+B192+B215+B238+B261+B284+B307+B330+B353+B376+B399+B422+B445+B468+B491</f>
        <v>12</v>
      </c>
      <c r="C515" s="20">
        <f t="shared" si="182"/>
        <v>11</v>
      </c>
      <c r="D515" s="20">
        <f t="shared" si="182"/>
        <v>11</v>
      </c>
      <c r="E515" s="20">
        <f t="shared" si="182"/>
        <v>12</v>
      </c>
      <c r="F515" s="20">
        <f t="shared" si="182"/>
        <v>9</v>
      </c>
      <c r="G515" s="20">
        <f t="shared" si="182"/>
        <v>10</v>
      </c>
      <c r="H515" s="20">
        <f t="shared" si="182"/>
        <v>9</v>
      </c>
      <c r="I515" s="20">
        <f t="shared" si="182"/>
        <v>9</v>
      </c>
      <c r="J515" s="20">
        <f t="shared" si="182"/>
        <v>6</v>
      </c>
      <c r="K515" s="20">
        <f t="shared" si="182"/>
        <v>7</v>
      </c>
      <c r="L515" s="20">
        <f t="shared" si="182"/>
        <v>6</v>
      </c>
      <c r="M515" s="20">
        <f t="shared" si="182"/>
        <v>6</v>
      </c>
      <c r="N515" s="20">
        <f t="shared" si="182"/>
        <v>7</v>
      </c>
      <c r="O515" s="20">
        <f t="shared" si="182"/>
        <v>11</v>
      </c>
      <c r="P515" s="20">
        <f t="shared" si="182"/>
        <v>10</v>
      </c>
      <c r="Q515" s="20">
        <f t="shared" si="182"/>
        <v>8</v>
      </c>
      <c r="R515" s="20">
        <f t="shared" si="182"/>
        <v>6</v>
      </c>
      <c r="S515" s="20">
        <f t="shared" si="182"/>
        <v>7</v>
      </c>
      <c r="T515" s="20">
        <f t="shared" si="182"/>
        <v>4</v>
      </c>
      <c r="U515" s="20">
        <f t="shared" si="182"/>
        <v>4</v>
      </c>
      <c r="V515" s="20">
        <f t="shared" si="182"/>
        <v>5</v>
      </c>
      <c r="W515" s="20">
        <f t="shared" si="182"/>
        <v>5</v>
      </c>
      <c r="X515" s="20">
        <f t="shared" si="182"/>
        <v>6</v>
      </c>
      <c r="Y515" s="20">
        <f t="shared" si="182"/>
        <v>6</v>
      </c>
      <c r="Z515" s="20">
        <f t="shared" si="182"/>
        <v>5</v>
      </c>
      <c r="AA515" s="79">
        <f t="shared" si="180"/>
        <v>192</v>
      </c>
      <c r="AB515" s="80">
        <f t="shared" si="181"/>
        <v>0.6037735849</v>
      </c>
      <c r="AC515" s="81" t="s">
        <v>41</v>
      </c>
    </row>
    <row r="516" ht="15.75" customHeight="1">
      <c r="A516" s="17" t="s">
        <v>42</v>
      </c>
      <c r="B516" s="20">
        <f t="shared" ref="B516:Z516" si="183">B9+B32+B55+B78+B101+B124+B147+B170+B193+B216+B239+B262+B285+B308+B331+B354+B377+B400+B423+B446+B469+B492</f>
        <v>14</v>
      </c>
      <c r="C516" s="20">
        <f t="shared" si="183"/>
        <v>14</v>
      </c>
      <c r="D516" s="20">
        <f t="shared" si="183"/>
        <v>14</v>
      </c>
      <c r="E516" s="20">
        <f t="shared" si="183"/>
        <v>11</v>
      </c>
      <c r="F516" s="20">
        <f t="shared" si="183"/>
        <v>12</v>
      </c>
      <c r="G516" s="20">
        <f t="shared" si="183"/>
        <v>13</v>
      </c>
      <c r="H516" s="20">
        <f t="shared" si="183"/>
        <v>12</v>
      </c>
      <c r="I516" s="20">
        <f t="shared" si="183"/>
        <v>12</v>
      </c>
      <c r="J516" s="20">
        <f t="shared" si="183"/>
        <v>11</v>
      </c>
      <c r="K516" s="20">
        <f t="shared" si="183"/>
        <v>11</v>
      </c>
      <c r="L516" s="20">
        <f t="shared" si="183"/>
        <v>12</v>
      </c>
      <c r="M516" s="20">
        <f t="shared" si="183"/>
        <v>12</v>
      </c>
      <c r="N516" s="20">
        <f t="shared" si="183"/>
        <v>13</v>
      </c>
      <c r="O516" s="20">
        <f t="shared" si="183"/>
        <v>13</v>
      </c>
      <c r="P516" s="20">
        <f t="shared" si="183"/>
        <v>12</v>
      </c>
      <c r="Q516" s="20">
        <f t="shared" si="183"/>
        <v>10</v>
      </c>
      <c r="R516" s="20">
        <f t="shared" si="183"/>
        <v>12</v>
      </c>
      <c r="S516" s="20">
        <f t="shared" si="183"/>
        <v>10</v>
      </c>
      <c r="T516" s="20">
        <f t="shared" si="183"/>
        <v>12</v>
      </c>
      <c r="U516" s="20">
        <f t="shared" si="183"/>
        <v>11</v>
      </c>
      <c r="V516" s="20">
        <f t="shared" si="183"/>
        <v>13</v>
      </c>
      <c r="W516" s="20">
        <f t="shared" si="183"/>
        <v>13</v>
      </c>
      <c r="X516" s="20">
        <f t="shared" si="183"/>
        <v>11</v>
      </c>
      <c r="Y516" s="20">
        <f t="shared" si="183"/>
        <v>10</v>
      </c>
      <c r="Z516" s="20">
        <f t="shared" si="183"/>
        <v>6</v>
      </c>
      <c r="AA516" s="79">
        <f t="shared" si="180"/>
        <v>294</v>
      </c>
      <c r="AB516" s="80">
        <f t="shared" si="181"/>
        <v>0.9245283019</v>
      </c>
      <c r="AC516" s="81" t="s">
        <v>42</v>
      </c>
    </row>
    <row r="517" ht="15.75" hidden="1" customHeight="1">
      <c r="A517" s="82"/>
      <c r="B517" s="20">
        <f t="shared" ref="B517:Z517" si="184">B513+B514+B515+B516</f>
        <v>53</v>
      </c>
      <c r="C517" s="20">
        <f t="shared" si="184"/>
        <v>50</v>
      </c>
      <c r="D517" s="20">
        <f t="shared" si="184"/>
        <v>50</v>
      </c>
      <c r="E517" s="20">
        <f t="shared" si="184"/>
        <v>48</v>
      </c>
      <c r="F517" s="20">
        <f t="shared" si="184"/>
        <v>41</v>
      </c>
      <c r="G517" s="20">
        <f t="shared" si="184"/>
        <v>43</v>
      </c>
      <c r="H517" s="20">
        <f t="shared" si="184"/>
        <v>42</v>
      </c>
      <c r="I517" s="20">
        <f t="shared" si="184"/>
        <v>40</v>
      </c>
      <c r="J517" s="20">
        <f t="shared" si="184"/>
        <v>34</v>
      </c>
      <c r="K517" s="20">
        <f t="shared" si="184"/>
        <v>37</v>
      </c>
      <c r="L517" s="20">
        <f t="shared" si="184"/>
        <v>37</v>
      </c>
      <c r="M517" s="20">
        <f t="shared" si="184"/>
        <v>37</v>
      </c>
      <c r="N517" s="20">
        <f t="shared" si="184"/>
        <v>37</v>
      </c>
      <c r="O517" s="20">
        <f t="shared" si="184"/>
        <v>48</v>
      </c>
      <c r="P517" s="20">
        <f t="shared" si="184"/>
        <v>45</v>
      </c>
      <c r="Q517" s="20">
        <f t="shared" si="184"/>
        <v>36</v>
      </c>
      <c r="R517" s="20">
        <f t="shared" si="184"/>
        <v>33</v>
      </c>
      <c r="S517" s="20">
        <f t="shared" si="184"/>
        <v>35</v>
      </c>
      <c r="T517" s="20">
        <f t="shared" si="184"/>
        <v>35</v>
      </c>
      <c r="U517" s="20">
        <f t="shared" si="184"/>
        <v>33</v>
      </c>
      <c r="V517" s="20">
        <f t="shared" si="184"/>
        <v>36</v>
      </c>
      <c r="W517" s="20">
        <f t="shared" si="184"/>
        <v>35</v>
      </c>
      <c r="X517" s="20">
        <f t="shared" si="184"/>
        <v>36</v>
      </c>
      <c r="Y517" s="20">
        <f t="shared" si="184"/>
        <v>32</v>
      </c>
      <c r="Z517" s="20">
        <f t="shared" si="184"/>
        <v>22</v>
      </c>
      <c r="AA517" s="79">
        <f t="shared" si="180"/>
        <v>975</v>
      </c>
      <c r="AB517" s="83"/>
      <c r="AC517" s="82"/>
    </row>
    <row r="518" ht="15.75" customHeight="1">
      <c r="A518" s="84" t="s">
        <v>58</v>
      </c>
      <c r="B518" s="85">
        <f t="shared" ref="B518:Z518" si="185">B517/(COUNT(B6:B9,B29:B32,B52:B55,B75:B78,B98:B101,B121:B124,B144:B147,B167:B170,B190:B193,B213:B216,B236:B239,B259:B262,B282:B285,B305:B308,B328:B331,B351:B354,B374:B377,B397:B400,B420:B423,B443:B446,B466:B469,B489:B492)*1)</f>
        <v>0.9464285714</v>
      </c>
      <c r="C518" s="85">
        <f t="shared" si="185"/>
        <v>0.8928571429</v>
      </c>
      <c r="D518" s="85">
        <f t="shared" si="185"/>
        <v>0.8928571429</v>
      </c>
      <c r="E518" s="85">
        <f t="shared" si="185"/>
        <v>0.9230769231</v>
      </c>
      <c r="F518" s="85">
        <f t="shared" si="185"/>
        <v>0.7884615385</v>
      </c>
      <c r="G518" s="85">
        <f t="shared" si="185"/>
        <v>0.8269230769</v>
      </c>
      <c r="H518" s="85">
        <f t="shared" si="185"/>
        <v>0.8076923077</v>
      </c>
      <c r="I518" s="85">
        <f t="shared" si="185"/>
        <v>0.7692307692</v>
      </c>
      <c r="J518" s="85">
        <f t="shared" si="185"/>
        <v>0.6538461538</v>
      </c>
      <c r="K518" s="85">
        <f t="shared" si="185"/>
        <v>0.7115384615</v>
      </c>
      <c r="L518" s="85">
        <f t="shared" si="185"/>
        <v>0.7115384615</v>
      </c>
      <c r="M518" s="85">
        <f t="shared" si="185"/>
        <v>0.7115384615</v>
      </c>
      <c r="N518" s="85">
        <f t="shared" si="185"/>
        <v>0.7115384615</v>
      </c>
      <c r="O518" s="85">
        <f t="shared" si="185"/>
        <v>0.9230769231</v>
      </c>
      <c r="P518" s="85">
        <f t="shared" si="185"/>
        <v>0.8653846154</v>
      </c>
      <c r="Q518" s="85">
        <f t="shared" si="185"/>
        <v>0.6923076923</v>
      </c>
      <c r="R518" s="85">
        <f t="shared" si="185"/>
        <v>0.6346153846</v>
      </c>
      <c r="S518" s="85">
        <f t="shared" si="185"/>
        <v>0.6730769231</v>
      </c>
      <c r="T518" s="85">
        <f t="shared" si="185"/>
        <v>0.6730769231</v>
      </c>
      <c r="U518" s="85">
        <f t="shared" si="185"/>
        <v>0.6346153846</v>
      </c>
      <c r="V518" s="85">
        <f t="shared" si="185"/>
        <v>0.6923076923</v>
      </c>
      <c r="W518" s="85">
        <f t="shared" si="185"/>
        <v>0.6730769231</v>
      </c>
      <c r="X518" s="85">
        <f t="shared" si="185"/>
        <v>0.6923076923</v>
      </c>
      <c r="Y518" s="85">
        <f t="shared" si="185"/>
        <v>0.8</v>
      </c>
      <c r="Z518" s="85">
        <f t="shared" si="185"/>
        <v>0.9166666667</v>
      </c>
      <c r="AA518" s="86">
        <f t="shared" si="180"/>
        <v>19.21804029</v>
      </c>
      <c r="AB518" s="80">
        <f>SUM(AB513:AB516)/4</f>
        <v>0.766509434</v>
      </c>
      <c r="AC518" s="87" t="s">
        <v>58</v>
      </c>
    </row>
    <row r="519">
      <c r="A519" s="197" t="s">
        <v>75</v>
      </c>
      <c r="B519" s="20">
        <f t="shared" ref="B519:Z519" si="186">B12+B35+B58+B81+B104+B127+B150+B173+B196+B219+B242+B265+B288+B311+B334+B357+B380+B403+B426+B449+B472+B495</f>
        <v>0</v>
      </c>
      <c r="C519" s="20">
        <f t="shared" si="186"/>
        <v>0</v>
      </c>
      <c r="D519" s="20">
        <f t="shared" si="186"/>
        <v>0</v>
      </c>
      <c r="E519" s="20">
        <f t="shared" si="186"/>
        <v>0</v>
      </c>
      <c r="F519" s="20">
        <f t="shared" si="186"/>
        <v>0</v>
      </c>
      <c r="G519" s="20">
        <f t="shared" si="186"/>
        <v>5</v>
      </c>
      <c r="H519" s="20">
        <f t="shared" si="186"/>
        <v>40</v>
      </c>
      <c r="I519" s="20">
        <f t="shared" si="186"/>
        <v>60</v>
      </c>
      <c r="J519" s="20">
        <f t="shared" si="186"/>
        <v>60</v>
      </c>
      <c r="K519" s="20">
        <f t="shared" si="186"/>
        <v>80</v>
      </c>
      <c r="L519" s="20">
        <f t="shared" si="186"/>
        <v>80</v>
      </c>
      <c r="M519" s="20">
        <f t="shared" si="186"/>
        <v>65</v>
      </c>
      <c r="N519" s="20">
        <f t="shared" si="186"/>
        <v>45</v>
      </c>
      <c r="O519" s="20">
        <f t="shared" si="186"/>
        <v>15</v>
      </c>
      <c r="P519" s="20">
        <f t="shared" si="186"/>
        <v>0</v>
      </c>
      <c r="Q519" s="20">
        <f t="shared" si="186"/>
        <v>40</v>
      </c>
      <c r="R519" s="20">
        <f t="shared" si="186"/>
        <v>50</v>
      </c>
      <c r="S519" s="20">
        <f t="shared" si="186"/>
        <v>70</v>
      </c>
      <c r="T519" s="20">
        <f t="shared" si="186"/>
        <v>80</v>
      </c>
      <c r="U519" s="20">
        <f t="shared" si="186"/>
        <v>60</v>
      </c>
      <c r="V519" s="20">
        <f t="shared" si="186"/>
        <v>40</v>
      </c>
      <c r="W519" s="20">
        <f t="shared" si="186"/>
        <v>40</v>
      </c>
      <c r="X519" s="20">
        <f t="shared" si="186"/>
        <v>10</v>
      </c>
      <c r="Y519" s="20">
        <f t="shared" si="186"/>
        <v>0</v>
      </c>
      <c r="Z519" s="20">
        <f t="shared" si="186"/>
        <v>0</v>
      </c>
      <c r="AA519" s="89">
        <f t="shared" si="180"/>
        <v>840</v>
      </c>
      <c r="AB519" s="90" t="s">
        <v>59</v>
      </c>
      <c r="AC519" s="91"/>
    </row>
    <row r="520" ht="15.75" customHeight="1">
      <c r="A520" s="197" t="s">
        <v>45</v>
      </c>
      <c r="B520" s="20">
        <f t="shared" ref="B520:Z520" si="187">B13+B36+B59+B82+B105+B128+B151+B174+B197+B220+B243+B266+B289+B312+B335+B358+B381+B404+B427+B450+B473+B496</f>
        <v>0</v>
      </c>
      <c r="C520" s="20">
        <f t="shared" si="187"/>
        <v>0</v>
      </c>
      <c r="D520" s="20">
        <f t="shared" si="187"/>
        <v>0</v>
      </c>
      <c r="E520" s="20">
        <f t="shared" si="187"/>
        <v>2</v>
      </c>
      <c r="F520" s="20">
        <f t="shared" si="187"/>
        <v>0</v>
      </c>
      <c r="G520" s="20">
        <f t="shared" si="187"/>
        <v>5</v>
      </c>
      <c r="H520" s="20">
        <f t="shared" si="187"/>
        <v>3</v>
      </c>
      <c r="I520" s="20">
        <f t="shared" si="187"/>
        <v>0</v>
      </c>
      <c r="J520" s="20">
        <f t="shared" si="187"/>
        <v>0</v>
      </c>
      <c r="K520" s="20">
        <f t="shared" si="187"/>
        <v>5</v>
      </c>
      <c r="L520" s="20">
        <f t="shared" si="187"/>
        <v>0</v>
      </c>
      <c r="M520" s="20">
        <f t="shared" si="187"/>
        <v>0</v>
      </c>
      <c r="N520" s="20">
        <f t="shared" si="187"/>
        <v>2</v>
      </c>
      <c r="O520" s="20">
        <f t="shared" si="187"/>
        <v>0</v>
      </c>
      <c r="P520" s="20">
        <f t="shared" si="187"/>
        <v>0</v>
      </c>
      <c r="Q520" s="20">
        <f t="shared" si="187"/>
        <v>13</v>
      </c>
      <c r="R520" s="20">
        <f t="shared" si="187"/>
        <v>4</v>
      </c>
      <c r="S520" s="20">
        <f t="shared" si="187"/>
        <v>0</v>
      </c>
      <c r="T520" s="20">
        <f t="shared" si="187"/>
        <v>0</v>
      </c>
      <c r="U520" s="20">
        <f t="shared" si="187"/>
        <v>11</v>
      </c>
      <c r="V520" s="20">
        <f t="shared" si="187"/>
        <v>9</v>
      </c>
      <c r="W520" s="20">
        <f t="shared" si="187"/>
        <v>0</v>
      </c>
      <c r="X520" s="20">
        <f t="shared" si="187"/>
        <v>3</v>
      </c>
      <c r="Y520" s="20">
        <f t="shared" si="187"/>
        <v>0</v>
      </c>
      <c r="Z520" s="20">
        <f t="shared" si="187"/>
        <v>0</v>
      </c>
      <c r="AA520" s="89">
        <f t="shared" si="180"/>
        <v>57</v>
      </c>
      <c r="AB520" s="90" t="s">
        <v>59</v>
      </c>
      <c r="AC520" s="92"/>
    </row>
    <row r="521">
      <c r="A521" s="115" t="s">
        <v>46</v>
      </c>
      <c r="B521" s="20">
        <f t="shared" ref="B521:Z521" si="188">B14+B37+B60+B83+B106+B129+B152+B175+B198+B221+B244+B267+B290+B313+B336+B359+B382+B405+B428+B451+B474+B497</f>
        <v>0</v>
      </c>
      <c r="C521" s="20">
        <f t="shared" si="188"/>
        <v>0</v>
      </c>
      <c r="D521" s="20">
        <f t="shared" si="188"/>
        <v>0</v>
      </c>
      <c r="E521" s="20">
        <f t="shared" si="188"/>
        <v>0</v>
      </c>
      <c r="F521" s="20">
        <f t="shared" si="188"/>
        <v>0</v>
      </c>
      <c r="G521" s="20">
        <f t="shared" si="188"/>
        <v>0</v>
      </c>
      <c r="H521" s="20">
        <f t="shared" si="188"/>
        <v>0</v>
      </c>
      <c r="I521" s="20">
        <f t="shared" si="188"/>
        <v>0</v>
      </c>
      <c r="J521" s="20">
        <f t="shared" si="188"/>
        <v>0</v>
      </c>
      <c r="K521" s="20">
        <f t="shared" si="188"/>
        <v>0</v>
      </c>
      <c r="L521" s="20">
        <f t="shared" si="188"/>
        <v>0</v>
      </c>
      <c r="M521" s="20">
        <f t="shared" si="188"/>
        <v>0</v>
      </c>
      <c r="N521" s="20">
        <f t="shared" si="188"/>
        <v>0</v>
      </c>
      <c r="O521" s="20">
        <f t="shared" si="188"/>
        <v>0</v>
      </c>
      <c r="P521" s="20">
        <f t="shared" si="188"/>
        <v>0</v>
      </c>
      <c r="Q521" s="20">
        <f t="shared" si="188"/>
        <v>0</v>
      </c>
      <c r="R521" s="20">
        <f t="shared" si="188"/>
        <v>0</v>
      </c>
      <c r="S521" s="20">
        <f t="shared" si="188"/>
        <v>0</v>
      </c>
      <c r="T521" s="20">
        <f t="shared" si="188"/>
        <v>0</v>
      </c>
      <c r="U521" s="20">
        <f t="shared" si="188"/>
        <v>0</v>
      </c>
      <c r="V521" s="20">
        <f t="shared" si="188"/>
        <v>0</v>
      </c>
      <c r="W521" s="20">
        <f t="shared" si="188"/>
        <v>0</v>
      </c>
      <c r="X521" s="20">
        <f t="shared" si="188"/>
        <v>0</v>
      </c>
      <c r="Y521" s="20">
        <f t="shared" si="188"/>
        <v>0</v>
      </c>
      <c r="Z521" s="20">
        <f t="shared" si="188"/>
        <v>0</v>
      </c>
      <c r="AA521" s="89">
        <f t="shared" si="180"/>
        <v>0</v>
      </c>
      <c r="AB521" s="90" t="s">
        <v>59</v>
      </c>
      <c r="AC521" s="92"/>
    </row>
    <row r="522">
      <c r="A522" s="94" t="s">
        <v>47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95"/>
      <c r="AB522" s="96" t="s">
        <v>47</v>
      </c>
      <c r="AC522" s="95"/>
    </row>
    <row r="523" ht="15.75" customHeight="1">
      <c r="A523" s="97" t="s">
        <v>48</v>
      </c>
      <c r="B523" s="98">
        <f t="shared" ref="B523:Z523" si="189">B16+B39+B62+B85+B108+B131+B154+B177+B200+B223+B246+B269+B292+B315+B338+B361+B384+B407+B430+B453+B476+B499</f>
        <v>0</v>
      </c>
      <c r="C523" s="98">
        <f t="shared" si="189"/>
        <v>1</v>
      </c>
      <c r="D523" s="98">
        <f t="shared" si="189"/>
        <v>0</v>
      </c>
      <c r="E523" s="98">
        <f t="shared" si="189"/>
        <v>0</v>
      </c>
      <c r="F523" s="98">
        <f t="shared" si="189"/>
        <v>0</v>
      </c>
      <c r="G523" s="98">
        <f t="shared" si="189"/>
        <v>1</v>
      </c>
      <c r="H523" s="98">
        <f t="shared" si="189"/>
        <v>1</v>
      </c>
      <c r="I523" s="98">
        <f t="shared" si="189"/>
        <v>1</v>
      </c>
      <c r="J523" s="98">
        <f t="shared" si="189"/>
        <v>0</v>
      </c>
      <c r="K523" s="98">
        <f t="shared" si="189"/>
        <v>1</v>
      </c>
      <c r="L523" s="98">
        <f t="shared" si="189"/>
        <v>0</v>
      </c>
      <c r="M523" s="98">
        <f t="shared" si="189"/>
        <v>0</v>
      </c>
      <c r="N523" s="98">
        <f t="shared" si="189"/>
        <v>0</v>
      </c>
      <c r="O523" s="98">
        <f t="shared" si="189"/>
        <v>0</v>
      </c>
      <c r="P523" s="98">
        <f t="shared" si="189"/>
        <v>1</v>
      </c>
      <c r="Q523" s="98">
        <f t="shared" si="189"/>
        <v>4</v>
      </c>
      <c r="R523" s="98">
        <f t="shared" si="189"/>
        <v>2</v>
      </c>
      <c r="S523" s="98">
        <f t="shared" si="189"/>
        <v>0</v>
      </c>
      <c r="T523" s="98">
        <f t="shared" si="189"/>
        <v>0</v>
      </c>
      <c r="U523" s="98">
        <f t="shared" si="189"/>
        <v>0</v>
      </c>
      <c r="V523" s="98">
        <f t="shared" si="189"/>
        <v>1</v>
      </c>
      <c r="W523" s="98">
        <f t="shared" si="189"/>
        <v>0</v>
      </c>
      <c r="X523" s="98">
        <f t="shared" si="189"/>
        <v>0</v>
      </c>
      <c r="Y523" s="98">
        <f t="shared" si="189"/>
        <v>0</v>
      </c>
      <c r="Z523" s="98">
        <f t="shared" si="189"/>
        <v>0</v>
      </c>
      <c r="AA523" s="99">
        <f t="shared" ref="AA523:AA524" si="191">SUM(B523:Z523)</f>
        <v>13</v>
      </c>
      <c r="AB523" s="100" t="s">
        <v>60</v>
      </c>
      <c r="AC523" s="95"/>
    </row>
    <row r="524" ht="15.75" customHeight="1">
      <c r="A524" s="97" t="s">
        <v>49</v>
      </c>
      <c r="B524" s="98">
        <f t="shared" ref="B524:Z524" si="190">B17+B40+B63+B86+B109+B132+B155+B178+B201+B224+B247+B270+B293+B316+B339+B362+B385+B408+B431+B454+B477+B500</f>
        <v>0</v>
      </c>
      <c r="C524" s="98">
        <f t="shared" si="190"/>
        <v>10</v>
      </c>
      <c r="D524" s="98">
        <f t="shared" si="190"/>
        <v>10</v>
      </c>
      <c r="E524" s="98">
        <f t="shared" si="190"/>
        <v>0</v>
      </c>
      <c r="F524" s="98">
        <f t="shared" si="190"/>
        <v>10</v>
      </c>
      <c r="G524" s="98">
        <f t="shared" si="190"/>
        <v>40</v>
      </c>
      <c r="H524" s="98">
        <f t="shared" si="190"/>
        <v>45</v>
      </c>
      <c r="I524" s="98">
        <f t="shared" si="190"/>
        <v>80</v>
      </c>
      <c r="J524" s="98">
        <f t="shared" si="190"/>
        <v>80</v>
      </c>
      <c r="K524" s="98">
        <f t="shared" si="190"/>
        <v>100</v>
      </c>
      <c r="L524" s="98">
        <f t="shared" si="190"/>
        <v>100</v>
      </c>
      <c r="M524" s="98">
        <f t="shared" si="190"/>
        <v>75</v>
      </c>
      <c r="N524" s="98">
        <f t="shared" si="190"/>
        <v>70</v>
      </c>
      <c r="O524" s="98">
        <f t="shared" si="190"/>
        <v>15</v>
      </c>
      <c r="P524" s="98">
        <f t="shared" si="190"/>
        <v>20</v>
      </c>
      <c r="Q524" s="98">
        <f t="shared" si="190"/>
        <v>100</v>
      </c>
      <c r="R524" s="98">
        <f t="shared" si="190"/>
        <v>100</v>
      </c>
      <c r="S524" s="98">
        <f t="shared" si="190"/>
        <v>100</v>
      </c>
      <c r="T524" s="98">
        <f t="shared" si="190"/>
        <v>100</v>
      </c>
      <c r="U524" s="98">
        <f t="shared" si="190"/>
        <v>80</v>
      </c>
      <c r="V524" s="98">
        <f t="shared" si="190"/>
        <v>80</v>
      </c>
      <c r="W524" s="98">
        <f t="shared" si="190"/>
        <v>60</v>
      </c>
      <c r="X524" s="98">
        <f t="shared" si="190"/>
        <v>30</v>
      </c>
      <c r="Y524" s="98">
        <f t="shared" si="190"/>
        <v>10</v>
      </c>
      <c r="Z524" s="98">
        <f t="shared" si="190"/>
        <v>0</v>
      </c>
      <c r="AA524" s="99">
        <f t="shared" si="191"/>
        <v>1315</v>
      </c>
      <c r="AB524" s="100" t="s">
        <v>61</v>
      </c>
      <c r="AC524" s="95"/>
    </row>
    <row r="525" ht="15.75" customHeight="1">
      <c r="A525" s="101" t="s">
        <v>62</v>
      </c>
      <c r="B525" s="102">
        <f t="shared" ref="B525:Z525" si="192">SUM(B18,B41,B64,B87,B110,B133,B156,B179,B202,B225,B248,B271,B294,B317,B340,B363,B386,B409,B432,B455,B478,B501)</f>
        <v>0</v>
      </c>
      <c r="C525" s="102">
        <f t="shared" si="192"/>
        <v>1</v>
      </c>
      <c r="D525" s="102">
        <f t="shared" si="192"/>
        <v>0</v>
      </c>
      <c r="E525" s="102">
        <f t="shared" si="192"/>
        <v>0</v>
      </c>
      <c r="F525" s="102">
        <f t="shared" si="192"/>
        <v>0</v>
      </c>
      <c r="G525" s="102">
        <f t="shared" si="192"/>
        <v>1</v>
      </c>
      <c r="H525" s="102">
        <f t="shared" si="192"/>
        <v>1</v>
      </c>
      <c r="I525" s="102">
        <f t="shared" si="192"/>
        <v>1</v>
      </c>
      <c r="J525" s="102">
        <f t="shared" si="192"/>
        <v>0</v>
      </c>
      <c r="K525" s="102">
        <f t="shared" si="192"/>
        <v>1</v>
      </c>
      <c r="L525" s="102">
        <f t="shared" si="192"/>
        <v>0</v>
      </c>
      <c r="M525" s="102">
        <f t="shared" si="192"/>
        <v>0</v>
      </c>
      <c r="N525" s="102">
        <f t="shared" si="192"/>
        <v>0</v>
      </c>
      <c r="O525" s="102">
        <f t="shared" si="192"/>
        <v>0</v>
      </c>
      <c r="P525" s="102">
        <f t="shared" si="192"/>
        <v>1</v>
      </c>
      <c r="Q525" s="102">
        <f t="shared" si="192"/>
        <v>7</v>
      </c>
      <c r="R525" s="102">
        <f t="shared" si="192"/>
        <v>2</v>
      </c>
      <c r="S525" s="102">
        <f t="shared" si="192"/>
        <v>0</v>
      </c>
      <c r="T525" s="102">
        <f t="shared" si="192"/>
        <v>0</v>
      </c>
      <c r="U525" s="102">
        <f t="shared" si="192"/>
        <v>0</v>
      </c>
      <c r="V525" s="102">
        <f t="shared" si="192"/>
        <v>1</v>
      </c>
      <c r="W525" s="102">
        <f t="shared" si="192"/>
        <v>0</v>
      </c>
      <c r="X525" s="102">
        <f t="shared" si="192"/>
        <v>0</v>
      </c>
      <c r="Y525" s="102">
        <f t="shared" si="192"/>
        <v>0</v>
      </c>
      <c r="Z525" s="102">
        <f t="shared" si="192"/>
        <v>0</v>
      </c>
      <c r="AA525" s="103"/>
      <c r="AB525" s="104"/>
      <c r="AC525" s="105"/>
    </row>
    <row r="526" ht="15.75" customHeight="1">
      <c r="A526" s="106" t="s">
        <v>50</v>
      </c>
      <c r="B526" s="107" t="str">
        <f t="shared" ref="B526:Z526" si="193">B525/COUNT(B18,B41,B64,B87,B110,B133,B156,B179,B202,B225,B248,B271,B294,B317,B340,B363,B386,B409,B432,B455,B478,B501)</f>
        <v>#DIV/0!</v>
      </c>
      <c r="C526" s="107">
        <f t="shared" si="193"/>
        <v>1</v>
      </c>
      <c r="D526" s="107" t="str">
        <f t="shared" si="193"/>
        <v>#DIV/0!</v>
      </c>
      <c r="E526" s="107" t="str">
        <f t="shared" si="193"/>
        <v>#DIV/0!</v>
      </c>
      <c r="F526" s="107" t="str">
        <f t="shared" si="193"/>
        <v>#DIV/0!</v>
      </c>
      <c r="G526" s="107">
        <f t="shared" si="193"/>
        <v>1</v>
      </c>
      <c r="H526" s="107">
        <f t="shared" si="193"/>
        <v>1</v>
      </c>
      <c r="I526" s="107">
        <f t="shared" si="193"/>
        <v>1</v>
      </c>
      <c r="J526" s="107" t="str">
        <f t="shared" si="193"/>
        <v>#DIV/0!</v>
      </c>
      <c r="K526" s="107">
        <f t="shared" si="193"/>
        <v>1</v>
      </c>
      <c r="L526" s="107" t="str">
        <f t="shared" si="193"/>
        <v>#DIV/0!</v>
      </c>
      <c r="M526" s="107" t="str">
        <f t="shared" si="193"/>
        <v>#DIV/0!</v>
      </c>
      <c r="N526" s="107" t="str">
        <f t="shared" si="193"/>
        <v>#DIV/0!</v>
      </c>
      <c r="O526" s="107" t="str">
        <f t="shared" si="193"/>
        <v>#DIV/0!</v>
      </c>
      <c r="P526" s="107">
        <f t="shared" si="193"/>
        <v>1</v>
      </c>
      <c r="Q526" s="107">
        <f t="shared" si="193"/>
        <v>1.75</v>
      </c>
      <c r="R526" s="107">
        <f t="shared" si="193"/>
        <v>1</v>
      </c>
      <c r="S526" s="107" t="str">
        <f t="shared" si="193"/>
        <v>#DIV/0!</v>
      </c>
      <c r="T526" s="107" t="str">
        <f t="shared" si="193"/>
        <v>#DIV/0!</v>
      </c>
      <c r="U526" s="107" t="str">
        <f t="shared" si="193"/>
        <v>#DIV/0!</v>
      </c>
      <c r="V526" s="107">
        <f t="shared" si="193"/>
        <v>1</v>
      </c>
      <c r="W526" s="107" t="str">
        <f t="shared" si="193"/>
        <v>#DIV/0!</v>
      </c>
      <c r="X526" s="107" t="str">
        <f t="shared" si="193"/>
        <v>#DIV/0!</v>
      </c>
      <c r="Y526" s="107" t="str">
        <f t="shared" si="193"/>
        <v>#DIV/0!</v>
      </c>
      <c r="Z526" s="107" t="str">
        <f t="shared" si="193"/>
        <v>#DIV/0!</v>
      </c>
      <c r="AA526" s="108">
        <f>round(AVERAGEif(B526:Z526, "&gt;0"),0)</f>
        <v>1</v>
      </c>
      <c r="AB526" s="109" t="s">
        <v>63</v>
      </c>
      <c r="AC526" s="110"/>
    </row>
    <row r="527" ht="15.75" customHeight="1">
      <c r="A527" s="111" t="s">
        <v>51</v>
      </c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3"/>
      <c r="AB527" s="114" t="s">
        <v>51</v>
      </c>
      <c r="AC527" s="113"/>
    </row>
    <row r="528" ht="15.75" customHeight="1">
      <c r="A528" s="115" t="s">
        <v>48</v>
      </c>
      <c r="B528" s="20">
        <f t="shared" ref="B528:Z528" si="194">B20+B43+B66+B89+B112+B135+B158+B181+B204+B227+B250+B273+B296+B319+B342+B365+B388+B411+B434+B457+B480+B503</f>
        <v>0</v>
      </c>
      <c r="C528" s="20">
        <f t="shared" si="194"/>
        <v>0</v>
      </c>
      <c r="D528" s="20">
        <f t="shared" si="194"/>
        <v>0</v>
      </c>
      <c r="E528" s="20">
        <f t="shared" si="194"/>
        <v>0</v>
      </c>
      <c r="F528" s="20">
        <f t="shared" si="194"/>
        <v>0</v>
      </c>
      <c r="G528" s="20">
        <f t="shared" si="194"/>
        <v>0</v>
      </c>
      <c r="H528" s="20">
        <f t="shared" si="194"/>
        <v>0</v>
      </c>
      <c r="I528" s="20">
        <f t="shared" si="194"/>
        <v>0</v>
      </c>
      <c r="J528" s="20">
        <f t="shared" si="194"/>
        <v>0</v>
      </c>
      <c r="K528" s="20">
        <f t="shared" si="194"/>
        <v>0</v>
      </c>
      <c r="L528" s="20">
        <f t="shared" si="194"/>
        <v>0</v>
      </c>
      <c r="M528" s="20">
        <f t="shared" si="194"/>
        <v>0</v>
      </c>
      <c r="N528" s="20">
        <f t="shared" si="194"/>
        <v>0</v>
      </c>
      <c r="O528" s="20">
        <f t="shared" si="194"/>
        <v>0</v>
      </c>
      <c r="P528" s="20">
        <f t="shared" si="194"/>
        <v>0</v>
      </c>
      <c r="Q528" s="20">
        <f t="shared" si="194"/>
        <v>0</v>
      </c>
      <c r="R528" s="20">
        <f t="shared" si="194"/>
        <v>0</v>
      </c>
      <c r="S528" s="20">
        <f t="shared" si="194"/>
        <v>0</v>
      </c>
      <c r="T528" s="20">
        <f t="shared" si="194"/>
        <v>0</v>
      </c>
      <c r="U528" s="20">
        <f t="shared" si="194"/>
        <v>0</v>
      </c>
      <c r="V528" s="20">
        <f t="shared" si="194"/>
        <v>0</v>
      </c>
      <c r="W528" s="20">
        <f t="shared" si="194"/>
        <v>0</v>
      </c>
      <c r="X528" s="20">
        <f t="shared" si="194"/>
        <v>0</v>
      </c>
      <c r="Y528" s="20">
        <f t="shared" si="194"/>
        <v>0</v>
      </c>
      <c r="Z528" s="20">
        <f t="shared" si="194"/>
        <v>0</v>
      </c>
      <c r="AA528" s="116">
        <f t="shared" ref="AA528:AA529" si="196">SUM(B528:Z528)</f>
        <v>0</v>
      </c>
      <c r="AB528" s="114" t="s">
        <v>64</v>
      </c>
      <c r="AC528" s="113"/>
    </row>
    <row r="529" ht="15.75" customHeight="1">
      <c r="A529" s="115" t="s">
        <v>49</v>
      </c>
      <c r="B529" s="20">
        <f t="shared" ref="B529:Z529" si="195">B21+B44+B67+B90+B113+B136+B159+B182+B205+B228+B251+B274+B297+B320+B343+B366+B389+B412+B435+B458+B481+B504</f>
        <v>0</v>
      </c>
      <c r="C529" s="20">
        <f t="shared" si="195"/>
        <v>0</v>
      </c>
      <c r="D529" s="20">
        <f t="shared" si="195"/>
        <v>0</v>
      </c>
      <c r="E529" s="20">
        <f t="shared" si="195"/>
        <v>0</v>
      </c>
      <c r="F529" s="20">
        <f t="shared" si="195"/>
        <v>0</v>
      </c>
      <c r="G529" s="20">
        <f t="shared" si="195"/>
        <v>0</v>
      </c>
      <c r="H529" s="20">
        <f t="shared" si="195"/>
        <v>0</v>
      </c>
      <c r="I529" s="20">
        <f t="shared" si="195"/>
        <v>0</v>
      </c>
      <c r="J529" s="20">
        <f t="shared" si="195"/>
        <v>0</v>
      </c>
      <c r="K529" s="20">
        <f t="shared" si="195"/>
        <v>0</v>
      </c>
      <c r="L529" s="20">
        <f t="shared" si="195"/>
        <v>0</v>
      </c>
      <c r="M529" s="20">
        <f t="shared" si="195"/>
        <v>0</v>
      </c>
      <c r="N529" s="20">
        <f t="shared" si="195"/>
        <v>0</v>
      </c>
      <c r="O529" s="20">
        <f t="shared" si="195"/>
        <v>0</v>
      </c>
      <c r="P529" s="20">
        <f t="shared" si="195"/>
        <v>0</v>
      </c>
      <c r="Q529" s="20">
        <f t="shared" si="195"/>
        <v>0</v>
      </c>
      <c r="R529" s="20">
        <f t="shared" si="195"/>
        <v>0</v>
      </c>
      <c r="S529" s="20">
        <f t="shared" si="195"/>
        <v>0</v>
      </c>
      <c r="T529" s="20">
        <f t="shared" si="195"/>
        <v>0</v>
      </c>
      <c r="U529" s="20">
        <f t="shared" si="195"/>
        <v>0</v>
      </c>
      <c r="V529" s="20">
        <f t="shared" si="195"/>
        <v>0</v>
      </c>
      <c r="W529" s="20">
        <f t="shared" si="195"/>
        <v>0</v>
      </c>
      <c r="X529" s="20">
        <f t="shared" si="195"/>
        <v>0</v>
      </c>
      <c r="Y529" s="20">
        <f t="shared" si="195"/>
        <v>0</v>
      </c>
      <c r="Z529" s="20">
        <f t="shared" si="195"/>
        <v>0</v>
      </c>
      <c r="AA529" s="116">
        <f t="shared" si="196"/>
        <v>0</v>
      </c>
      <c r="AB529" s="114" t="s">
        <v>65</v>
      </c>
      <c r="AC529" s="113"/>
    </row>
    <row r="530" ht="15.75" customHeight="1">
      <c r="A530" s="101" t="s">
        <v>62</v>
      </c>
      <c r="B530" s="102">
        <f t="shared" ref="B530:Z530" si="197">sum(B22,B45,B68,B91,B114,B137,B160,B183,B206,B229,B252,B275,B298,B321,B344,B367,B390,B413,B436,B459,B482,B505)</f>
        <v>0</v>
      </c>
      <c r="C530" s="102">
        <f t="shared" si="197"/>
        <v>0</v>
      </c>
      <c r="D530" s="102">
        <f t="shared" si="197"/>
        <v>0</v>
      </c>
      <c r="E530" s="102">
        <f t="shared" si="197"/>
        <v>0</v>
      </c>
      <c r="F530" s="102">
        <f t="shared" si="197"/>
        <v>0</v>
      </c>
      <c r="G530" s="102">
        <f t="shared" si="197"/>
        <v>0</v>
      </c>
      <c r="H530" s="102">
        <f t="shared" si="197"/>
        <v>0</v>
      </c>
      <c r="I530" s="102">
        <f t="shared" si="197"/>
        <v>0</v>
      </c>
      <c r="J530" s="102">
        <f t="shared" si="197"/>
        <v>0</v>
      </c>
      <c r="K530" s="102">
        <f t="shared" si="197"/>
        <v>0</v>
      </c>
      <c r="L530" s="102">
        <f t="shared" si="197"/>
        <v>0</v>
      </c>
      <c r="M530" s="102">
        <f t="shared" si="197"/>
        <v>0</v>
      </c>
      <c r="N530" s="102">
        <f t="shared" si="197"/>
        <v>0</v>
      </c>
      <c r="O530" s="102">
        <f t="shared" si="197"/>
        <v>0</v>
      </c>
      <c r="P530" s="102">
        <f t="shared" si="197"/>
        <v>0</v>
      </c>
      <c r="Q530" s="102">
        <f t="shared" si="197"/>
        <v>0</v>
      </c>
      <c r="R530" s="102">
        <f t="shared" si="197"/>
        <v>0</v>
      </c>
      <c r="S530" s="102">
        <f t="shared" si="197"/>
        <v>0</v>
      </c>
      <c r="T530" s="102">
        <f t="shared" si="197"/>
        <v>0</v>
      </c>
      <c r="U530" s="102">
        <f t="shared" si="197"/>
        <v>0</v>
      </c>
      <c r="V530" s="102">
        <f t="shared" si="197"/>
        <v>0</v>
      </c>
      <c r="W530" s="102">
        <f t="shared" si="197"/>
        <v>0</v>
      </c>
      <c r="X530" s="102">
        <f t="shared" si="197"/>
        <v>0</v>
      </c>
      <c r="Y530" s="102">
        <f t="shared" si="197"/>
        <v>0</v>
      </c>
      <c r="Z530" s="102">
        <f t="shared" si="197"/>
        <v>0</v>
      </c>
      <c r="AA530" s="105"/>
      <c r="AB530" s="104"/>
      <c r="AC530" s="105"/>
    </row>
    <row r="531" ht="15.75" customHeight="1">
      <c r="A531" s="115" t="s">
        <v>50</v>
      </c>
      <c r="B531" s="20" t="str">
        <f t="shared" ref="B531:Z531" si="198">B530/count(B22,B45,B68,B91,B114,B137,B160,B183,B206,B229,B252,B275,B298,B321,B344,B367,B390,B413,B436,B459,B482,B505)</f>
        <v>#DIV/0!</v>
      </c>
      <c r="C531" s="20" t="str">
        <f t="shared" si="198"/>
        <v>#DIV/0!</v>
      </c>
      <c r="D531" s="20" t="str">
        <f t="shared" si="198"/>
        <v>#DIV/0!</v>
      </c>
      <c r="E531" s="20" t="str">
        <f t="shared" si="198"/>
        <v>#DIV/0!</v>
      </c>
      <c r="F531" s="20" t="str">
        <f t="shared" si="198"/>
        <v>#DIV/0!</v>
      </c>
      <c r="G531" s="20" t="str">
        <f t="shared" si="198"/>
        <v>#DIV/0!</v>
      </c>
      <c r="H531" s="20" t="str">
        <f t="shared" si="198"/>
        <v>#DIV/0!</v>
      </c>
      <c r="I531" s="20" t="str">
        <f t="shared" si="198"/>
        <v>#DIV/0!</v>
      </c>
      <c r="J531" s="20" t="str">
        <f t="shared" si="198"/>
        <v>#DIV/0!</v>
      </c>
      <c r="K531" s="20" t="str">
        <f t="shared" si="198"/>
        <v>#DIV/0!</v>
      </c>
      <c r="L531" s="20" t="str">
        <f t="shared" si="198"/>
        <v>#DIV/0!</v>
      </c>
      <c r="M531" s="20" t="str">
        <f t="shared" si="198"/>
        <v>#DIV/0!</v>
      </c>
      <c r="N531" s="20" t="str">
        <f t="shared" si="198"/>
        <v>#DIV/0!</v>
      </c>
      <c r="O531" s="20" t="str">
        <f t="shared" si="198"/>
        <v>#DIV/0!</v>
      </c>
      <c r="P531" s="20" t="str">
        <f t="shared" si="198"/>
        <v>#DIV/0!</v>
      </c>
      <c r="Q531" s="20" t="str">
        <f t="shared" si="198"/>
        <v>#DIV/0!</v>
      </c>
      <c r="R531" s="20" t="str">
        <f t="shared" si="198"/>
        <v>#DIV/0!</v>
      </c>
      <c r="S531" s="20" t="str">
        <f t="shared" si="198"/>
        <v>#DIV/0!</v>
      </c>
      <c r="T531" s="20" t="str">
        <f t="shared" si="198"/>
        <v>#DIV/0!</v>
      </c>
      <c r="U531" s="20" t="str">
        <f t="shared" si="198"/>
        <v>#DIV/0!</v>
      </c>
      <c r="V531" s="20" t="str">
        <f t="shared" si="198"/>
        <v>#DIV/0!</v>
      </c>
      <c r="W531" s="20" t="str">
        <f t="shared" si="198"/>
        <v>#DIV/0!</v>
      </c>
      <c r="X531" s="20" t="str">
        <f t="shared" si="198"/>
        <v>#DIV/0!</v>
      </c>
      <c r="Y531" s="20" t="str">
        <f t="shared" si="198"/>
        <v>#DIV/0!</v>
      </c>
      <c r="Z531" s="20" t="str">
        <f t="shared" si="198"/>
        <v>#DIV/0!</v>
      </c>
      <c r="AA531" s="116" t="str">
        <f>round(AVERAGEif(B531:Z531, "&gt;0"),0)</f>
        <v>#DIV/0!</v>
      </c>
      <c r="AB531" s="114" t="s">
        <v>63</v>
      </c>
      <c r="AC531" s="113"/>
    </row>
    <row r="532" ht="15.75" customHeight="1">
      <c r="A532" s="117" t="s">
        <v>53</v>
      </c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9"/>
      <c r="AB532" s="120" t="s">
        <v>53</v>
      </c>
      <c r="AC532" s="119"/>
    </row>
    <row r="533" ht="15.75" customHeight="1">
      <c r="A533" s="97" t="s">
        <v>48</v>
      </c>
      <c r="B533" s="98">
        <f t="shared" ref="B533:Z533" si="199">B24+B47+B70+B93+B116+B139+B162+B185+B208+B231+B254+B277+B300+B323+B346+B369+B392+B415+B438+B461+B484+B507</f>
        <v>0</v>
      </c>
      <c r="C533" s="98">
        <f t="shared" si="199"/>
        <v>0</v>
      </c>
      <c r="D533" s="98">
        <f t="shared" si="199"/>
        <v>0</v>
      </c>
      <c r="E533" s="98">
        <f t="shared" si="199"/>
        <v>0</v>
      </c>
      <c r="F533" s="98">
        <f t="shared" si="199"/>
        <v>0</v>
      </c>
      <c r="G533" s="98">
        <f t="shared" si="199"/>
        <v>0</v>
      </c>
      <c r="H533" s="98">
        <f t="shared" si="199"/>
        <v>0</v>
      </c>
      <c r="I533" s="98">
        <f t="shared" si="199"/>
        <v>0</v>
      </c>
      <c r="J533" s="98">
        <f t="shared" si="199"/>
        <v>0</v>
      </c>
      <c r="K533" s="98">
        <f t="shared" si="199"/>
        <v>0</v>
      </c>
      <c r="L533" s="98">
        <f t="shared" si="199"/>
        <v>0</v>
      </c>
      <c r="M533" s="98">
        <f t="shared" si="199"/>
        <v>0</v>
      </c>
      <c r="N533" s="98">
        <f t="shared" si="199"/>
        <v>0</v>
      </c>
      <c r="O533" s="98">
        <f t="shared" si="199"/>
        <v>0</v>
      </c>
      <c r="P533" s="98">
        <f t="shared" si="199"/>
        <v>0</v>
      </c>
      <c r="Q533" s="98">
        <f t="shared" si="199"/>
        <v>0</v>
      </c>
      <c r="R533" s="98">
        <f t="shared" si="199"/>
        <v>0</v>
      </c>
      <c r="S533" s="98">
        <f t="shared" si="199"/>
        <v>0</v>
      </c>
      <c r="T533" s="98">
        <f t="shared" si="199"/>
        <v>0</v>
      </c>
      <c r="U533" s="98">
        <f t="shared" si="199"/>
        <v>0</v>
      </c>
      <c r="V533" s="98">
        <f t="shared" si="199"/>
        <v>0</v>
      </c>
      <c r="W533" s="98">
        <f t="shared" si="199"/>
        <v>0</v>
      </c>
      <c r="X533" s="98">
        <f t="shared" si="199"/>
        <v>0</v>
      </c>
      <c r="Y533" s="98">
        <f t="shared" si="199"/>
        <v>0</v>
      </c>
      <c r="Z533" s="98">
        <f t="shared" si="199"/>
        <v>0</v>
      </c>
      <c r="AA533" s="121">
        <f t="shared" ref="AA533:AA534" si="201">SUM(B533:Z533)</f>
        <v>0</v>
      </c>
      <c r="AB533" s="120" t="s">
        <v>66</v>
      </c>
      <c r="AC533" s="119"/>
    </row>
    <row r="534" ht="15.75" customHeight="1">
      <c r="A534" s="97" t="s">
        <v>49</v>
      </c>
      <c r="B534" s="98">
        <f t="shared" ref="B534:Z534" si="200">B25+B48+B71+B94+B117+B140+B163+B186+B209+B232+B255+B278+B301+B324+B347+B370+B393+B416+B439+B462+B485+B508</f>
        <v>0</v>
      </c>
      <c r="C534" s="98">
        <f t="shared" si="200"/>
        <v>0</v>
      </c>
      <c r="D534" s="98">
        <f t="shared" si="200"/>
        <v>0</v>
      </c>
      <c r="E534" s="98">
        <f t="shared" si="200"/>
        <v>0</v>
      </c>
      <c r="F534" s="98">
        <f t="shared" si="200"/>
        <v>0</v>
      </c>
      <c r="G534" s="98">
        <f t="shared" si="200"/>
        <v>0</v>
      </c>
      <c r="H534" s="98">
        <f t="shared" si="200"/>
        <v>0</v>
      </c>
      <c r="I534" s="98">
        <f t="shared" si="200"/>
        <v>0</v>
      </c>
      <c r="J534" s="98">
        <f t="shared" si="200"/>
        <v>0</v>
      </c>
      <c r="K534" s="98">
        <f t="shared" si="200"/>
        <v>0</v>
      </c>
      <c r="L534" s="98">
        <f t="shared" si="200"/>
        <v>0</v>
      </c>
      <c r="M534" s="98">
        <f t="shared" si="200"/>
        <v>0</v>
      </c>
      <c r="N534" s="98">
        <f t="shared" si="200"/>
        <v>0</v>
      </c>
      <c r="O534" s="98">
        <f t="shared" si="200"/>
        <v>0</v>
      </c>
      <c r="P534" s="98">
        <f t="shared" si="200"/>
        <v>0</v>
      </c>
      <c r="Q534" s="98">
        <f t="shared" si="200"/>
        <v>0</v>
      </c>
      <c r="R534" s="98">
        <f t="shared" si="200"/>
        <v>0</v>
      </c>
      <c r="S534" s="98">
        <f t="shared" si="200"/>
        <v>0</v>
      </c>
      <c r="T534" s="98">
        <f t="shared" si="200"/>
        <v>0</v>
      </c>
      <c r="U534" s="98">
        <f t="shared" si="200"/>
        <v>0</v>
      </c>
      <c r="V534" s="98">
        <f t="shared" si="200"/>
        <v>0</v>
      </c>
      <c r="W534" s="98">
        <f t="shared" si="200"/>
        <v>0</v>
      </c>
      <c r="X534" s="98">
        <f t="shared" si="200"/>
        <v>0</v>
      </c>
      <c r="Y534" s="98">
        <f t="shared" si="200"/>
        <v>0</v>
      </c>
      <c r="Z534" s="98">
        <f t="shared" si="200"/>
        <v>0</v>
      </c>
      <c r="AA534" s="121">
        <f t="shared" si="201"/>
        <v>0</v>
      </c>
      <c r="AB534" s="120" t="s">
        <v>67</v>
      </c>
      <c r="AC534" s="119"/>
    </row>
    <row r="535" ht="15.75" customHeight="1">
      <c r="A535" s="122" t="s">
        <v>62</v>
      </c>
      <c r="B535" s="123">
        <f t="shared" ref="B535:Z535" si="202">sum(B26,B49,B72,B95,B118,B141,B164,B187,B210,B233,B256,B279,B302,B325,B348,B371,B394,B417,B440,B463,B486,B509)</f>
        <v>0</v>
      </c>
      <c r="C535" s="123">
        <f t="shared" si="202"/>
        <v>0</v>
      </c>
      <c r="D535" s="123">
        <f t="shared" si="202"/>
        <v>0</v>
      </c>
      <c r="E535" s="123">
        <f t="shared" si="202"/>
        <v>0</v>
      </c>
      <c r="F535" s="123">
        <f t="shared" si="202"/>
        <v>0</v>
      </c>
      <c r="G535" s="123">
        <f t="shared" si="202"/>
        <v>0</v>
      </c>
      <c r="H535" s="123">
        <f t="shared" si="202"/>
        <v>0</v>
      </c>
      <c r="I535" s="123">
        <f t="shared" si="202"/>
        <v>0</v>
      </c>
      <c r="J535" s="123">
        <f t="shared" si="202"/>
        <v>0</v>
      </c>
      <c r="K535" s="123">
        <f t="shared" si="202"/>
        <v>0</v>
      </c>
      <c r="L535" s="123">
        <f t="shared" si="202"/>
        <v>0</v>
      </c>
      <c r="M535" s="123">
        <f t="shared" si="202"/>
        <v>0</v>
      </c>
      <c r="N535" s="123">
        <f t="shared" si="202"/>
        <v>0</v>
      </c>
      <c r="O535" s="123">
        <f t="shared" si="202"/>
        <v>0</v>
      </c>
      <c r="P535" s="123">
        <f t="shared" si="202"/>
        <v>0</v>
      </c>
      <c r="Q535" s="123">
        <f t="shared" si="202"/>
        <v>0</v>
      </c>
      <c r="R535" s="123">
        <f t="shared" si="202"/>
        <v>0</v>
      </c>
      <c r="S535" s="123">
        <f t="shared" si="202"/>
        <v>0</v>
      </c>
      <c r="T535" s="123">
        <f t="shared" si="202"/>
        <v>0</v>
      </c>
      <c r="U535" s="123">
        <f t="shared" si="202"/>
        <v>0</v>
      </c>
      <c r="V535" s="123">
        <f t="shared" si="202"/>
        <v>0</v>
      </c>
      <c r="W535" s="123">
        <f t="shared" si="202"/>
        <v>0</v>
      </c>
      <c r="X535" s="123">
        <f t="shared" si="202"/>
        <v>0</v>
      </c>
      <c r="Y535" s="123">
        <f t="shared" si="202"/>
        <v>0</v>
      </c>
      <c r="Z535" s="123">
        <f t="shared" si="202"/>
        <v>0</v>
      </c>
      <c r="AA535" s="124"/>
      <c r="AB535" s="124"/>
      <c r="AC535" s="122"/>
    </row>
    <row r="536" ht="15.75" customHeight="1">
      <c r="A536" s="106" t="s">
        <v>50</v>
      </c>
      <c r="B536" s="107" t="str">
        <f t="shared" ref="B536:Z536" si="203">B535/count(B26,B49,B72,B95,B118,B141,B164,B187,B210,B233,B256,B279,B302,B325,B348,B371,B394,B417,B440,B463,B486,B509)</f>
        <v>#DIV/0!</v>
      </c>
      <c r="C536" s="107" t="str">
        <f t="shared" si="203"/>
        <v>#DIV/0!</v>
      </c>
      <c r="D536" s="107" t="str">
        <f t="shared" si="203"/>
        <v>#DIV/0!</v>
      </c>
      <c r="E536" s="107" t="str">
        <f t="shared" si="203"/>
        <v>#DIV/0!</v>
      </c>
      <c r="F536" s="107" t="str">
        <f t="shared" si="203"/>
        <v>#DIV/0!</v>
      </c>
      <c r="G536" s="107" t="str">
        <f t="shared" si="203"/>
        <v>#DIV/0!</v>
      </c>
      <c r="H536" s="107" t="str">
        <f t="shared" si="203"/>
        <v>#DIV/0!</v>
      </c>
      <c r="I536" s="107" t="str">
        <f t="shared" si="203"/>
        <v>#DIV/0!</v>
      </c>
      <c r="J536" s="107" t="str">
        <f t="shared" si="203"/>
        <v>#DIV/0!</v>
      </c>
      <c r="K536" s="107" t="str">
        <f t="shared" si="203"/>
        <v>#DIV/0!</v>
      </c>
      <c r="L536" s="107" t="str">
        <f t="shared" si="203"/>
        <v>#DIV/0!</v>
      </c>
      <c r="M536" s="107" t="str">
        <f t="shared" si="203"/>
        <v>#DIV/0!</v>
      </c>
      <c r="N536" s="107" t="str">
        <f t="shared" si="203"/>
        <v>#DIV/0!</v>
      </c>
      <c r="O536" s="107" t="str">
        <f t="shared" si="203"/>
        <v>#DIV/0!</v>
      </c>
      <c r="P536" s="107" t="str">
        <f t="shared" si="203"/>
        <v>#DIV/0!</v>
      </c>
      <c r="Q536" s="107" t="str">
        <f t="shared" si="203"/>
        <v>#DIV/0!</v>
      </c>
      <c r="R536" s="107" t="str">
        <f t="shared" si="203"/>
        <v>#DIV/0!</v>
      </c>
      <c r="S536" s="107" t="str">
        <f t="shared" si="203"/>
        <v>#DIV/0!</v>
      </c>
      <c r="T536" s="107" t="str">
        <f t="shared" si="203"/>
        <v>#DIV/0!</v>
      </c>
      <c r="U536" s="107" t="str">
        <f t="shared" si="203"/>
        <v>#DIV/0!</v>
      </c>
      <c r="V536" s="107" t="str">
        <f t="shared" si="203"/>
        <v>#DIV/0!</v>
      </c>
      <c r="W536" s="107" t="str">
        <f t="shared" si="203"/>
        <v>#DIV/0!</v>
      </c>
      <c r="X536" s="107" t="str">
        <f t="shared" si="203"/>
        <v>#DIV/0!</v>
      </c>
      <c r="Y536" s="107" t="str">
        <f t="shared" si="203"/>
        <v>#DIV/0!</v>
      </c>
      <c r="Z536" s="107" t="str">
        <f t="shared" si="203"/>
        <v>#DIV/0!</v>
      </c>
      <c r="AA536" s="125" t="str">
        <f>round(AVERAGEif(B536:Z536, "&gt;0"),0)</f>
        <v>#DIV/0!</v>
      </c>
      <c r="AB536" s="126" t="s">
        <v>63</v>
      </c>
      <c r="AC536" s="127"/>
    </row>
  </sheetData>
  <mergeCells count="78">
    <mergeCell ref="A222:Z222"/>
    <mergeCell ref="A226:Z226"/>
    <mergeCell ref="A230:Z230"/>
    <mergeCell ref="A245:Z245"/>
    <mergeCell ref="A249:Z249"/>
    <mergeCell ref="A253:Z253"/>
    <mergeCell ref="A268:Z268"/>
    <mergeCell ref="A272:Z272"/>
    <mergeCell ref="A276:Z276"/>
    <mergeCell ref="A291:Z291"/>
    <mergeCell ref="A295:Z295"/>
    <mergeCell ref="A299:Z299"/>
    <mergeCell ref="A314:Z314"/>
    <mergeCell ref="A318:Z318"/>
    <mergeCell ref="A322:Z322"/>
    <mergeCell ref="A337:Z337"/>
    <mergeCell ref="A341:Z341"/>
    <mergeCell ref="A345:Z345"/>
    <mergeCell ref="A360:Z360"/>
    <mergeCell ref="A364:Z364"/>
    <mergeCell ref="A368:Z368"/>
    <mergeCell ref="A383:Z383"/>
    <mergeCell ref="A387:Z387"/>
    <mergeCell ref="A391:Z391"/>
    <mergeCell ref="A406:Z406"/>
    <mergeCell ref="A410:Z410"/>
    <mergeCell ref="A414:Z414"/>
    <mergeCell ref="A429:Z429"/>
    <mergeCell ref="A483:Z483"/>
    <mergeCell ref="A498:Z498"/>
    <mergeCell ref="A502:Z502"/>
    <mergeCell ref="A506:Z506"/>
    <mergeCell ref="A433:Z433"/>
    <mergeCell ref="A437:Z437"/>
    <mergeCell ref="A452:Z452"/>
    <mergeCell ref="A456:Z456"/>
    <mergeCell ref="A460:Z460"/>
    <mergeCell ref="A475:Z475"/>
    <mergeCell ref="A479:Z479"/>
    <mergeCell ref="Q2:R2"/>
    <mergeCell ref="S2:T2"/>
    <mergeCell ref="U2:V2"/>
    <mergeCell ref="W2:Y2"/>
    <mergeCell ref="A1:AB1"/>
    <mergeCell ref="C2:D2"/>
    <mergeCell ref="E2:F2"/>
    <mergeCell ref="G2:H2"/>
    <mergeCell ref="I2:J2"/>
    <mergeCell ref="K2:L2"/>
    <mergeCell ref="M2:P2"/>
    <mergeCell ref="A4:AB4"/>
    <mergeCell ref="A15:Z15"/>
    <mergeCell ref="A19:Z19"/>
    <mergeCell ref="A23:Z23"/>
    <mergeCell ref="A38:Z38"/>
    <mergeCell ref="A42:Z42"/>
    <mergeCell ref="A46:Z46"/>
    <mergeCell ref="A61:Z61"/>
    <mergeCell ref="A65:Z65"/>
    <mergeCell ref="A69:Z69"/>
    <mergeCell ref="A84:Z84"/>
    <mergeCell ref="A88:Z88"/>
    <mergeCell ref="A92:Z92"/>
    <mergeCell ref="A107:Z107"/>
    <mergeCell ref="A111:Z111"/>
    <mergeCell ref="A115:Z115"/>
    <mergeCell ref="A130:Z130"/>
    <mergeCell ref="A134:Z134"/>
    <mergeCell ref="A138:Z138"/>
    <mergeCell ref="A153:Z153"/>
    <mergeCell ref="A157:Z157"/>
    <mergeCell ref="A161:Z161"/>
    <mergeCell ref="A176:Z176"/>
    <mergeCell ref="A180:Z180"/>
    <mergeCell ref="A184:Z184"/>
    <mergeCell ref="A199:Z199"/>
    <mergeCell ref="A203:Z203"/>
    <mergeCell ref="A207:Z20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5.71"/>
    <col customWidth="1" min="2" max="2" width="8.86"/>
    <col customWidth="1" min="3" max="4" width="5.86"/>
    <col customWidth="1" min="5" max="5" width="9.43"/>
    <col customWidth="1" min="6" max="14" width="5.86"/>
    <col customWidth="1" min="15" max="16" width="8.71"/>
    <col customWidth="1" min="17" max="17" width="6.43"/>
    <col customWidth="1" min="18" max="23" width="5.86"/>
    <col customWidth="1" min="24" max="24" width="12.71"/>
    <col customWidth="1" min="25" max="25" width="5.86"/>
    <col customWidth="1" min="26" max="26" width="9.57"/>
    <col customWidth="1" min="27" max="27" width="8.14"/>
    <col customWidth="1" min="28" max="28" width="9.14"/>
    <col customWidth="1" min="29" max="29" width="28.0"/>
  </cols>
  <sheetData>
    <row r="1">
      <c r="A1" s="1" t="s">
        <v>0</v>
      </c>
      <c r="AC1" s="2"/>
    </row>
    <row r="2">
      <c r="A2" s="3"/>
      <c r="B2" s="4"/>
      <c r="C2" s="5" t="s">
        <v>1</v>
      </c>
      <c r="D2" s="6"/>
      <c r="E2" s="5" t="s">
        <v>2</v>
      </c>
      <c r="F2" s="6"/>
      <c r="G2" s="5" t="s">
        <v>3</v>
      </c>
      <c r="H2" s="6"/>
      <c r="I2" s="5" t="s">
        <v>4</v>
      </c>
      <c r="J2" s="6"/>
      <c r="K2" s="5" t="s">
        <v>5</v>
      </c>
      <c r="L2" s="6"/>
      <c r="M2" s="5" t="s">
        <v>6</v>
      </c>
      <c r="N2" s="7"/>
      <c r="O2" s="7"/>
      <c r="P2" s="6"/>
      <c r="Q2" s="5" t="s">
        <v>7</v>
      </c>
      <c r="R2" s="6"/>
      <c r="S2" s="5" t="s">
        <v>8</v>
      </c>
      <c r="T2" s="6"/>
      <c r="U2" s="5" t="s">
        <v>9</v>
      </c>
      <c r="V2" s="6"/>
      <c r="W2" s="5" t="s">
        <v>1</v>
      </c>
      <c r="X2" s="7"/>
      <c r="Y2" s="6"/>
      <c r="Z2" s="8"/>
      <c r="AA2" s="3"/>
      <c r="AB2" s="3"/>
      <c r="AC2" s="9"/>
    </row>
    <row r="3">
      <c r="A3" s="3"/>
      <c r="B3" s="10" t="s">
        <v>10</v>
      </c>
      <c r="C3" s="10" t="s">
        <v>11</v>
      </c>
      <c r="D3" s="11" t="s">
        <v>12</v>
      </c>
      <c r="E3" s="10" t="s">
        <v>13</v>
      </c>
      <c r="F3" s="10" t="s">
        <v>14</v>
      </c>
      <c r="G3" s="10" t="s">
        <v>15</v>
      </c>
      <c r="H3" s="10" t="s">
        <v>16</v>
      </c>
      <c r="I3" s="10" t="s">
        <v>17</v>
      </c>
      <c r="J3" s="10" t="s">
        <v>18</v>
      </c>
      <c r="K3" s="10" t="s">
        <v>19</v>
      </c>
      <c r="L3" s="10" t="s">
        <v>20</v>
      </c>
      <c r="M3" s="10" t="s">
        <v>21</v>
      </c>
      <c r="N3" s="10" t="s">
        <v>22</v>
      </c>
      <c r="O3" s="10" t="s">
        <v>23</v>
      </c>
      <c r="P3" s="10" t="s">
        <v>24</v>
      </c>
      <c r="Q3" s="10" t="s">
        <v>25</v>
      </c>
      <c r="R3" s="10" t="s">
        <v>26</v>
      </c>
      <c r="S3" s="10" t="s">
        <v>27</v>
      </c>
      <c r="T3" s="10" t="s">
        <v>28</v>
      </c>
      <c r="U3" s="10" t="s">
        <v>29</v>
      </c>
      <c r="V3" s="10" t="s">
        <v>30</v>
      </c>
      <c r="W3" s="10" t="s">
        <v>31</v>
      </c>
      <c r="X3" s="10" t="s">
        <v>32</v>
      </c>
      <c r="Y3" s="10" t="s">
        <v>33</v>
      </c>
      <c r="Z3" s="10" t="s">
        <v>34</v>
      </c>
      <c r="AA3" s="3"/>
      <c r="AB3" s="3"/>
      <c r="AC3" s="9"/>
    </row>
    <row r="4">
      <c r="A4" s="1" t="s">
        <v>68</v>
      </c>
      <c r="AC4" s="12" t="s">
        <v>36</v>
      </c>
    </row>
    <row r="5">
      <c r="A5" s="71" t="s">
        <v>54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5" t="s">
        <v>37</v>
      </c>
      <c r="AB5" s="16" t="s">
        <v>38</v>
      </c>
      <c r="AC5" s="2"/>
    </row>
    <row r="6">
      <c r="A6" s="17" t="s">
        <v>39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20">
        <f t="shared" ref="AA6:AA10" si="1">SUM(B6:Z6)</f>
        <v>0</v>
      </c>
      <c r="AB6" s="21" t="str">
        <f t="shared" ref="AB6:AB9" si="2">AA6/(COUNT(B6:Z6)*1)</f>
        <v>#DIV/0!</v>
      </c>
      <c r="AC6" s="2"/>
    </row>
    <row r="7">
      <c r="A7" s="17" t="s">
        <v>40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20">
        <f t="shared" si="1"/>
        <v>0</v>
      </c>
      <c r="AB7" s="21" t="str">
        <f t="shared" si="2"/>
        <v>#DIV/0!</v>
      </c>
      <c r="AC7" s="2"/>
    </row>
    <row r="8">
      <c r="A8" s="17" t="s">
        <v>41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20">
        <f t="shared" si="1"/>
        <v>0</v>
      </c>
      <c r="AB8" s="21" t="str">
        <f t="shared" si="2"/>
        <v>#DIV/0!</v>
      </c>
      <c r="AC8" s="2"/>
    </row>
    <row r="9">
      <c r="A9" s="17" t="s">
        <v>42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20">
        <f t="shared" si="1"/>
        <v>0</v>
      </c>
      <c r="AB9" s="21" t="str">
        <f t="shared" si="2"/>
        <v>#DIV/0!</v>
      </c>
      <c r="AC9" s="2"/>
    </row>
    <row r="10">
      <c r="A10" s="17" t="s">
        <v>43</v>
      </c>
      <c r="B10" s="22">
        <f t="shared" ref="B10:Z10" si="3">SUM(B6:B9)</f>
        <v>0</v>
      </c>
      <c r="C10" s="22">
        <f t="shared" si="3"/>
        <v>0</v>
      </c>
      <c r="D10" s="22">
        <f t="shared" si="3"/>
        <v>0</v>
      </c>
      <c r="E10" s="22">
        <f t="shared" si="3"/>
        <v>0</v>
      </c>
      <c r="F10" s="22">
        <f t="shared" si="3"/>
        <v>0</v>
      </c>
      <c r="G10" s="22">
        <f t="shared" si="3"/>
        <v>0</v>
      </c>
      <c r="H10" s="22">
        <f t="shared" si="3"/>
        <v>0</v>
      </c>
      <c r="I10" s="22">
        <f t="shared" si="3"/>
        <v>0</v>
      </c>
      <c r="J10" s="22">
        <f t="shared" si="3"/>
        <v>0</v>
      </c>
      <c r="K10" s="22">
        <f t="shared" si="3"/>
        <v>0</v>
      </c>
      <c r="L10" s="22">
        <f t="shared" si="3"/>
        <v>0</v>
      </c>
      <c r="M10" s="22">
        <f t="shared" si="3"/>
        <v>0</v>
      </c>
      <c r="N10" s="22">
        <f t="shared" si="3"/>
        <v>0</v>
      </c>
      <c r="O10" s="22">
        <f t="shared" si="3"/>
        <v>0</v>
      </c>
      <c r="P10" s="22">
        <f t="shared" si="3"/>
        <v>0</v>
      </c>
      <c r="Q10" s="22">
        <f t="shared" si="3"/>
        <v>0</v>
      </c>
      <c r="R10" s="22">
        <f t="shared" si="3"/>
        <v>0</v>
      </c>
      <c r="S10" s="22">
        <f t="shared" si="3"/>
        <v>0</v>
      </c>
      <c r="T10" s="22">
        <f t="shared" si="3"/>
        <v>0</v>
      </c>
      <c r="U10" s="22">
        <f t="shared" si="3"/>
        <v>0</v>
      </c>
      <c r="V10" s="22">
        <f t="shared" si="3"/>
        <v>0</v>
      </c>
      <c r="W10" s="22">
        <f t="shared" si="3"/>
        <v>0</v>
      </c>
      <c r="X10" s="22">
        <f t="shared" si="3"/>
        <v>0</v>
      </c>
      <c r="Y10" s="22">
        <f t="shared" si="3"/>
        <v>0</v>
      </c>
      <c r="Z10" s="22">
        <f t="shared" si="3"/>
        <v>0</v>
      </c>
      <c r="AA10" s="20">
        <f t="shared" si="1"/>
        <v>0</v>
      </c>
      <c r="AB10" s="23"/>
      <c r="AC10" s="2"/>
    </row>
    <row r="11">
      <c r="A11" s="17" t="s">
        <v>38</v>
      </c>
      <c r="B11" s="24" t="str">
        <f t="shared" ref="B11:Z11" si="4">B10/(COUNT(B6:B9)*1)</f>
        <v>#DIV/0!</v>
      </c>
      <c r="C11" s="24" t="str">
        <f t="shared" si="4"/>
        <v>#DIV/0!</v>
      </c>
      <c r="D11" s="24" t="str">
        <f t="shared" si="4"/>
        <v>#DIV/0!</v>
      </c>
      <c r="E11" s="24" t="str">
        <f t="shared" si="4"/>
        <v>#DIV/0!</v>
      </c>
      <c r="F11" s="24" t="str">
        <f t="shared" si="4"/>
        <v>#DIV/0!</v>
      </c>
      <c r="G11" s="24" t="str">
        <f t="shared" si="4"/>
        <v>#DIV/0!</v>
      </c>
      <c r="H11" s="24" t="str">
        <f t="shared" si="4"/>
        <v>#DIV/0!</v>
      </c>
      <c r="I11" s="24" t="str">
        <f t="shared" si="4"/>
        <v>#DIV/0!</v>
      </c>
      <c r="J11" s="24" t="str">
        <f t="shared" si="4"/>
        <v>#DIV/0!</v>
      </c>
      <c r="K11" s="24" t="str">
        <f t="shared" si="4"/>
        <v>#DIV/0!</v>
      </c>
      <c r="L11" s="24" t="str">
        <f t="shared" si="4"/>
        <v>#DIV/0!</v>
      </c>
      <c r="M11" s="24" t="str">
        <f t="shared" si="4"/>
        <v>#DIV/0!</v>
      </c>
      <c r="N11" s="24" t="str">
        <f t="shared" si="4"/>
        <v>#DIV/0!</v>
      </c>
      <c r="O11" s="24" t="str">
        <f t="shared" si="4"/>
        <v>#DIV/0!</v>
      </c>
      <c r="P11" s="24" t="str">
        <f t="shared" si="4"/>
        <v>#DIV/0!</v>
      </c>
      <c r="Q11" s="24" t="str">
        <f t="shared" si="4"/>
        <v>#DIV/0!</v>
      </c>
      <c r="R11" s="24" t="str">
        <f t="shared" si="4"/>
        <v>#DIV/0!</v>
      </c>
      <c r="S11" s="24" t="str">
        <f t="shared" si="4"/>
        <v>#DIV/0!</v>
      </c>
      <c r="T11" s="24" t="str">
        <f t="shared" si="4"/>
        <v>#DIV/0!</v>
      </c>
      <c r="U11" s="24" t="str">
        <f t="shared" si="4"/>
        <v>#DIV/0!</v>
      </c>
      <c r="V11" s="24" t="str">
        <f t="shared" si="4"/>
        <v>#DIV/0!</v>
      </c>
      <c r="W11" s="24" t="str">
        <f t="shared" si="4"/>
        <v>#DIV/0!</v>
      </c>
      <c r="X11" s="24" t="str">
        <f t="shared" si="4"/>
        <v>#DIV/0!</v>
      </c>
      <c r="Y11" s="24" t="str">
        <f t="shared" si="4"/>
        <v>#DIV/0!</v>
      </c>
      <c r="Z11" s="24" t="str">
        <f t="shared" si="4"/>
        <v>#DIV/0!</v>
      </c>
      <c r="AA11" s="25"/>
      <c r="AB11" s="26" t="str">
        <f>SUM(AB6:AB9)/4</f>
        <v>#DIV/0!</v>
      </c>
      <c r="AC11" s="2"/>
    </row>
    <row r="12">
      <c r="A12" s="27" t="s">
        <v>44</v>
      </c>
      <c r="B12" s="28"/>
      <c r="C12" s="29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30">
        <f t="shared" ref="AA12:AA14" si="5">SUM(B12:Z12)</f>
        <v>0</v>
      </c>
      <c r="AB12" s="31"/>
      <c r="AC12" s="2"/>
    </row>
    <row r="13">
      <c r="A13" s="32" t="s">
        <v>45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28"/>
      <c r="W13" s="28"/>
      <c r="X13" s="28"/>
      <c r="Y13" s="28"/>
      <c r="Z13" s="28"/>
      <c r="AA13" s="30">
        <f t="shared" si="5"/>
        <v>0</v>
      </c>
      <c r="AB13" s="31"/>
      <c r="AC13" s="9"/>
    </row>
    <row r="14">
      <c r="A14" s="34" t="s">
        <v>46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28"/>
      <c r="W14" s="28"/>
      <c r="X14" s="28"/>
      <c r="Y14" s="28"/>
      <c r="Z14" s="28"/>
      <c r="AA14" s="30">
        <f t="shared" si="5"/>
        <v>0</v>
      </c>
      <c r="AB14" s="31"/>
      <c r="AC14" s="9"/>
    </row>
    <row r="15">
      <c r="A15" s="35" t="s">
        <v>47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7"/>
      <c r="AA15" s="38"/>
      <c r="AB15" s="39"/>
      <c r="AC15" s="2"/>
    </row>
    <row r="16">
      <c r="A16" s="40" t="s">
        <v>48</v>
      </c>
      <c r="B16" s="41"/>
      <c r="C16" s="42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3"/>
      <c r="W16" s="43"/>
      <c r="X16" s="43"/>
      <c r="Y16" s="43"/>
      <c r="Z16" s="43"/>
      <c r="AA16" s="44">
        <f t="shared" ref="AA16:AA17" si="6">SUM(B16:Z16)</f>
        <v>0</v>
      </c>
      <c r="AB16" s="31"/>
      <c r="AC16" s="2"/>
    </row>
    <row r="17">
      <c r="A17" s="40" t="s">
        <v>49</v>
      </c>
      <c r="B17" s="41"/>
      <c r="C17" s="42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3"/>
      <c r="W17" s="43"/>
      <c r="X17" s="43"/>
      <c r="Y17" s="43"/>
      <c r="Z17" s="43"/>
      <c r="AA17" s="44">
        <f t="shared" si="6"/>
        <v>0</v>
      </c>
      <c r="AB17" s="31"/>
      <c r="AC17" s="2"/>
    </row>
    <row r="18">
      <c r="A18" s="40" t="s">
        <v>50</v>
      </c>
      <c r="B18" s="42"/>
      <c r="C18" s="42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3"/>
      <c r="W18" s="43"/>
      <c r="X18" s="43"/>
      <c r="Y18" s="43"/>
      <c r="Z18" s="43"/>
      <c r="AA18" s="44" t="str">
        <f>AVERAGE(B18:Z18)</f>
        <v>#DIV/0!</v>
      </c>
      <c r="AB18" s="31"/>
      <c r="AC18" s="2"/>
    </row>
    <row r="19">
      <c r="A19" s="45" t="s">
        <v>51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7"/>
      <c r="AA19" s="46"/>
      <c r="AB19" s="39"/>
      <c r="AC19" s="2"/>
    </row>
    <row r="20">
      <c r="A20" s="47" t="s">
        <v>48</v>
      </c>
      <c r="B20" s="48"/>
      <c r="C20" s="49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50"/>
      <c r="W20" s="50"/>
      <c r="X20" s="50"/>
      <c r="Y20" s="50"/>
      <c r="Z20" s="50"/>
      <c r="AA20" s="51">
        <f t="shared" ref="AA20:AA21" si="7">SUM(B20:Z20)</f>
        <v>0</v>
      </c>
      <c r="AB20" s="31"/>
      <c r="AC20" s="2"/>
    </row>
    <row r="21">
      <c r="A21" s="47" t="s">
        <v>49</v>
      </c>
      <c r="B21" s="48"/>
      <c r="C21" s="49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50"/>
      <c r="W21" s="50"/>
      <c r="X21" s="50"/>
      <c r="Y21" s="50"/>
      <c r="Z21" s="50"/>
      <c r="AA21" s="51">
        <f t="shared" si="7"/>
        <v>0</v>
      </c>
      <c r="AB21" s="31"/>
      <c r="AC21" s="2"/>
    </row>
    <row r="22">
      <c r="A22" s="47" t="s">
        <v>52</v>
      </c>
      <c r="B22" s="49"/>
      <c r="C22" s="49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50"/>
      <c r="W22" s="50"/>
      <c r="X22" s="50"/>
      <c r="Y22" s="50"/>
      <c r="Z22" s="50"/>
      <c r="AA22" s="51" t="str">
        <f>AVERAGE(B22:Z22)</f>
        <v>#DIV/0!</v>
      </c>
      <c r="AB22" s="31"/>
      <c r="AC22" s="2"/>
    </row>
    <row r="23">
      <c r="A23" s="52" t="s">
        <v>53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7"/>
      <c r="AA23" s="38"/>
      <c r="AB23" s="39"/>
      <c r="AC23" s="2"/>
    </row>
    <row r="24">
      <c r="A24" s="40" t="s">
        <v>48</v>
      </c>
      <c r="B24" s="41"/>
      <c r="C24" s="42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3"/>
      <c r="W24" s="43"/>
      <c r="X24" s="43"/>
      <c r="Y24" s="43"/>
      <c r="Z24" s="43"/>
      <c r="AA24" s="44">
        <f t="shared" ref="AA24:AA25" si="8">SUM(B24:Z24)</f>
        <v>0</v>
      </c>
      <c r="AB24" s="31"/>
      <c r="AC24" s="2"/>
    </row>
    <row r="25">
      <c r="A25" s="40" t="s">
        <v>49</v>
      </c>
      <c r="B25" s="41"/>
      <c r="C25" s="42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3"/>
      <c r="W25" s="43"/>
      <c r="X25" s="43"/>
      <c r="Y25" s="43"/>
      <c r="Z25" s="43"/>
      <c r="AA25" s="44">
        <f t="shared" si="8"/>
        <v>0</v>
      </c>
      <c r="AB25" s="31"/>
      <c r="AC25" s="2"/>
    </row>
    <row r="26">
      <c r="A26" s="53" t="s">
        <v>50</v>
      </c>
      <c r="B26" s="54"/>
      <c r="C26" s="54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6"/>
      <c r="W26" s="56"/>
      <c r="X26" s="56"/>
      <c r="Y26" s="56"/>
      <c r="Z26" s="56"/>
      <c r="AA26" s="57" t="str">
        <f>AVERAGE(B26:Z26)</f>
        <v>#DIV/0!</v>
      </c>
      <c r="AB26" s="58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59"/>
      <c r="AB27" s="59"/>
      <c r="AC27" s="2"/>
    </row>
    <row r="28">
      <c r="A28" s="71" t="s">
        <v>54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 t="s">
        <v>37</v>
      </c>
      <c r="AB28" s="16" t="s">
        <v>38</v>
      </c>
      <c r="AC28" s="2"/>
    </row>
    <row r="29">
      <c r="A29" s="17" t="s">
        <v>39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20">
        <f t="shared" ref="AA29:AA33" si="9">SUM(B29:Z29)</f>
        <v>0</v>
      </c>
      <c r="AB29" s="21" t="str">
        <f t="shared" ref="AB29:AB32" si="10">AA29/(COUNT(B29:Z29)*1)</f>
        <v>#DIV/0!</v>
      </c>
      <c r="AC29" s="2"/>
    </row>
    <row r="30">
      <c r="A30" s="17" t="s">
        <v>40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20">
        <f t="shared" si="9"/>
        <v>0</v>
      </c>
      <c r="AB30" s="21" t="str">
        <f t="shared" si="10"/>
        <v>#DIV/0!</v>
      </c>
      <c r="AC30" s="2"/>
    </row>
    <row r="31">
      <c r="A31" s="17" t="s">
        <v>41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20">
        <f t="shared" si="9"/>
        <v>0</v>
      </c>
      <c r="AB31" s="21" t="str">
        <f t="shared" si="10"/>
        <v>#DIV/0!</v>
      </c>
      <c r="AC31" s="2"/>
    </row>
    <row r="32">
      <c r="A32" s="17" t="s">
        <v>42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20">
        <f t="shared" si="9"/>
        <v>0</v>
      </c>
      <c r="AB32" s="21" t="str">
        <f t="shared" si="10"/>
        <v>#DIV/0!</v>
      </c>
      <c r="AC32" s="2"/>
    </row>
    <row r="33">
      <c r="A33" s="17" t="s">
        <v>43</v>
      </c>
      <c r="B33" s="22">
        <f t="shared" ref="B33:Z33" si="11">SUM(B29:B32)</f>
        <v>0</v>
      </c>
      <c r="C33" s="22">
        <f t="shared" si="11"/>
        <v>0</v>
      </c>
      <c r="D33" s="22">
        <f t="shared" si="11"/>
        <v>0</v>
      </c>
      <c r="E33" s="22">
        <f t="shared" si="11"/>
        <v>0</v>
      </c>
      <c r="F33" s="22">
        <f t="shared" si="11"/>
        <v>0</v>
      </c>
      <c r="G33" s="22">
        <f t="shared" si="11"/>
        <v>0</v>
      </c>
      <c r="H33" s="22">
        <f t="shared" si="11"/>
        <v>0</v>
      </c>
      <c r="I33" s="22">
        <f t="shared" si="11"/>
        <v>0</v>
      </c>
      <c r="J33" s="22">
        <f t="shared" si="11"/>
        <v>0</v>
      </c>
      <c r="K33" s="22">
        <f t="shared" si="11"/>
        <v>0</v>
      </c>
      <c r="L33" s="22">
        <f t="shared" si="11"/>
        <v>0</v>
      </c>
      <c r="M33" s="22">
        <f t="shared" si="11"/>
        <v>0</v>
      </c>
      <c r="N33" s="22">
        <f t="shared" si="11"/>
        <v>0</v>
      </c>
      <c r="O33" s="22">
        <f t="shared" si="11"/>
        <v>0</v>
      </c>
      <c r="P33" s="22">
        <f t="shared" si="11"/>
        <v>0</v>
      </c>
      <c r="Q33" s="22">
        <f t="shared" si="11"/>
        <v>0</v>
      </c>
      <c r="R33" s="22">
        <f t="shared" si="11"/>
        <v>0</v>
      </c>
      <c r="S33" s="22">
        <f t="shared" si="11"/>
        <v>0</v>
      </c>
      <c r="T33" s="22">
        <f t="shared" si="11"/>
        <v>0</v>
      </c>
      <c r="U33" s="22">
        <f t="shared" si="11"/>
        <v>0</v>
      </c>
      <c r="V33" s="22">
        <f t="shared" si="11"/>
        <v>0</v>
      </c>
      <c r="W33" s="22">
        <f t="shared" si="11"/>
        <v>0</v>
      </c>
      <c r="X33" s="22">
        <f t="shared" si="11"/>
        <v>0</v>
      </c>
      <c r="Y33" s="22">
        <f t="shared" si="11"/>
        <v>0</v>
      </c>
      <c r="Z33" s="22">
        <f t="shared" si="11"/>
        <v>0</v>
      </c>
      <c r="AA33" s="20">
        <f t="shared" si="9"/>
        <v>0</v>
      </c>
      <c r="AB33" s="23"/>
      <c r="AC33" s="2"/>
    </row>
    <row r="34">
      <c r="A34" s="17" t="s">
        <v>38</v>
      </c>
      <c r="B34" s="24" t="str">
        <f t="shared" ref="B34:Z34" si="12">B33/(COUNT(B29:B32)*1)</f>
        <v>#DIV/0!</v>
      </c>
      <c r="C34" s="24" t="str">
        <f t="shared" si="12"/>
        <v>#DIV/0!</v>
      </c>
      <c r="D34" s="24" t="str">
        <f t="shared" si="12"/>
        <v>#DIV/0!</v>
      </c>
      <c r="E34" s="24" t="str">
        <f t="shared" si="12"/>
        <v>#DIV/0!</v>
      </c>
      <c r="F34" s="24" t="str">
        <f t="shared" si="12"/>
        <v>#DIV/0!</v>
      </c>
      <c r="G34" s="24" t="str">
        <f t="shared" si="12"/>
        <v>#DIV/0!</v>
      </c>
      <c r="H34" s="24" t="str">
        <f t="shared" si="12"/>
        <v>#DIV/0!</v>
      </c>
      <c r="I34" s="24" t="str">
        <f t="shared" si="12"/>
        <v>#DIV/0!</v>
      </c>
      <c r="J34" s="24" t="str">
        <f t="shared" si="12"/>
        <v>#DIV/0!</v>
      </c>
      <c r="K34" s="24" t="str">
        <f t="shared" si="12"/>
        <v>#DIV/0!</v>
      </c>
      <c r="L34" s="24" t="str">
        <f t="shared" si="12"/>
        <v>#DIV/0!</v>
      </c>
      <c r="M34" s="24" t="str">
        <f t="shared" si="12"/>
        <v>#DIV/0!</v>
      </c>
      <c r="N34" s="24" t="str">
        <f t="shared" si="12"/>
        <v>#DIV/0!</v>
      </c>
      <c r="O34" s="24" t="str">
        <f t="shared" si="12"/>
        <v>#DIV/0!</v>
      </c>
      <c r="P34" s="24" t="str">
        <f t="shared" si="12"/>
        <v>#DIV/0!</v>
      </c>
      <c r="Q34" s="24" t="str">
        <f t="shared" si="12"/>
        <v>#DIV/0!</v>
      </c>
      <c r="R34" s="24" t="str">
        <f t="shared" si="12"/>
        <v>#DIV/0!</v>
      </c>
      <c r="S34" s="24" t="str">
        <f t="shared" si="12"/>
        <v>#DIV/0!</v>
      </c>
      <c r="T34" s="24" t="str">
        <f t="shared" si="12"/>
        <v>#DIV/0!</v>
      </c>
      <c r="U34" s="24" t="str">
        <f t="shared" si="12"/>
        <v>#DIV/0!</v>
      </c>
      <c r="V34" s="24" t="str">
        <f t="shared" si="12"/>
        <v>#DIV/0!</v>
      </c>
      <c r="W34" s="24" t="str">
        <f t="shared" si="12"/>
        <v>#DIV/0!</v>
      </c>
      <c r="X34" s="24" t="str">
        <f t="shared" si="12"/>
        <v>#DIV/0!</v>
      </c>
      <c r="Y34" s="24" t="str">
        <f t="shared" si="12"/>
        <v>#DIV/0!</v>
      </c>
      <c r="Z34" s="24" t="str">
        <f t="shared" si="12"/>
        <v>#DIV/0!</v>
      </c>
      <c r="AA34" s="25"/>
      <c r="AB34" s="26" t="str">
        <f>SUM(AB29:AB32)/4</f>
        <v>#DIV/0!</v>
      </c>
      <c r="AC34" s="2"/>
    </row>
    <row r="35">
      <c r="A35" s="27" t="s">
        <v>44</v>
      </c>
      <c r="B35" s="28"/>
      <c r="C35" s="29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30">
        <f t="shared" ref="AA35:AA37" si="13">SUM(B35:Z35)</f>
        <v>0</v>
      </c>
      <c r="AB35" s="31"/>
      <c r="AC35" s="2"/>
    </row>
    <row r="36">
      <c r="A36" s="32" t="s">
        <v>45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28"/>
      <c r="W36" s="28"/>
      <c r="X36" s="28"/>
      <c r="Y36" s="28"/>
      <c r="Z36" s="28"/>
      <c r="AA36" s="30">
        <f t="shared" si="13"/>
        <v>0</v>
      </c>
      <c r="AB36" s="31"/>
      <c r="AC36" s="9"/>
    </row>
    <row r="37">
      <c r="A37" s="34" t="s">
        <v>46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28"/>
      <c r="W37" s="28"/>
      <c r="X37" s="28"/>
      <c r="Y37" s="28"/>
      <c r="Z37" s="28"/>
      <c r="AA37" s="30">
        <f t="shared" si="13"/>
        <v>0</v>
      </c>
      <c r="AB37" s="31"/>
      <c r="AC37" s="9"/>
    </row>
    <row r="38">
      <c r="A38" s="35" t="s">
        <v>47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7"/>
      <c r="AA38" s="38"/>
      <c r="AB38" s="39"/>
      <c r="AC38" s="2"/>
    </row>
    <row r="39">
      <c r="A39" s="40" t="s">
        <v>48</v>
      </c>
      <c r="B39" s="41"/>
      <c r="C39" s="42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3"/>
      <c r="W39" s="43"/>
      <c r="X39" s="43"/>
      <c r="Y39" s="43"/>
      <c r="Z39" s="43"/>
      <c r="AA39" s="44">
        <f t="shared" ref="AA39:AA40" si="14">SUM(B39:Z39)</f>
        <v>0</v>
      </c>
      <c r="AB39" s="31"/>
      <c r="AC39" s="2"/>
    </row>
    <row r="40">
      <c r="A40" s="40" t="s">
        <v>49</v>
      </c>
      <c r="B40" s="41"/>
      <c r="C40" s="42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3"/>
      <c r="W40" s="43"/>
      <c r="X40" s="43"/>
      <c r="Y40" s="43"/>
      <c r="Z40" s="43"/>
      <c r="AA40" s="44">
        <f t="shared" si="14"/>
        <v>0</v>
      </c>
      <c r="AB40" s="31"/>
      <c r="AC40" s="2"/>
    </row>
    <row r="41">
      <c r="A41" s="40" t="s">
        <v>50</v>
      </c>
      <c r="B41" s="42"/>
      <c r="C41" s="42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3"/>
      <c r="W41" s="43"/>
      <c r="X41" s="43"/>
      <c r="Y41" s="43"/>
      <c r="Z41" s="43"/>
      <c r="AA41" s="44" t="str">
        <f>AVERAGE(B41:Z41)</f>
        <v>#DIV/0!</v>
      </c>
      <c r="AB41" s="31"/>
      <c r="AC41" s="2"/>
    </row>
    <row r="42">
      <c r="A42" s="45" t="s">
        <v>51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7"/>
      <c r="AA42" s="46"/>
      <c r="AB42" s="39"/>
      <c r="AC42" s="2"/>
    </row>
    <row r="43">
      <c r="A43" s="47" t="s">
        <v>48</v>
      </c>
      <c r="B43" s="48"/>
      <c r="C43" s="49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50"/>
      <c r="W43" s="50"/>
      <c r="X43" s="50"/>
      <c r="Y43" s="50"/>
      <c r="Z43" s="50"/>
      <c r="AA43" s="51">
        <f t="shared" ref="AA43:AA44" si="15">SUM(B43:Z43)</f>
        <v>0</v>
      </c>
      <c r="AB43" s="31"/>
      <c r="AC43" s="2"/>
    </row>
    <row r="44">
      <c r="A44" s="47" t="s">
        <v>49</v>
      </c>
      <c r="B44" s="48"/>
      <c r="C44" s="49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50"/>
      <c r="W44" s="50"/>
      <c r="X44" s="50"/>
      <c r="Y44" s="50"/>
      <c r="Z44" s="50"/>
      <c r="AA44" s="51">
        <f t="shared" si="15"/>
        <v>0</v>
      </c>
      <c r="AB44" s="31"/>
      <c r="AC44" s="2"/>
    </row>
    <row r="45">
      <c r="A45" s="47" t="s">
        <v>50</v>
      </c>
      <c r="B45" s="49"/>
      <c r="C45" s="49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50"/>
      <c r="W45" s="50"/>
      <c r="X45" s="50"/>
      <c r="Y45" s="50"/>
      <c r="Z45" s="50"/>
      <c r="AA45" s="51" t="str">
        <f>AVERAGE(B45:Z45)</f>
        <v>#DIV/0!</v>
      </c>
      <c r="AB45" s="31"/>
      <c r="AC45" s="2"/>
    </row>
    <row r="46">
      <c r="A46" s="52" t="s">
        <v>53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7"/>
      <c r="AA46" s="38"/>
      <c r="AB46" s="39"/>
      <c r="AC46" s="2"/>
    </row>
    <row r="47">
      <c r="A47" s="40" t="s">
        <v>48</v>
      </c>
      <c r="B47" s="41"/>
      <c r="C47" s="42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3"/>
      <c r="W47" s="43"/>
      <c r="X47" s="43"/>
      <c r="Y47" s="43"/>
      <c r="Z47" s="43"/>
      <c r="AA47" s="44">
        <f t="shared" ref="AA47:AA48" si="16">SUM(B47:Z47)</f>
        <v>0</v>
      </c>
      <c r="AB47" s="31"/>
      <c r="AC47" s="2"/>
    </row>
    <row r="48">
      <c r="A48" s="40" t="s">
        <v>49</v>
      </c>
      <c r="B48" s="41"/>
      <c r="C48" s="42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3"/>
      <c r="W48" s="43"/>
      <c r="X48" s="43"/>
      <c r="Y48" s="43"/>
      <c r="Z48" s="43"/>
      <c r="AA48" s="44">
        <f t="shared" si="16"/>
        <v>0</v>
      </c>
      <c r="AB48" s="31"/>
      <c r="AC48" s="2"/>
    </row>
    <row r="49">
      <c r="A49" s="53" t="s">
        <v>50</v>
      </c>
      <c r="B49" s="54"/>
      <c r="C49" s="54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6"/>
      <c r="W49" s="56"/>
      <c r="X49" s="56"/>
      <c r="Y49" s="56"/>
      <c r="Z49" s="56"/>
      <c r="AA49" s="57" t="str">
        <f>AVERAGE(B49:Z49)</f>
        <v>#DIV/0!</v>
      </c>
      <c r="AB49" s="58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59"/>
      <c r="AB50" s="59"/>
      <c r="AC50" s="2"/>
    </row>
    <row r="51">
      <c r="A51" s="71" t="s">
        <v>54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5" t="s">
        <v>37</v>
      </c>
      <c r="AB51" s="16" t="s">
        <v>38</v>
      </c>
      <c r="AC51" s="2"/>
    </row>
    <row r="52">
      <c r="A52" s="17" t="s">
        <v>39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20">
        <f t="shared" ref="AA52:AA56" si="17">SUM(B52:Z52)</f>
        <v>0</v>
      </c>
      <c r="AB52" s="21" t="str">
        <f t="shared" ref="AB52:AB55" si="18">AA52/(COUNT(B52:Z52)*1)</f>
        <v>#DIV/0!</v>
      </c>
      <c r="AC52" s="2"/>
    </row>
    <row r="53">
      <c r="A53" s="17" t="s">
        <v>40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20">
        <f t="shared" si="17"/>
        <v>0</v>
      </c>
      <c r="AB53" s="21" t="str">
        <f t="shared" si="18"/>
        <v>#DIV/0!</v>
      </c>
      <c r="AC53" s="2"/>
    </row>
    <row r="54">
      <c r="A54" s="17" t="s">
        <v>41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20">
        <f t="shared" si="17"/>
        <v>0</v>
      </c>
      <c r="AB54" s="21" t="str">
        <f t="shared" si="18"/>
        <v>#DIV/0!</v>
      </c>
      <c r="AC54" s="2"/>
    </row>
    <row r="55">
      <c r="A55" s="17" t="s">
        <v>42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20">
        <f t="shared" si="17"/>
        <v>0</v>
      </c>
      <c r="AB55" s="21" t="str">
        <f t="shared" si="18"/>
        <v>#DIV/0!</v>
      </c>
      <c r="AC55" s="2"/>
    </row>
    <row r="56">
      <c r="A56" s="17" t="s">
        <v>43</v>
      </c>
      <c r="B56" s="22">
        <f t="shared" ref="B56:Z56" si="19">SUM(B52:B55)</f>
        <v>0</v>
      </c>
      <c r="C56" s="22">
        <f t="shared" si="19"/>
        <v>0</v>
      </c>
      <c r="D56" s="22">
        <f t="shared" si="19"/>
        <v>0</v>
      </c>
      <c r="E56" s="22">
        <f t="shared" si="19"/>
        <v>0</v>
      </c>
      <c r="F56" s="22">
        <f t="shared" si="19"/>
        <v>0</v>
      </c>
      <c r="G56" s="22">
        <f t="shared" si="19"/>
        <v>0</v>
      </c>
      <c r="H56" s="22">
        <f t="shared" si="19"/>
        <v>0</v>
      </c>
      <c r="I56" s="22">
        <f t="shared" si="19"/>
        <v>0</v>
      </c>
      <c r="J56" s="22">
        <f t="shared" si="19"/>
        <v>0</v>
      </c>
      <c r="K56" s="22">
        <f t="shared" si="19"/>
        <v>0</v>
      </c>
      <c r="L56" s="22">
        <f t="shared" si="19"/>
        <v>0</v>
      </c>
      <c r="M56" s="22">
        <f t="shared" si="19"/>
        <v>0</v>
      </c>
      <c r="N56" s="22">
        <f t="shared" si="19"/>
        <v>0</v>
      </c>
      <c r="O56" s="22">
        <f t="shared" si="19"/>
        <v>0</v>
      </c>
      <c r="P56" s="22">
        <f t="shared" si="19"/>
        <v>0</v>
      </c>
      <c r="Q56" s="22">
        <f t="shared" si="19"/>
        <v>0</v>
      </c>
      <c r="R56" s="22">
        <f t="shared" si="19"/>
        <v>0</v>
      </c>
      <c r="S56" s="22">
        <f t="shared" si="19"/>
        <v>0</v>
      </c>
      <c r="T56" s="22">
        <f t="shared" si="19"/>
        <v>0</v>
      </c>
      <c r="U56" s="22">
        <f t="shared" si="19"/>
        <v>0</v>
      </c>
      <c r="V56" s="22">
        <f t="shared" si="19"/>
        <v>0</v>
      </c>
      <c r="W56" s="22">
        <f t="shared" si="19"/>
        <v>0</v>
      </c>
      <c r="X56" s="22">
        <f t="shared" si="19"/>
        <v>0</v>
      </c>
      <c r="Y56" s="22">
        <f t="shared" si="19"/>
        <v>0</v>
      </c>
      <c r="Z56" s="22">
        <f t="shared" si="19"/>
        <v>0</v>
      </c>
      <c r="AA56" s="20">
        <f t="shared" si="17"/>
        <v>0</v>
      </c>
      <c r="AB56" s="23"/>
      <c r="AC56" s="2"/>
    </row>
    <row r="57">
      <c r="A57" s="17" t="s">
        <v>38</v>
      </c>
      <c r="B57" s="24" t="str">
        <f t="shared" ref="B57:Z57" si="20">B56/(COUNT(B52:B55)*1)</f>
        <v>#DIV/0!</v>
      </c>
      <c r="C57" s="24" t="str">
        <f t="shared" si="20"/>
        <v>#DIV/0!</v>
      </c>
      <c r="D57" s="24" t="str">
        <f t="shared" si="20"/>
        <v>#DIV/0!</v>
      </c>
      <c r="E57" s="24" t="str">
        <f t="shared" si="20"/>
        <v>#DIV/0!</v>
      </c>
      <c r="F57" s="24" t="str">
        <f t="shared" si="20"/>
        <v>#DIV/0!</v>
      </c>
      <c r="G57" s="24" t="str">
        <f t="shared" si="20"/>
        <v>#DIV/0!</v>
      </c>
      <c r="H57" s="24" t="str">
        <f t="shared" si="20"/>
        <v>#DIV/0!</v>
      </c>
      <c r="I57" s="24" t="str">
        <f t="shared" si="20"/>
        <v>#DIV/0!</v>
      </c>
      <c r="J57" s="24" t="str">
        <f t="shared" si="20"/>
        <v>#DIV/0!</v>
      </c>
      <c r="K57" s="24" t="str">
        <f t="shared" si="20"/>
        <v>#DIV/0!</v>
      </c>
      <c r="L57" s="24" t="str">
        <f t="shared" si="20"/>
        <v>#DIV/0!</v>
      </c>
      <c r="M57" s="24" t="str">
        <f t="shared" si="20"/>
        <v>#DIV/0!</v>
      </c>
      <c r="N57" s="24" t="str">
        <f t="shared" si="20"/>
        <v>#DIV/0!</v>
      </c>
      <c r="O57" s="24" t="str">
        <f t="shared" si="20"/>
        <v>#DIV/0!</v>
      </c>
      <c r="P57" s="24" t="str">
        <f t="shared" si="20"/>
        <v>#DIV/0!</v>
      </c>
      <c r="Q57" s="24" t="str">
        <f t="shared" si="20"/>
        <v>#DIV/0!</v>
      </c>
      <c r="R57" s="24" t="str">
        <f t="shared" si="20"/>
        <v>#DIV/0!</v>
      </c>
      <c r="S57" s="24" t="str">
        <f t="shared" si="20"/>
        <v>#DIV/0!</v>
      </c>
      <c r="T57" s="24" t="str">
        <f t="shared" si="20"/>
        <v>#DIV/0!</v>
      </c>
      <c r="U57" s="24" t="str">
        <f t="shared" si="20"/>
        <v>#DIV/0!</v>
      </c>
      <c r="V57" s="24" t="str">
        <f t="shared" si="20"/>
        <v>#DIV/0!</v>
      </c>
      <c r="W57" s="24" t="str">
        <f t="shared" si="20"/>
        <v>#DIV/0!</v>
      </c>
      <c r="X57" s="24" t="str">
        <f t="shared" si="20"/>
        <v>#DIV/0!</v>
      </c>
      <c r="Y57" s="24" t="str">
        <f t="shared" si="20"/>
        <v>#DIV/0!</v>
      </c>
      <c r="Z57" s="24" t="str">
        <f t="shared" si="20"/>
        <v>#DIV/0!</v>
      </c>
      <c r="AA57" s="25"/>
      <c r="AB57" s="26" t="str">
        <f>SUM(AB52:AB55)/4</f>
        <v>#DIV/0!</v>
      </c>
      <c r="AC57" s="2"/>
    </row>
    <row r="58">
      <c r="A58" s="27" t="s">
        <v>44</v>
      </c>
      <c r="B58" s="28"/>
      <c r="C58" s="29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30">
        <f t="shared" ref="AA58:AA60" si="21">SUM(B58:Z58)</f>
        <v>0</v>
      </c>
      <c r="AB58" s="31"/>
      <c r="AC58" s="2"/>
    </row>
    <row r="59">
      <c r="A59" s="32" t="s">
        <v>45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28"/>
      <c r="W59" s="28"/>
      <c r="X59" s="28"/>
      <c r="Y59" s="28"/>
      <c r="Z59" s="28"/>
      <c r="AA59" s="30">
        <f t="shared" si="21"/>
        <v>0</v>
      </c>
      <c r="AB59" s="31"/>
      <c r="AC59" s="9"/>
    </row>
    <row r="60">
      <c r="A60" s="34" t="s">
        <v>46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28"/>
      <c r="W60" s="28"/>
      <c r="X60" s="28"/>
      <c r="Y60" s="28"/>
      <c r="Z60" s="28"/>
      <c r="AA60" s="30">
        <f t="shared" si="21"/>
        <v>0</v>
      </c>
      <c r="AB60" s="31"/>
      <c r="AC60" s="9"/>
    </row>
    <row r="61">
      <c r="A61" s="35" t="s">
        <v>47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7"/>
      <c r="AA61" s="38"/>
      <c r="AB61" s="39"/>
      <c r="AC61" s="2"/>
    </row>
    <row r="62">
      <c r="A62" s="40" t="s">
        <v>48</v>
      </c>
      <c r="B62" s="41"/>
      <c r="C62" s="42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3"/>
      <c r="W62" s="43"/>
      <c r="X62" s="43"/>
      <c r="Y62" s="43"/>
      <c r="Z62" s="43"/>
      <c r="AA62" s="44">
        <f t="shared" ref="AA62:AA63" si="22">SUM(B62:Z62)</f>
        <v>0</v>
      </c>
      <c r="AB62" s="31"/>
      <c r="AC62" s="2"/>
    </row>
    <row r="63">
      <c r="A63" s="40" t="s">
        <v>49</v>
      </c>
      <c r="B63" s="41"/>
      <c r="C63" s="42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3"/>
      <c r="W63" s="43"/>
      <c r="X63" s="43"/>
      <c r="Y63" s="43"/>
      <c r="Z63" s="43"/>
      <c r="AA63" s="44">
        <f t="shared" si="22"/>
        <v>0</v>
      </c>
      <c r="AB63" s="31"/>
      <c r="AC63" s="2"/>
    </row>
    <row r="64">
      <c r="A64" s="40" t="s">
        <v>50</v>
      </c>
      <c r="B64" s="42"/>
      <c r="C64" s="42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3"/>
      <c r="W64" s="43"/>
      <c r="X64" s="43"/>
      <c r="Y64" s="43"/>
      <c r="Z64" s="43"/>
      <c r="AA64" s="44" t="str">
        <f>AVERAGE(B64:Z64)</f>
        <v>#DIV/0!</v>
      </c>
      <c r="AB64" s="31"/>
      <c r="AC64" s="2"/>
    </row>
    <row r="65">
      <c r="A65" s="45" t="s">
        <v>51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7"/>
      <c r="AA65" s="46"/>
      <c r="AB65" s="39"/>
      <c r="AC65" s="2"/>
    </row>
    <row r="66">
      <c r="A66" s="47" t="s">
        <v>48</v>
      </c>
      <c r="B66" s="48"/>
      <c r="C66" s="49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50"/>
      <c r="W66" s="50"/>
      <c r="X66" s="50"/>
      <c r="Y66" s="50"/>
      <c r="Z66" s="50"/>
      <c r="AA66" s="51">
        <f t="shared" ref="AA66:AA67" si="23">SUM(B66:Z66)</f>
        <v>0</v>
      </c>
      <c r="AB66" s="31"/>
      <c r="AC66" s="2"/>
    </row>
    <row r="67">
      <c r="A67" s="47" t="s">
        <v>49</v>
      </c>
      <c r="B67" s="48"/>
      <c r="C67" s="49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50"/>
      <c r="W67" s="50"/>
      <c r="X67" s="50"/>
      <c r="Y67" s="50"/>
      <c r="Z67" s="50"/>
      <c r="AA67" s="51">
        <f t="shared" si="23"/>
        <v>0</v>
      </c>
      <c r="AB67" s="31"/>
      <c r="AC67" s="2"/>
    </row>
    <row r="68">
      <c r="A68" s="47" t="s">
        <v>50</v>
      </c>
      <c r="B68" s="49"/>
      <c r="C68" s="49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50"/>
      <c r="W68" s="50"/>
      <c r="X68" s="50"/>
      <c r="Y68" s="50"/>
      <c r="Z68" s="50"/>
      <c r="AA68" s="51" t="str">
        <f>AVERAGE(B68:Z68)</f>
        <v>#DIV/0!</v>
      </c>
      <c r="AB68" s="31"/>
      <c r="AC68" s="2"/>
    </row>
    <row r="69">
      <c r="A69" s="52" t="s">
        <v>53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7"/>
      <c r="AA69" s="38"/>
      <c r="AB69" s="39"/>
      <c r="AC69" s="2"/>
    </row>
    <row r="70">
      <c r="A70" s="40" t="s">
        <v>48</v>
      </c>
      <c r="B70" s="41"/>
      <c r="C70" s="42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3"/>
      <c r="W70" s="43"/>
      <c r="X70" s="43"/>
      <c r="Y70" s="43"/>
      <c r="Z70" s="43"/>
      <c r="AA70" s="44">
        <f t="shared" ref="AA70:AA71" si="24">SUM(B70:Z70)</f>
        <v>0</v>
      </c>
      <c r="AB70" s="31"/>
      <c r="AC70" s="2"/>
    </row>
    <row r="71">
      <c r="A71" s="40" t="s">
        <v>49</v>
      </c>
      <c r="B71" s="41"/>
      <c r="C71" s="42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3"/>
      <c r="W71" s="43"/>
      <c r="X71" s="43"/>
      <c r="Y71" s="43"/>
      <c r="Z71" s="43"/>
      <c r="AA71" s="44">
        <f t="shared" si="24"/>
        <v>0</v>
      </c>
      <c r="AB71" s="31"/>
      <c r="AC71" s="2"/>
    </row>
    <row r="72">
      <c r="A72" s="53" t="s">
        <v>50</v>
      </c>
      <c r="B72" s="54"/>
      <c r="C72" s="54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6"/>
      <c r="W72" s="56"/>
      <c r="X72" s="56"/>
      <c r="Y72" s="56"/>
      <c r="Z72" s="56"/>
      <c r="AA72" s="57" t="str">
        <f>AVERAGE(B72:Z72)</f>
        <v>#DIV/0!</v>
      </c>
      <c r="AB72" s="58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59"/>
      <c r="AB73" s="59"/>
      <c r="AC73" s="2"/>
    </row>
    <row r="74">
      <c r="A74" s="71" t="s">
        <v>54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5" t="s">
        <v>37</v>
      </c>
      <c r="AB74" s="16" t="s">
        <v>38</v>
      </c>
      <c r="AC74" s="2"/>
    </row>
    <row r="75">
      <c r="A75" s="17" t="s">
        <v>39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20">
        <f t="shared" ref="AA75:AA79" si="25">SUM(B75:Z75)</f>
        <v>0</v>
      </c>
      <c r="AB75" s="21" t="str">
        <f t="shared" ref="AB75:AB78" si="26">AA75/(COUNT(B75:Z75)*1)</f>
        <v>#DIV/0!</v>
      </c>
      <c r="AC75" s="2"/>
    </row>
    <row r="76">
      <c r="A76" s="17" t="s">
        <v>40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20">
        <f t="shared" si="25"/>
        <v>0</v>
      </c>
      <c r="AB76" s="21" t="str">
        <f t="shared" si="26"/>
        <v>#DIV/0!</v>
      </c>
      <c r="AC76" s="2"/>
    </row>
    <row r="77">
      <c r="A77" s="17" t="s">
        <v>41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20">
        <f t="shared" si="25"/>
        <v>0</v>
      </c>
      <c r="AB77" s="21" t="str">
        <f t="shared" si="26"/>
        <v>#DIV/0!</v>
      </c>
      <c r="AC77" s="2"/>
    </row>
    <row r="78">
      <c r="A78" s="17" t="s">
        <v>42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20">
        <f t="shared" si="25"/>
        <v>0</v>
      </c>
      <c r="AB78" s="21" t="str">
        <f t="shared" si="26"/>
        <v>#DIV/0!</v>
      </c>
      <c r="AC78" s="2"/>
    </row>
    <row r="79">
      <c r="A79" s="17" t="s">
        <v>43</v>
      </c>
      <c r="B79" s="22">
        <f t="shared" ref="B79:Z79" si="27">SUM(B75:B78)</f>
        <v>0</v>
      </c>
      <c r="C79" s="22">
        <f t="shared" si="27"/>
        <v>0</v>
      </c>
      <c r="D79" s="22">
        <f t="shared" si="27"/>
        <v>0</v>
      </c>
      <c r="E79" s="22">
        <f t="shared" si="27"/>
        <v>0</v>
      </c>
      <c r="F79" s="22">
        <f t="shared" si="27"/>
        <v>0</v>
      </c>
      <c r="G79" s="22">
        <f t="shared" si="27"/>
        <v>0</v>
      </c>
      <c r="H79" s="22">
        <f t="shared" si="27"/>
        <v>0</v>
      </c>
      <c r="I79" s="22">
        <f t="shared" si="27"/>
        <v>0</v>
      </c>
      <c r="J79" s="22">
        <f t="shared" si="27"/>
        <v>0</v>
      </c>
      <c r="K79" s="22">
        <f t="shared" si="27"/>
        <v>0</v>
      </c>
      <c r="L79" s="22">
        <f t="shared" si="27"/>
        <v>0</v>
      </c>
      <c r="M79" s="22">
        <f t="shared" si="27"/>
        <v>0</v>
      </c>
      <c r="N79" s="22">
        <f t="shared" si="27"/>
        <v>0</v>
      </c>
      <c r="O79" s="22">
        <f t="shared" si="27"/>
        <v>0</v>
      </c>
      <c r="P79" s="22">
        <f t="shared" si="27"/>
        <v>0</v>
      </c>
      <c r="Q79" s="22">
        <f t="shared" si="27"/>
        <v>0</v>
      </c>
      <c r="R79" s="22">
        <f t="shared" si="27"/>
        <v>0</v>
      </c>
      <c r="S79" s="22">
        <f t="shared" si="27"/>
        <v>0</v>
      </c>
      <c r="T79" s="22">
        <f t="shared" si="27"/>
        <v>0</v>
      </c>
      <c r="U79" s="22">
        <f t="shared" si="27"/>
        <v>0</v>
      </c>
      <c r="V79" s="22">
        <f t="shared" si="27"/>
        <v>0</v>
      </c>
      <c r="W79" s="22">
        <f t="shared" si="27"/>
        <v>0</v>
      </c>
      <c r="X79" s="22">
        <f t="shared" si="27"/>
        <v>0</v>
      </c>
      <c r="Y79" s="22">
        <f t="shared" si="27"/>
        <v>0</v>
      </c>
      <c r="Z79" s="22">
        <f t="shared" si="27"/>
        <v>0</v>
      </c>
      <c r="AA79" s="20">
        <f t="shared" si="25"/>
        <v>0</v>
      </c>
      <c r="AB79" s="23"/>
      <c r="AC79" s="2"/>
    </row>
    <row r="80">
      <c r="A80" s="17" t="s">
        <v>38</v>
      </c>
      <c r="B80" s="24" t="str">
        <f t="shared" ref="B80:Z80" si="28">B79/(COUNT(B75:B78)*1)</f>
        <v>#DIV/0!</v>
      </c>
      <c r="C80" s="24" t="str">
        <f t="shared" si="28"/>
        <v>#DIV/0!</v>
      </c>
      <c r="D80" s="24" t="str">
        <f t="shared" si="28"/>
        <v>#DIV/0!</v>
      </c>
      <c r="E80" s="24" t="str">
        <f t="shared" si="28"/>
        <v>#DIV/0!</v>
      </c>
      <c r="F80" s="24" t="str">
        <f t="shared" si="28"/>
        <v>#DIV/0!</v>
      </c>
      <c r="G80" s="24" t="str">
        <f t="shared" si="28"/>
        <v>#DIV/0!</v>
      </c>
      <c r="H80" s="24" t="str">
        <f t="shared" si="28"/>
        <v>#DIV/0!</v>
      </c>
      <c r="I80" s="24" t="str">
        <f t="shared" si="28"/>
        <v>#DIV/0!</v>
      </c>
      <c r="J80" s="24" t="str">
        <f t="shared" si="28"/>
        <v>#DIV/0!</v>
      </c>
      <c r="K80" s="24" t="str">
        <f t="shared" si="28"/>
        <v>#DIV/0!</v>
      </c>
      <c r="L80" s="24" t="str">
        <f t="shared" si="28"/>
        <v>#DIV/0!</v>
      </c>
      <c r="M80" s="24" t="str">
        <f t="shared" si="28"/>
        <v>#DIV/0!</v>
      </c>
      <c r="N80" s="24" t="str">
        <f t="shared" si="28"/>
        <v>#DIV/0!</v>
      </c>
      <c r="O80" s="24" t="str">
        <f t="shared" si="28"/>
        <v>#DIV/0!</v>
      </c>
      <c r="P80" s="24" t="str">
        <f t="shared" si="28"/>
        <v>#DIV/0!</v>
      </c>
      <c r="Q80" s="24" t="str">
        <f t="shared" si="28"/>
        <v>#DIV/0!</v>
      </c>
      <c r="R80" s="24" t="str">
        <f t="shared" si="28"/>
        <v>#DIV/0!</v>
      </c>
      <c r="S80" s="24" t="str">
        <f t="shared" si="28"/>
        <v>#DIV/0!</v>
      </c>
      <c r="T80" s="24" t="str">
        <f t="shared" si="28"/>
        <v>#DIV/0!</v>
      </c>
      <c r="U80" s="24" t="str">
        <f t="shared" si="28"/>
        <v>#DIV/0!</v>
      </c>
      <c r="V80" s="24" t="str">
        <f t="shared" si="28"/>
        <v>#DIV/0!</v>
      </c>
      <c r="W80" s="24" t="str">
        <f t="shared" si="28"/>
        <v>#DIV/0!</v>
      </c>
      <c r="X80" s="24" t="str">
        <f t="shared" si="28"/>
        <v>#DIV/0!</v>
      </c>
      <c r="Y80" s="24" t="str">
        <f t="shared" si="28"/>
        <v>#DIV/0!</v>
      </c>
      <c r="Z80" s="24" t="str">
        <f t="shared" si="28"/>
        <v>#DIV/0!</v>
      </c>
      <c r="AA80" s="25"/>
      <c r="AB80" s="26" t="str">
        <f>SUM(AB75:AB78)/4</f>
        <v>#DIV/0!</v>
      </c>
      <c r="AC80" s="2"/>
    </row>
    <row r="81">
      <c r="A81" s="27" t="s">
        <v>44</v>
      </c>
      <c r="B81" s="28"/>
      <c r="C81" s="29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30">
        <f t="shared" ref="AA81:AA83" si="29">SUM(B81:Z81)</f>
        <v>0</v>
      </c>
      <c r="AB81" s="31"/>
      <c r="AC81" s="2"/>
    </row>
    <row r="82">
      <c r="A82" s="32" t="s">
        <v>45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28"/>
      <c r="W82" s="28"/>
      <c r="X82" s="28"/>
      <c r="Y82" s="28"/>
      <c r="Z82" s="28"/>
      <c r="AA82" s="30">
        <f t="shared" si="29"/>
        <v>0</v>
      </c>
      <c r="AB82" s="31"/>
      <c r="AC82" s="9"/>
    </row>
    <row r="83">
      <c r="A83" s="34" t="s">
        <v>46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28"/>
      <c r="W83" s="28"/>
      <c r="X83" s="28"/>
      <c r="Y83" s="28"/>
      <c r="Z83" s="28"/>
      <c r="AA83" s="30">
        <f t="shared" si="29"/>
        <v>0</v>
      </c>
      <c r="AB83" s="31"/>
      <c r="AC83" s="9"/>
    </row>
    <row r="84">
      <c r="A84" s="35" t="s">
        <v>47</v>
      </c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7"/>
      <c r="AA84" s="38"/>
      <c r="AB84" s="39"/>
      <c r="AC84" s="2"/>
    </row>
    <row r="85">
      <c r="A85" s="40" t="s">
        <v>48</v>
      </c>
      <c r="B85" s="41"/>
      <c r="C85" s="42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3"/>
      <c r="W85" s="43"/>
      <c r="X85" s="43"/>
      <c r="Y85" s="43"/>
      <c r="Z85" s="43"/>
      <c r="AA85" s="44">
        <f t="shared" ref="AA85:AA86" si="30">SUM(B85:Z85)</f>
        <v>0</v>
      </c>
      <c r="AB85" s="31"/>
      <c r="AC85" s="2"/>
    </row>
    <row r="86">
      <c r="A86" s="40" t="s">
        <v>49</v>
      </c>
      <c r="B86" s="41"/>
      <c r="C86" s="42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3"/>
      <c r="W86" s="43"/>
      <c r="X86" s="43"/>
      <c r="Y86" s="43"/>
      <c r="Z86" s="43"/>
      <c r="AA86" s="44">
        <f t="shared" si="30"/>
        <v>0</v>
      </c>
      <c r="AB86" s="31"/>
      <c r="AC86" s="2"/>
    </row>
    <row r="87">
      <c r="A87" s="40" t="s">
        <v>50</v>
      </c>
      <c r="B87" s="42"/>
      <c r="C87" s="42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3"/>
      <c r="W87" s="43"/>
      <c r="X87" s="43"/>
      <c r="Y87" s="43"/>
      <c r="Z87" s="43"/>
      <c r="AA87" s="44" t="str">
        <f>AVERAGE(B87:Z87)</f>
        <v>#DIV/0!</v>
      </c>
      <c r="AB87" s="31"/>
      <c r="AC87" s="2"/>
    </row>
    <row r="88">
      <c r="A88" s="45" t="s">
        <v>51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7"/>
      <c r="AA88" s="46"/>
      <c r="AB88" s="39"/>
      <c r="AC88" s="2"/>
    </row>
    <row r="89">
      <c r="A89" s="47" t="s">
        <v>48</v>
      </c>
      <c r="B89" s="48"/>
      <c r="C89" s="49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50"/>
      <c r="W89" s="50"/>
      <c r="X89" s="50"/>
      <c r="Y89" s="50"/>
      <c r="Z89" s="50"/>
      <c r="AA89" s="51">
        <f t="shared" ref="AA89:AA90" si="31">SUM(B89:Z89)</f>
        <v>0</v>
      </c>
      <c r="AB89" s="31"/>
      <c r="AC89" s="2"/>
    </row>
    <row r="90">
      <c r="A90" s="47" t="s">
        <v>49</v>
      </c>
      <c r="B90" s="48"/>
      <c r="C90" s="49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50"/>
      <c r="W90" s="50"/>
      <c r="X90" s="50"/>
      <c r="Y90" s="50"/>
      <c r="Z90" s="50"/>
      <c r="AA90" s="51">
        <f t="shared" si="31"/>
        <v>0</v>
      </c>
      <c r="AB90" s="31"/>
      <c r="AC90" s="2"/>
    </row>
    <row r="91">
      <c r="A91" s="47" t="s">
        <v>50</v>
      </c>
      <c r="B91" s="49"/>
      <c r="C91" s="49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50"/>
      <c r="W91" s="50"/>
      <c r="X91" s="50"/>
      <c r="Y91" s="50"/>
      <c r="Z91" s="50"/>
      <c r="AA91" s="51" t="str">
        <f>AVERAGE(B91:Z91)</f>
        <v>#DIV/0!</v>
      </c>
      <c r="AB91" s="31"/>
      <c r="AC91" s="2"/>
    </row>
    <row r="92">
      <c r="A92" s="52" t="s">
        <v>53</v>
      </c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7"/>
      <c r="AA92" s="38"/>
      <c r="AB92" s="39"/>
      <c r="AC92" s="2"/>
    </row>
    <row r="93">
      <c r="A93" s="40" t="s">
        <v>48</v>
      </c>
      <c r="B93" s="41"/>
      <c r="C93" s="42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3"/>
      <c r="W93" s="43"/>
      <c r="X93" s="43"/>
      <c r="Y93" s="43"/>
      <c r="Z93" s="43"/>
      <c r="AA93" s="44">
        <f t="shared" ref="AA93:AA94" si="32">SUM(B93:Z93)</f>
        <v>0</v>
      </c>
      <c r="AB93" s="31"/>
      <c r="AC93" s="2"/>
    </row>
    <row r="94">
      <c r="A94" s="40" t="s">
        <v>49</v>
      </c>
      <c r="B94" s="41"/>
      <c r="C94" s="42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3"/>
      <c r="W94" s="43"/>
      <c r="X94" s="43"/>
      <c r="Y94" s="43"/>
      <c r="Z94" s="43"/>
      <c r="AA94" s="44">
        <f t="shared" si="32"/>
        <v>0</v>
      </c>
      <c r="AB94" s="31"/>
      <c r="AC94" s="2"/>
    </row>
    <row r="95">
      <c r="A95" s="53" t="s">
        <v>50</v>
      </c>
      <c r="B95" s="54"/>
      <c r="C95" s="54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6"/>
      <c r="W95" s="56"/>
      <c r="X95" s="56"/>
      <c r="Y95" s="56"/>
      <c r="Z95" s="56"/>
      <c r="AA95" s="57" t="str">
        <f>AVERAGE(B95:Z95)</f>
        <v>#DIV/0!</v>
      </c>
      <c r="AB95" s="58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59"/>
      <c r="AB96" s="59"/>
      <c r="AC96" s="2"/>
    </row>
    <row r="97">
      <c r="A97" s="71" t="s">
        <v>54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5" t="s">
        <v>37</v>
      </c>
      <c r="AB97" s="16" t="s">
        <v>38</v>
      </c>
      <c r="AC97" s="2"/>
    </row>
    <row r="98">
      <c r="A98" s="17" t="s">
        <v>39</v>
      </c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20">
        <f t="shared" ref="AA98:AA102" si="33">SUM(B98:Z98)</f>
        <v>0</v>
      </c>
      <c r="AB98" s="21" t="str">
        <f t="shared" ref="AB98:AB101" si="34">AA98/(COUNT(B98:Z98)*1)</f>
        <v>#DIV/0!</v>
      </c>
      <c r="AC98" s="2"/>
    </row>
    <row r="99">
      <c r="A99" s="17" t="s">
        <v>40</v>
      </c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20">
        <f t="shared" si="33"/>
        <v>0</v>
      </c>
      <c r="AB99" s="21" t="str">
        <f t="shared" si="34"/>
        <v>#DIV/0!</v>
      </c>
      <c r="AC99" s="2"/>
    </row>
    <row r="100">
      <c r="A100" s="17" t="s">
        <v>41</v>
      </c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20">
        <f t="shared" si="33"/>
        <v>0</v>
      </c>
      <c r="AB100" s="21" t="str">
        <f t="shared" si="34"/>
        <v>#DIV/0!</v>
      </c>
      <c r="AC100" s="2"/>
    </row>
    <row r="101">
      <c r="A101" s="17" t="s">
        <v>42</v>
      </c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20">
        <f t="shared" si="33"/>
        <v>0</v>
      </c>
      <c r="AB101" s="21" t="str">
        <f t="shared" si="34"/>
        <v>#DIV/0!</v>
      </c>
      <c r="AC101" s="2"/>
    </row>
    <row r="102">
      <c r="A102" s="17" t="s">
        <v>43</v>
      </c>
      <c r="B102" s="22">
        <f t="shared" ref="B102:Z102" si="35">SUM(B98:B101)</f>
        <v>0</v>
      </c>
      <c r="C102" s="22">
        <f t="shared" si="35"/>
        <v>0</v>
      </c>
      <c r="D102" s="22">
        <f t="shared" si="35"/>
        <v>0</v>
      </c>
      <c r="E102" s="22">
        <f t="shared" si="35"/>
        <v>0</v>
      </c>
      <c r="F102" s="22">
        <f t="shared" si="35"/>
        <v>0</v>
      </c>
      <c r="G102" s="22">
        <f t="shared" si="35"/>
        <v>0</v>
      </c>
      <c r="H102" s="22">
        <f t="shared" si="35"/>
        <v>0</v>
      </c>
      <c r="I102" s="22">
        <f t="shared" si="35"/>
        <v>0</v>
      </c>
      <c r="J102" s="22">
        <f t="shared" si="35"/>
        <v>0</v>
      </c>
      <c r="K102" s="22">
        <f t="shared" si="35"/>
        <v>0</v>
      </c>
      <c r="L102" s="22">
        <f t="shared" si="35"/>
        <v>0</v>
      </c>
      <c r="M102" s="22">
        <f t="shared" si="35"/>
        <v>0</v>
      </c>
      <c r="N102" s="22">
        <f t="shared" si="35"/>
        <v>0</v>
      </c>
      <c r="O102" s="22">
        <f t="shared" si="35"/>
        <v>0</v>
      </c>
      <c r="P102" s="22">
        <f t="shared" si="35"/>
        <v>0</v>
      </c>
      <c r="Q102" s="22">
        <f t="shared" si="35"/>
        <v>0</v>
      </c>
      <c r="R102" s="22">
        <f t="shared" si="35"/>
        <v>0</v>
      </c>
      <c r="S102" s="22">
        <f t="shared" si="35"/>
        <v>0</v>
      </c>
      <c r="T102" s="22">
        <f t="shared" si="35"/>
        <v>0</v>
      </c>
      <c r="U102" s="22">
        <f t="shared" si="35"/>
        <v>0</v>
      </c>
      <c r="V102" s="22">
        <f t="shared" si="35"/>
        <v>0</v>
      </c>
      <c r="W102" s="22">
        <f t="shared" si="35"/>
        <v>0</v>
      </c>
      <c r="X102" s="22">
        <f t="shared" si="35"/>
        <v>0</v>
      </c>
      <c r="Y102" s="22">
        <f t="shared" si="35"/>
        <v>0</v>
      </c>
      <c r="Z102" s="22">
        <f t="shared" si="35"/>
        <v>0</v>
      </c>
      <c r="AA102" s="20">
        <f t="shared" si="33"/>
        <v>0</v>
      </c>
      <c r="AB102" s="23"/>
      <c r="AC102" s="2"/>
    </row>
    <row r="103">
      <c r="A103" s="17" t="s">
        <v>38</v>
      </c>
      <c r="B103" s="24" t="str">
        <f t="shared" ref="B103:Z103" si="36">B102/(COUNT(B98:B101)*1)</f>
        <v>#DIV/0!</v>
      </c>
      <c r="C103" s="24" t="str">
        <f t="shared" si="36"/>
        <v>#DIV/0!</v>
      </c>
      <c r="D103" s="24" t="str">
        <f t="shared" si="36"/>
        <v>#DIV/0!</v>
      </c>
      <c r="E103" s="24" t="str">
        <f t="shared" si="36"/>
        <v>#DIV/0!</v>
      </c>
      <c r="F103" s="24" t="str">
        <f t="shared" si="36"/>
        <v>#DIV/0!</v>
      </c>
      <c r="G103" s="24" t="str">
        <f t="shared" si="36"/>
        <v>#DIV/0!</v>
      </c>
      <c r="H103" s="24" t="str">
        <f t="shared" si="36"/>
        <v>#DIV/0!</v>
      </c>
      <c r="I103" s="24" t="str">
        <f t="shared" si="36"/>
        <v>#DIV/0!</v>
      </c>
      <c r="J103" s="24" t="str">
        <f t="shared" si="36"/>
        <v>#DIV/0!</v>
      </c>
      <c r="K103" s="24" t="str">
        <f t="shared" si="36"/>
        <v>#DIV/0!</v>
      </c>
      <c r="L103" s="24" t="str">
        <f t="shared" si="36"/>
        <v>#DIV/0!</v>
      </c>
      <c r="M103" s="24" t="str">
        <f t="shared" si="36"/>
        <v>#DIV/0!</v>
      </c>
      <c r="N103" s="24" t="str">
        <f t="shared" si="36"/>
        <v>#DIV/0!</v>
      </c>
      <c r="O103" s="24" t="str">
        <f t="shared" si="36"/>
        <v>#DIV/0!</v>
      </c>
      <c r="P103" s="24" t="str">
        <f t="shared" si="36"/>
        <v>#DIV/0!</v>
      </c>
      <c r="Q103" s="24" t="str">
        <f t="shared" si="36"/>
        <v>#DIV/0!</v>
      </c>
      <c r="R103" s="24" t="str">
        <f t="shared" si="36"/>
        <v>#DIV/0!</v>
      </c>
      <c r="S103" s="24" t="str">
        <f t="shared" si="36"/>
        <v>#DIV/0!</v>
      </c>
      <c r="T103" s="24" t="str">
        <f t="shared" si="36"/>
        <v>#DIV/0!</v>
      </c>
      <c r="U103" s="24" t="str">
        <f t="shared" si="36"/>
        <v>#DIV/0!</v>
      </c>
      <c r="V103" s="24" t="str">
        <f t="shared" si="36"/>
        <v>#DIV/0!</v>
      </c>
      <c r="W103" s="24" t="str">
        <f t="shared" si="36"/>
        <v>#DIV/0!</v>
      </c>
      <c r="X103" s="24" t="str">
        <f t="shared" si="36"/>
        <v>#DIV/0!</v>
      </c>
      <c r="Y103" s="24" t="str">
        <f t="shared" si="36"/>
        <v>#DIV/0!</v>
      </c>
      <c r="Z103" s="24" t="str">
        <f t="shared" si="36"/>
        <v>#DIV/0!</v>
      </c>
      <c r="AA103" s="25"/>
      <c r="AB103" s="26" t="str">
        <f>SUM(AB98:AB101)/4</f>
        <v>#DIV/0!</v>
      </c>
      <c r="AC103" s="2"/>
    </row>
    <row r="104">
      <c r="A104" s="27" t="s">
        <v>44</v>
      </c>
      <c r="B104" s="28"/>
      <c r="C104" s="2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30">
        <f t="shared" ref="AA104:AA106" si="37">SUM(B104:Z104)</f>
        <v>0</v>
      </c>
      <c r="AB104" s="31"/>
      <c r="AC104" s="2"/>
    </row>
    <row r="105">
      <c r="A105" s="32" t="s">
        <v>45</v>
      </c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28"/>
      <c r="W105" s="28"/>
      <c r="X105" s="28"/>
      <c r="Y105" s="28"/>
      <c r="Z105" s="28"/>
      <c r="AA105" s="30">
        <f t="shared" si="37"/>
        <v>0</v>
      </c>
      <c r="AB105" s="31"/>
      <c r="AC105" s="9"/>
    </row>
    <row r="106">
      <c r="A106" s="34" t="s">
        <v>46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28"/>
      <c r="W106" s="28"/>
      <c r="X106" s="28"/>
      <c r="Y106" s="28"/>
      <c r="Z106" s="28"/>
      <c r="AA106" s="30">
        <f t="shared" si="37"/>
        <v>0</v>
      </c>
      <c r="AB106" s="31"/>
      <c r="AC106" s="9"/>
    </row>
    <row r="107">
      <c r="A107" s="35" t="s">
        <v>47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7"/>
      <c r="AA107" s="38"/>
      <c r="AB107" s="39"/>
      <c r="AC107" s="2"/>
    </row>
    <row r="108">
      <c r="A108" s="40" t="s">
        <v>48</v>
      </c>
      <c r="B108" s="41"/>
      <c r="C108" s="42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3"/>
      <c r="W108" s="43"/>
      <c r="X108" s="43"/>
      <c r="Y108" s="43"/>
      <c r="Z108" s="43"/>
      <c r="AA108" s="44">
        <f t="shared" ref="AA108:AA109" si="38">SUM(B108:Z108)</f>
        <v>0</v>
      </c>
      <c r="AB108" s="31"/>
      <c r="AC108" s="2"/>
    </row>
    <row r="109">
      <c r="A109" s="40" t="s">
        <v>49</v>
      </c>
      <c r="B109" s="41"/>
      <c r="C109" s="42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3"/>
      <c r="W109" s="43"/>
      <c r="X109" s="43"/>
      <c r="Y109" s="43"/>
      <c r="Z109" s="43"/>
      <c r="AA109" s="44">
        <f t="shared" si="38"/>
        <v>0</v>
      </c>
      <c r="AB109" s="31"/>
      <c r="AC109" s="2"/>
    </row>
    <row r="110">
      <c r="A110" s="40" t="s">
        <v>50</v>
      </c>
      <c r="B110" s="42"/>
      <c r="C110" s="42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3"/>
      <c r="W110" s="43"/>
      <c r="X110" s="43"/>
      <c r="Y110" s="43"/>
      <c r="Z110" s="43"/>
      <c r="AA110" s="44" t="str">
        <f>AVERAGE(B110:Z110)</f>
        <v>#DIV/0!</v>
      </c>
      <c r="AB110" s="31"/>
      <c r="AC110" s="2"/>
    </row>
    <row r="111">
      <c r="A111" s="45" t="s">
        <v>51</v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7"/>
      <c r="AA111" s="46"/>
      <c r="AB111" s="39"/>
      <c r="AC111" s="2"/>
    </row>
    <row r="112">
      <c r="A112" s="47" t="s">
        <v>48</v>
      </c>
      <c r="B112" s="48"/>
      <c r="C112" s="49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50"/>
      <c r="W112" s="50"/>
      <c r="X112" s="50"/>
      <c r="Y112" s="50"/>
      <c r="Z112" s="50"/>
      <c r="AA112" s="51">
        <f t="shared" ref="AA112:AA113" si="39">SUM(B112:Z112)</f>
        <v>0</v>
      </c>
      <c r="AB112" s="31"/>
      <c r="AC112" s="2"/>
    </row>
    <row r="113">
      <c r="A113" s="47" t="s">
        <v>49</v>
      </c>
      <c r="B113" s="48"/>
      <c r="C113" s="49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50"/>
      <c r="W113" s="50"/>
      <c r="X113" s="50"/>
      <c r="Y113" s="50"/>
      <c r="Z113" s="50"/>
      <c r="AA113" s="51">
        <f t="shared" si="39"/>
        <v>0</v>
      </c>
      <c r="AB113" s="31"/>
      <c r="AC113" s="2"/>
    </row>
    <row r="114">
      <c r="A114" s="47" t="s">
        <v>50</v>
      </c>
      <c r="B114" s="49"/>
      <c r="C114" s="49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50"/>
      <c r="W114" s="50"/>
      <c r="X114" s="50"/>
      <c r="Y114" s="50"/>
      <c r="Z114" s="50"/>
      <c r="AA114" s="51" t="str">
        <f>AVERAGE(B114:Z114)</f>
        <v>#DIV/0!</v>
      </c>
      <c r="AB114" s="31"/>
      <c r="AC114" s="2"/>
    </row>
    <row r="115">
      <c r="A115" s="52" t="s">
        <v>53</v>
      </c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7"/>
      <c r="AA115" s="38"/>
      <c r="AB115" s="39"/>
      <c r="AC115" s="2"/>
    </row>
    <row r="116">
      <c r="A116" s="40" t="s">
        <v>48</v>
      </c>
      <c r="B116" s="41"/>
      <c r="C116" s="42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3"/>
      <c r="W116" s="43"/>
      <c r="X116" s="43"/>
      <c r="Y116" s="43"/>
      <c r="Z116" s="43"/>
      <c r="AA116" s="44">
        <f t="shared" ref="AA116:AA117" si="40">SUM(B116:Z116)</f>
        <v>0</v>
      </c>
      <c r="AB116" s="31"/>
      <c r="AC116" s="2"/>
    </row>
    <row r="117">
      <c r="A117" s="40" t="s">
        <v>49</v>
      </c>
      <c r="B117" s="41"/>
      <c r="C117" s="42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3"/>
      <c r="W117" s="43"/>
      <c r="X117" s="43"/>
      <c r="Y117" s="43"/>
      <c r="Z117" s="43"/>
      <c r="AA117" s="44">
        <f t="shared" si="40"/>
        <v>0</v>
      </c>
      <c r="AB117" s="31"/>
      <c r="AC117" s="2"/>
    </row>
    <row r="118">
      <c r="A118" s="53" t="s">
        <v>50</v>
      </c>
      <c r="B118" s="54"/>
      <c r="C118" s="54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6"/>
      <c r="W118" s="56"/>
      <c r="X118" s="56"/>
      <c r="Y118" s="56"/>
      <c r="Z118" s="56"/>
      <c r="AA118" s="57" t="str">
        <f>AVERAGE(B118:Z118)</f>
        <v>#DIV/0!</v>
      </c>
      <c r="AB118" s="58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59"/>
      <c r="AB119" s="59"/>
      <c r="AC119" s="2"/>
    </row>
    <row r="120">
      <c r="A120" s="71" t="s">
        <v>54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 t="s">
        <v>37</v>
      </c>
      <c r="AB120" s="16" t="s">
        <v>38</v>
      </c>
      <c r="AC120" s="2"/>
    </row>
    <row r="121">
      <c r="A121" s="17" t="s">
        <v>39</v>
      </c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20">
        <f t="shared" ref="AA121:AA125" si="41">SUM(B121:Z121)</f>
        <v>0</v>
      </c>
      <c r="AB121" s="21" t="str">
        <f t="shared" ref="AB121:AB124" si="42">AA121/(COUNT(B121:Z121)*1)</f>
        <v>#DIV/0!</v>
      </c>
      <c r="AC121" s="2"/>
    </row>
    <row r="122">
      <c r="A122" s="17" t="s">
        <v>40</v>
      </c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20">
        <f t="shared" si="41"/>
        <v>0</v>
      </c>
      <c r="AB122" s="21" t="str">
        <f t="shared" si="42"/>
        <v>#DIV/0!</v>
      </c>
      <c r="AC122" s="2"/>
    </row>
    <row r="123">
      <c r="A123" s="17" t="s">
        <v>41</v>
      </c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20">
        <f t="shared" si="41"/>
        <v>0</v>
      </c>
      <c r="AB123" s="21" t="str">
        <f t="shared" si="42"/>
        <v>#DIV/0!</v>
      </c>
      <c r="AC123" s="2"/>
    </row>
    <row r="124">
      <c r="A124" s="17" t="s">
        <v>42</v>
      </c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20">
        <f t="shared" si="41"/>
        <v>0</v>
      </c>
      <c r="AB124" s="21" t="str">
        <f t="shared" si="42"/>
        <v>#DIV/0!</v>
      </c>
      <c r="AC124" s="2"/>
    </row>
    <row r="125">
      <c r="A125" s="17" t="s">
        <v>43</v>
      </c>
      <c r="B125" s="22">
        <f t="shared" ref="B125:Z125" si="43">SUM(B121:B124)</f>
        <v>0</v>
      </c>
      <c r="C125" s="22">
        <f t="shared" si="43"/>
        <v>0</v>
      </c>
      <c r="D125" s="22">
        <f t="shared" si="43"/>
        <v>0</v>
      </c>
      <c r="E125" s="22">
        <f t="shared" si="43"/>
        <v>0</v>
      </c>
      <c r="F125" s="22">
        <f t="shared" si="43"/>
        <v>0</v>
      </c>
      <c r="G125" s="22">
        <f t="shared" si="43"/>
        <v>0</v>
      </c>
      <c r="H125" s="22">
        <f t="shared" si="43"/>
        <v>0</v>
      </c>
      <c r="I125" s="22">
        <f t="shared" si="43"/>
        <v>0</v>
      </c>
      <c r="J125" s="22">
        <f t="shared" si="43"/>
        <v>0</v>
      </c>
      <c r="K125" s="22">
        <f t="shared" si="43"/>
        <v>0</v>
      </c>
      <c r="L125" s="22">
        <f t="shared" si="43"/>
        <v>0</v>
      </c>
      <c r="M125" s="22">
        <f t="shared" si="43"/>
        <v>0</v>
      </c>
      <c r="N125" s="22">
        <f t="shared" si="43"/>
        <v>0</v>
      </c>
      <c r="O125" s="22">
        <f t="shared" si="43"/>
        <v>0</v>
      </c>
      <c r="P125" s="22">
        <f t="shared" si="43"/>
        <v>0</v>
      </c>
      <c r="Q125" s="22">
        <f t="shared" si="43"/>
        <v>0</v>
      </c>
      <c r="R125" s="22">
        <f t="shared" si="43"/>
        <v>0</v>
      </c>
      <c r="S125" s="22">
        <f t="shared" si="43"/>
        <v>0</v>
      </c>
      <c r="T125" s="22">
        <f t="shared" si="43"/>
        <v>0</v>
      </c>
      <c r="U125" s="22">
        <f t="shared" si="43"/>
        <v>0</v>
      </c>
      <c r="V125" s="22">
        <f t="shared" si="43"/>
        <v>0</v>
      </c>
      <c r="W125" s="22">
        <f t="shared" si="43"/>
        <v>0</v>
      </c>
      <c r="X125" s="22">
        <f t="shared" si="43"/>
        <v>0</v>
      </c>
      <c r="Y125" s="22">
        <f t="shared" si="43"/>
        <v>0</v>
      </c>
      <c r="Z125" s="22">
        <f t="shared" si="43"/>
        <v>0</v>
      </c>
      <c r="AA125" s="20">
        <f t="shared" si="41"/>
        <v>0</v>
      </c>
      <c r="AB125" s="23"/>
      <c r="AC125" s="2"/>
    </row>
    <row r="126">
      <c r="A126" s="17" t="s">
        <v>38</v>
      </c>
      <c r="B126" s="24" t="str">
        <f t="shared" ref="B126:Z126" si="44">B125/(COUNT(B121:B124)*1)</f>
        <v>#DIV/0!</v>
      </c>
      <c r="C126" s="24" t="str">
        <f t="shared" si="44"/>
        <v>#DIV/0!</v>
      </c>
      <c r="D126" s="24" t="str">
        <f t="shared" si="44"/>
        <v>#DIV/0!</v>
      </c>
      <c r="E126" s="24" t="str">
        <f t="shared" si="44"/>
        <v>#DIV/0!</v>
      </c>
      <c r="F126" s="24" t="str">
        <f t="shared" si="44"/>
        <v>#DIV/0!</v>
      </c>
      <c r="G126" s="24" t="str">
        <f t="shared" si="44"/>
        <v>#DIV/0!</v>
      </c>
      <c r="H126" s="24" t="str">
        <f t="shared" si="44"/>
        <v>#DIV/0!</v>
      </c>
      <c r="I126" s="24" t="str">
        <f t="shared" si="44"/>
        <v>#DIV/0!</v>
      </c>
      <c r="J126" s="24" t="str">
        <f t="shared" si="44"/>
        <v>#DIV/0!</v>
      </c>
      <c r="K126" s="24" t="str">
        <f t="shared" si="44"/>
        <v>#DIV/0!</v>
      </c>
      <c r="L126" s="24" t="str">
        <f t="shared" si="44"/>
        <v>#DIV/0!</v>
      </c>
      <c r="M126" s="24" t="str">
        <f t="shared" si="44"/>
        <v>#DIV/0!</v>
      </c>
      <c r="N126" s="24" t="str">
        <f t="shared" si="44"/>
        <v>#DIV/0!</v>
      </c>
      <c r="O126" s="24" t="str">
        <f t="shared" si="44"/>
        <v>#DIV/0!</v>
      </c>
      <c r="P126" s="24" t="str">
        <f t="shared" si="44"/>
        <v>#DIV/0!</v>
      </c>
      <c r="Q126" s="24" t="str">
        <f t="shared" si="44"/>
        <v>#DIV/0!</v>
      </c>
      <c r="R126" s="24" t="str">
        <f t="shared" si="44"/>
        <v>#DIV/0!</v>
      </c>
      <c r="S126" s="24" t="str">
        <f t="shared" si="44"/>
        <v>#DIV/0!</v>
      </c>
      <c r="T126" s="24" t="str">
        <f t="shared" si="44"/>
        <v>#DIV/0!</v>
      </c>
      <c r="U126" s="24" t="str">
        <f t="shared" si="44"/>
        <v>#DIV/0!</v>
      </c>
      <c r="V126" s="24" t="str">
        <f t="shared" si="44"/>
        <v>#DIV/0!</v>
      </c>
      <c r="W126" s="24" t="str">
        <f t="shared" si="44"/>
        <v>#DIV/0!</v>
      </c>
      <c r="X126" s="24" t="str">
        <f t="shared" si="44"/>
        <v>#DIV/0!</v>
      </c>
      <c r="Y126" s="24" t="str">
        <f t="shared" si="44"/>
        <v>#DIV/0!</v>
      </c>
      <c r="Z126" s="24" t="str">
        <f t="shared" si="44"/>
        <v>#DIV/0!</v>
      </c>
      <c r="AA126" s="25"/>
      <c r="AB126" s="26" t="str">
        <f>SUM(AB121:AB124)/4</f>
        <v>#DIV/0!</v>
      </c>
      <c r="AC126" s="2"/>
    </row>
    <row r="127">
      <c r="A127" s="27" t="s">
        <v>44</v>
      </c>
      <c r="B127" s="28"/>
      <c r="C127" s="2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30">
        <f t="shared" ref="AA127:AA129" si="45">SUM(B127:Z127)</f>
        <v>0</v>
      </c>
      <c r="AB127" s="31"/>
      <c r="AC127" s="2"/>
    </row>
    <row r="128">
      <c r="A128" s="32" t="s">
        <v>45</v>
      </c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28"/>
      <c r="W128" s="28"/>
      <c r="X128" s="28"/>
      <c r="Y128" s="28"/>
      <c r="Z128" s="28"/>
      <c r="AA128" s="30">
        <f t="shared" si="45"/>
        <v>0</v>
      </c>
      <c r="AB128" s="31"/>
      <c r="AC128" s="9"/>
    </row>
    <row r="129">
      <c r="A129" s="34" t="s">
        <v>46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28"/>
      <c r="W129" s="28"/>
      <c r="X129" s="28"/>
      <c r="Y129" s="28"/>
      <c r="Z129" s="28"/>
      <c r="AA129" s="30">
        <f t="shared" si="45"/>
        <v>0</v>
      </c>
      <c r="AB129" s="31"/>
      <c r="AC129" s="9"/>
    </row>
    <row r="130">
      <c r="A130" s="35" t="s">
        <v>47</v>
      </c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7"/>
      <c r="AA130" s="38"/>
      <c r="AB130" s="39"/>
      <c r="AC130" s="2"/>
    </row>
    <row r="131">
      <c r="A131" s="40" t="s">
        <v>48</v>
      </c>
      <c r="B131" s="41"/>
      <c r="C131" s="42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3"/>
      <c r="W131" s="43"/>
      <c r="X131" s="43"/>
      <c r="Y131" s="43"/>
      <c r="Z131" s="43"/>
      <c r="AA131" s="44">
        <f t="shared" ref="AA131:AA132" si="46">SUM(B131:Z131)</f>
        <v>0</v>
      </c>
      <c r="AB131" s="31"/>
      <c r="AC131" s="2"/>
    </row>
    <row r="132">
      <c r="A132" s="40" t="s">
        <v>49</v>
      </c>
      <c r="B132" s="41"/>
      <c r="C132" s="42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3"/>
      <c r="W132" s="43"/>
      <c r="X132" s="43"/>
      <c r="Y132" s="43"/>
      <c r="Z132" s="43"/>
      <c r="AA132" s="44">
        <f t="shared" si="46"/>
        <v>0</v>
      </c>
      <c r="AB132" s="31"/>
      <c r="AC132" s="2"/>
    </row>
    <row r="133">
      <c r="A133" s="40" t="s">
        <v>50</v>
      </c>
      <c r="B133" s="42"/>
      <c r="C133" s="42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3"/>
      <c r="W133" s="43"/>
      <c r="X133" s="43"/>
      <c r="Y133" s="43"/>
      <c r="Z133" s="43"/>
      <c r="AA133" s="44" t="str">
        <f>AVERAGE(B133:Z133)</f>
        <v>#DIV/0!</v>
      </c>
      <c r="AB133" s="31"/>
      <c r="AC133" s="2"/>
    </row>
    <row r="134">
      <c r="A134" s="45" t="s">
        <v>51</v>
      </c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7"/>
      <c r="AA134" s="46"/>
      <c r="AB134" s="39"/>
      <c r="AC134" s="2"/>
    </row>
    <row r="135">
      <c r="A135" s="47" t="s">
        <v>48</v>
      </c>
      <c r="B135" s="48"/>
      <c r="C135" s="49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50"/>
      <c r="W135" s="50"/>
      <c r="X135" s="50"/>
      <c r="Y135" s="50"/>
      <c r="Z135" s="50"/>
      <c r="AA135" s="51">
        <f t="shared" ref="AA135:AA136" si="47">SUM(B135:Z135)</f>
        <v>0</v>
      </c>
      <c r="AB135" s="31"/>
      <c r="AC135" s="2"/>
    </row>
    <row r="136">
      <c r="A136" s="47" t="s">
        <v>49</v>
      </c>
      <c r="B136" s="48"/>
      <c r="C136" s="49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50"/>
      <c r="W136" s="50"/>
      <c r="X136" s="50"/>
      <c r="Y136" s="50"/>
      <c r="Z136" s="50"/>
      <c r="AA136" s="51">
        <f t="shared" si="47"/>
        <v>0</v>
      </c>
      <c r="AB136" s="31"/>
      <c r="AC136" s="2"/>
    </row>
    <row r="137">
      <c r="A137" s="47" t="s">
        <v>50</v>
      </c>
      <c r="B137" s="49"/>
      <c r="C137" s="49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50"/>
      <c r="W137" s="50"/>
      <c r="X137" s="50"/>
      <c r="Y137" s="50"/>
      <c r="Z137" s="50"/>
      <c r="AA137" s="51" t="str">
        <f>AVERAGE(B137:Z137)</f>
        <v>#DIV/0!</v>
      </c>
      <c r="AB137" s="31"/>
      <c r="AC137" s="2"/>
    </row>
    <row r="138">
      <c r="A138" s="52" t="s">
        <v>53</v>
      </c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7"/>
      <c r="AA138" s="38"/>
      <c r="AB138" s="39"/>
      <c r="AC138" s="2"/>
    </row>
    <row r="139">
      <c r="A139" s="40" t="s">
        <v>48</v>
      </c>
      <c r="B139" s="41"/>
      <c r="C139" s="42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3"/>
      <c r="W139" s="43"/>
      <c r="X139" s="43"/>
      <c r="Y139" s="43"/>
      <c r="Z139" s="43"/>
      <c r="AA139" s="44">
        <f t="shared" ref="AA139:AA140" si="48">SUM(B139:Z139)</f>
        <v>0</v>
      </c>
      <c r="AB139" s="31"/>
      <c r="AC139" s="2"/>
    </row>
    <row r="140">
      <c r="A140" s="40" t="s">
        <v>49</v>
      </c>
      <c r="B140" s="41"/>
      <c r="C140" s="42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3"/>
      <c r="W140" s="43"/>
      <c r="X140" s="43"/>
      <c r="Y140" s="43"/>
      <c r="Z140" s="43"/>
      <c r="AA140" s="44">
        <f t="shared" si="48"/>
        <v>0</v>
      </c>
      <c r="AB140" s="31"/>
      <c r="AC140" s="2"/>
    </row>
    <row r="141">
      <c r="A141" s="53" t="s">
        <v>50</v>
      </c>
      <c r="B141" s="54"/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6"/>
      <c r="W141" s="56"/>
      <c r="X141" s="56"/>
      <c r="Y141" s="56"/>
      <c r="Z141" s="56"/>
      <c r="AA141" s="57" t="str">
        <f>AVERAGE(B141:Z141)</f>
        <v>#DIV/0!</v>
      </c>
      <c r="AB141" s="58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59"/>
      <c r="AB142" s="59"/>
      <c r="AC142" s="2"/>
    </row>
    <row r="143">
      <c r="A143" s="71" t="s">
        <v>54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 t="s">
        <v>37</v>
      </c>
      <c r="AB143" s="16" t="s">
        <v>38</v>
      </c>
      <c r="AC143" s="2"/>
    </row>
    <row r="144">
      <c r="A144" s="17" t="s">
        <v>39</v>
      </c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20">
        <f t="shared" ref="AA144:AA148" si="49">SUM(B144:Z144)</f>
        <v>0</v>
      </c>
      <c r="AB144" s="21" t="str">
        <f t="shared" ref="AB144:AB147" si="50">AA144/(COUNT(B144:Z144)*1)</f>
        <v>#DIV/0!</v>
      </c>
      <c r="AC144" s="2"/>
    </row>
    <row r="145">
      <c r="A145" s="17" t="s">
        <v>40</v>
      </c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20">
        <f t="shared" si="49"/>
        <v>0</v>
      </c>
      <c r="AB145" s="21" t="str">
        <f t="shared" si="50"/>
        <v>#DIV/0!</v>
      </c>
      <c r="AC145" s="2"/>
    </row>
    <row r="146">
      <c r="A146" s="17" t="s">
        <v>41</v>
      </c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20">
        <f t="shared" si="49"/>
        <v>0</v>
      </c>
      <c r="AB146" s="21" t="str">
        <f t="shared" si="50"/>
        <v>#DIV/0!</v>
      </c>
      <c r="AC146" s="2"/>
    </row>
    <row r="147">
      <c r="A147" s="17" t="s">
        <v>42</v>
      </c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20">
        <f t="shared" si="49"/>
        <v>0</v>
      </c>
      <c r="AB147" s="21" t="str">
        <f t="shared" si="50"/>
        <v>#DIV/0!</v>
      </c>
      <c r="AC147" s="2"/>
    </row>
    <row r="148">
      <c r="A148" s="17" t="s">
        <v>43</v>
      </c>
      <c r="B148" s="22">
        <f t="shared" ref="B148:Z148" si="51">SUM(B144:B147)</f>
        <v>0</v>
      </c>
      <c r="C148" s="22">
        <f t="shared" si="51"/>
        <v>0</v>
      </c>
      <c r="D148" s="22">
        <f t="shared" si="51"/>
        <v>0</v>
      </c>
      <c r="E148" s="22">
        <f t="shared" si="51"/>
        <v>0</v>
      </c>
      <c r="F148" s="22">
        <f t="shared" si="51"/>
        <v>0</v>
      </c>
      <c r="G148" s="22">
        <f t="shared" si="51"/>
        <v>0</v>
      </c>
      <c r="H148" s="22">
        <f t="shared" si="51"/>
        <v>0</v>
      </c>
      <c r="I148" s="22">
        <f t="shared" si="51"/>
        <v>0</v>
      </c>
      <c r="J148" s="22">
        <f t="shared" si="51"/>
        <v>0</v>
      </c>
      <c r="K148" s="22">
        <f t="shared" si="51"/>
        <v>0</v>
      </c>
      <c r="L148" s="22">
        <f t="shared" si="51"/>
        <v>0</v>
      </c>
      <c r="M148" s="22">
        <f t="shared" si="51"/>
        <v>0</v>
      </c>
      <c r="N148" s="22">
        <f t="shared" si="51"/>
        <v>0</v>
      </c>
      <c r="O148" s="22">
        <f t="shared" si="51"/>
        <v>0</v>
      </c>
      <c r="P148" s="22">
        <f t="shared" si="51"/>
        <v>0</v>
      </c>
      <c r="Q148" s="22">
        <f t="shared" si="51"/>
        <v>0</v>
      </c>
      <c r="R148" s="22">
        <f t="shared" si="51"/>
        <v>0</v>
      </c>
      <c r="S148" s="22">
        <f t="shared" si="51"/>
        <v>0</v>
      </c>
      <c r="T148" s="22">
        <f t="shared" si="51"/>
        <v>0</v>
      </c>
      <c r="U148" s="22">
        <f t="shared" si="51"/>
        <v>0</v>
      </c>
      <c r="V148" s="22">
        <f t="shared" si="51"/>
        <v>0</v>
      </c>
      <c r="W148" s="22">
        <f t="shared" si="51"/>
        <v>0</v>
      </c>
      <c r="X148" s="22">
        <f t="shared" si="51"/>
        <v>0</v>
      </c>
      <c r="Y148" s="22">
        <f t="shared" si="51"/>
        <v>0</v>
      </c>
      <c r="Z148" s="22">
        <f t="shared" si="51"/>
        <v>0</v>
      </c>
      <c r="AA148" s="20">
        <f t="shared" si="49"/>
        <v>0</v>
      </c>
      <c r="AB148" s="23"/>
      <c r="AC148" s="2"/>
    </row>
    <row r="149">
      <c r="A149" s="17" t="s">
        <v>38</v>
      </c>
      <c r="B149" s="24" t="str">
        <f t="shared" ref="B149:Z149" si="52">B148/(COUNT(B144:B147)*1)</f>
        <v>#DIV/0!</v>
      </c>
      <c r="C149" s="24" t="str">
        <f t="shared" si="52"/>
        <v>#DIV/0!</v>
      </c>
      <c r="D149" s="24" t="str">
        <f t="shared" si="52"/>
        <v>#DIV/0!</v>
      </c>
      <c r="E149" s="24" t="str">
        <f t="shared" si="52"/>
        <v>#DIV/0!</v>
      </c>
      <c r="F149" s="24" t="str">
        <f t="shared" si="52"/>
        <v>#DIV/0!</v>
      </c>
      <c r="G149" s="24" t="str">
        <f t="shared" si="52"/>
        <v>#DIV/0!</v>
      </c>
      <c r="H149" s="24" t="str">
        <f t="shared" si="52"/>
        <v>#DIV/0!</v>
      </c>
      <c r="I149" s="24" t="str">
        <f t="shared" si="52"/>
        <v>#DIV/0!</v>
      </c>
      <c r="J149" s="24" t="str">
        <f t="shared" si="52"/>
        <v>#DIV/0!</v>
      </c>
      <c r="K149" s="24" t="str">
        <f t="shared" si="52"/>
        <v>#DIV/0!</v>
      </c>
      <c r="L149" s="24" t="str">
        <f t="shared" si="52"/>
        <v>#DIV/0!</v>
      </c>
      <c r="M149" s="24" t="str">
        <f t="shared" si="52"/>
        <v>#DIV/0!</v>
      </c>
      <c r="N149" s="24" t="str">
        <f t="shared" si="52"/>
        <v>#DIV/0!</v>
      </c>
      <c r="O149" s="24" t="str">
        <f t="shared" si="52"/>
        <v>#DIV/0!</v>
      </c>
      <c r="P149" s="24" t="str">
        <f t="shared" si="52"/>
        <v>#DIV/0!</v>
      </c>
      <c r="Q149" s="24" t="str">
        <f t="shared" si="52"/>
        <v>#DIV/0!</v>
      </c>
      <c r="R149" s="24" t="str">
        <f t="shared" si="52"/>
        <v>#DIV/0!</v>
      </c>
      <c r="S149" s="24" t="str">
        <f t="shared" si="52"/>
        <v>#DIV/0!</v>
      </c>
      <c r="T149" s="24" t="str">
        <f t="shared" si="52"/>
        <v>#DIV/0!</v>
      </c>
      <c r="U149" s="24" t="str">
        <f t="shared" si="52"/>
        <v>#DIV/0!</v>
      </c>
      <c r="V149" s="24" t="str">
        <f t="shared" si="52"/>
        <v>#DIV/0!</v>
      </c>
      <c r="W149" s="24" t="str">
        <f t="shared" si="52"/>
        <v>#DIV/0!</v>
      </c>
      <c r="X149" s="24" t="str">
        <f t="shared" si="52"/>
        <v>#DIV/0!</v>
      </c>
      <c r="Y149" s="24" t="str">
        <f t="shared" si="52"/>
        <v>#DIV/0!</v>
      </c>
      <c r="Z149" s="24" t="str">
        <f t="shared" si="52"/>
        <v>#DIV/0!</v>
      </c>
      <c r="AA149" s="25"/>
      <c r="AB149" s="26" t="str">
        <f>SUM(AB144:AB147)/4</f>
        <v>#DIV/0!</v>
      </c>
      <c r="AC149" s="2"/>
    </row>
    <row r="150">
      <c r="A150" s="27" t="s">
        <v>44</v>
      </c>
      <c r="B150" s="28"/>
      <c r="C150" s="29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30">
        <f t="shared" ref="AA150:AA152" si="53">SUM(B150:Z150)</f>
        <v>0</v>
      </c>
      <c r="AB150" s="31"/>
      <c r="AC150" s="2"/>
    </row>
    <row r="151">
      <c r="A151" s="32" t="s">
        <v>45</v>
      </c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28"/>
      <c r="W151" s="28"/>
      <c r="X151" s="28"/>
      <c r="Y151" s="28"/>
      <c r="Z151" s="28"/>
      <c r="AA151" s="30">
        <f t="shared" si="53"/>
        <v>0</v>
      </c>
      <c r="AB151" s="31"/>
      <c r="AC151" s="9"/>
    </row>
    <row r="152">
      <c r="A152" s="34" t="s">
        <v>46</v>
      </c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28"/>
      <c r="W152" s="28"/>
      <c r="X152" s="28"/>
      <c r="Y152" s="28"/>
      <c r="Z152" s="28"/>
      <c r="AA152" s="30">
        <f t="shared" si="53"/>
        <v>0</v>
      </c>
      <c r="AB152" s="31"/>
      <c r="AC152" s="9"/>
    </row>
    <row r="153">
      <c r="A153" s="35" t="s">
        <v>47</v>
      </c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7"/>
      <c r="AA153" s="38"/>
      <c r="AB153" s="39"/>
      <c r="AC153" s="2"/>
    </row>
    <row r="154">
      <c r="A154" s="40" t="s">
        <v>48</v>
      </c>
      <c r="B154" s="41"/>
      <c r="C154" s="42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3"/>
      <c r="W154" s="43"/>
      <c r="X154" s="43"/>
      <c r="Y154" s="43"/>
      <c r="Z154" s="43"/>
      <c r="AA154" s="44">
        <f t="shared" ref="AA154:AA155" si="54">SUM(B154:Z154)</f>
        <v>0</v>
      </c>
      <c r="AB154" s="31"/>
      <c r="AC154" s="2"/>
    </row>
    <row r="155">
      <c r="A155" s="40" t="s">
        <v>49</v>
      </c>
      <c r="B155" s="41"/>
      <c r="C155" s="42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3"/>
      <c r="W155" s="43"/>
      <c r="X155" s="43"/>
      <c r="Y155" s="43"/>
      <c r="Z155" s="43"/>
      <c r="AA155" s="44">
        <f t="shared" si="54"/>
        <v>0</v>
      </c>
      <c r="AB155" s="31"/>
      <c r="AC155" s="2"/>
    </row>
    <row r="156">
      <c r="A156" s="40" t="s">
        <v>50</v>
      </c>
      <c r="B156" s="42"/>
      <c r="C156" s="42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3"/>
      <c r="W156" s="43"/>
      <c r="X156" s="43"/>
      <c r="Y156" s="43"/>
      <c r="Z156" s="43"/>
      <c r="AA156" s="44" t="str">
        <f>AVERAGE(B156:Z156)</f>
        <v>#DIV/0!</v>
      </c>
      <c r="AB156" s="31"/>
      <c r="AC156" s="2"/>
    </row>
    <row r="157">
      <c r="A157" s="45" t="s">
        <v>51</v>
      </c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7"/>
      <c r="AA157" s="46"/>
      <c r="AB157" s="39"/>
      <c r="AC157" s="2"/>
    </row>
    <row r="158">
      <c r="A158" s="47" t="s">
        <v>48</v>
      </c>
      <c r="B158" s="48"/>
      <c r="C158" s="49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50"/>
      <c r="W158" s="50"/>
      <c r="X158" s="50"/>
      <c r="Y158" s="50"/>
      <c r="Z158" s="50"/>
      <c r="AA158" s="51">
        <f t="shared" ref="AA158:AA159" si="55">SUM(B158:Z158)</f>
        <v>0</v>
      </c>
      <c r="AB158" s="31"/>
      <c r="AC158" s="2"/>
    </row>
    <row r="159">
      <c r="A159" s="47" t="s">
        <v>49</v>
      </c>
      <c r="B159" s="48"/>
      <c r="C159" s="49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50"/>
      <c r="W159" s="50"/>
      <c r="X159" s="50"/>
      <c r="Y159" s="50"/>
      <c r="Z159" s="50"/>
      <c r="AA159" s="51">
        <f t="shared" si="55"/>
        <v>0</v>
      </c>
      <c r="AB159" s="31"/>
      <c r="AC159" s="2"/>
    </row>
    <row r="160">
      <c r="A160" s="47" t="s">
        <v>50</v>
      </c>
      <c r="B160" s="49"/>
      <c r="C160" s="49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50"/>
      <c r="W160" s="50"/>
      <c r="X160" s="50"/>
      <c r="Y160" s="50"/>
      <c r="Z160" s="50"/>
      <c r="AA160" s="51" t="str">
        <f>AVERAGE(B160:Z160)</f>
        <v>#DIV/0!</v>
      </c>
      <c r="AB160" s="31"/>
      <c r="AC160" s="2"/>
    </row>
    <row r="161">
      <c r="A161" s="52" t="s">
        <v>53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7"/>
      <c r="AA161" s="38"/>
      <c r="AB161" s="39"/>
      <c r="AC161" s="2"/>
    </row>
    <row r="162">
      <c r="A162" s="40" t="s">
        <v>48</v>
      </c>
      <c r="B162" s="41"/>
      <c r="C162" s="42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3"/>
      <c r="W162" s="43"/>
      <c r="X162" s="43"/>
      <c r="Y162" s="43"/>
      <c r="Z162" s="43"/>
      <c r="AA162" s="44">
        <f t="shared" ref="AA162:AA163" si="56">SUM(B162:Z162)</f>
        <v>0</v>
      </c>
      <c r="AB162" s="31"/>
      <c r="AC162" s="2"/>
    </row>
    <row r="163">
      <c r="A163" s="40" t="s">
        <v>49</v>
      </c>
      <c r="B163" s="41"/>
      <c r="C163" s="42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3"/>
      <c r="W163" s="43"/>
      <c r="X163" s="43"/>
      <c r="Y163" s="43"/>
      <c r="Z163" s="43"/>
      <c r="AA163" s="44">
        <f t="shared" si="56"/>
        <v>0</v>
      </c>
      <c r="AB163" s="31"/>
      <c r="AC163" s="2"/>
    </row>
    <row r="164">
      <c r="A164" s="53" t="s">
        <v>50</v>
      </c>
      <c r="B164" s="54"/>
      <c r="C164" s="54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6"/>
      <c r="W164" s="56"/>
      <c r="X164" s="56"/>
      <c r="Y164" s="56"/>
      <c r="Z164" s="56"/>
      <c r="AA164" s="57" t="str">
        <f>AVERAGE(B164:Z164)</f>
        <v>#DIV/0!</v>
      </c>
      <c r="AB164" s="58"/>
      <c r="AC164" s="2"/>
    </row>
    <row r="165">
      <c r="A165" s="9"/>
      <c r="B165" s="9"/>
      <c r="C165" s="9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71" t="s">
        <v>54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5" t="s">
        <v>37</v>
      </c>
      <c r="AB166" s="16" t="s">
        <v>38</v>
      </c>
      <c r="AC166" s="2"/>
    </row>
    <row r="167">
      <c r="A167" s="17" t="s">
        <v>39</v>
      </c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20">
        <f t="shared" ref="AA167:AA171" si="57">SUM(B167:Z167)</f>
        <v>0</v>
      </c>
      <c r="AB167" s="21" t="str">
        <f t="shared" ref="AB167:AB170" si="58">AA167/(COUNT(B167:Z167)*1)</f>
        <v>#DIV/0!</v>
      </c>
      <c r="AC167" s="2"/>
    </row>
    <row r="168">
      <c r="A168" s="17" t="s">
        <v>40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20">
        <f t="shared" si="57"/>
        <v>0</v>
      </c>
      <c r="AB168" s="21" t="str">
        <f t="shared" si="58"/>
        <v>#DIV/0!</v>
      </c>
      <c r="AC168" s="2"/>
    </row>
    <row r="169">
      <c r="A169" s="17" t="s">
        <v>41</v>
      </c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20">
        <f t="shared" si="57"/>
        <v>0</v>
      </c>
      <c r="AB169" s="21" t="str">
        <f t="shared" si="58"/>
        <v>#DIV/0!</v>
      </c>
      <c r="AC169" s="2"/>
    </row>
    <row r="170">
      <c r="A170" s="17" t="s">
        <v>42</v>
      </c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20">
        <f t="shared" si="57"/>
        <v>0</v>
      </c>
      <c r="AB170" s="21" t="str">
        <f t="shared" si="58"/>
        <v>#DIV/0!</v>
      </c>
      <c r="AC170" s="2"/>
    </row>
    <row r="171">
      <c r="A171" s="17" t="s">
        <v>43</v>
      </c>
      <c r="B171" s="22">
        <f t="shared" ref="B171:Z171" si="59">SUM(B167:B170)</f>
        <v>0</v>
      </c>
      <c r="C171" s="22">
        <f t="shared" si="59"/>
        <v>0</v>
      </c>
      <c r="D171" s="22">
        <f t="shared" si="59"/>
        <v>0</v>
      </c>
      <c r="E171" s="22">
        <f t="shared" si="59"/>
        <v>0</v>
      </c>
      <c r="F171" s="22">
        <f t="shared" si="59"/>
        <v>0</v>
      </c>
      <c r="G171" s="22">
        <f t="shared" si="59"/>
        <v>0</v>
      </c>
      <c r="H171" s="22">
        <f t="shared" si="59"/>
        <v>0</v>
      </c>
      <c r="I171" s="22">
        <f t="shared" si="59"/>
        <v>0</v>
      </c>
      <c r="J171" s="22">
        <f t="shared" si="59"/>
        <v>0</v>
      </c>
      <c r="K171" s="22">
        <f t="shared" si="59"/>
        <v>0</v>
      </c>
      <c r="L171" s="22">
        <f t="shared" si="59"/>
        <v>0</v>
      </c>
      <c r="M171" s="22">
        <f t="shared" si="59"/>
        <v>0</v>
      </c>
      <c r="N171" s="22">
        <f t="shared" si="59"/>
        <v>0</v>
      </c>
      <c r="O171" s="22">
        <f t="shared" si="59"/>
        <v>0</v>
      </c>
      <c r="P171" s="22">
        <f t="shared" si="59"/>
        <v>0</v>
      </c>
      <c r="Q171" s="22">
        <f t="shared" si="59"/>
        <v>0</v>
      </c>
      <c r="R171" s="22">
        <f t="shared" si="59"/>
        <v>0</v>
      </c>
      <c r="S171" s="22">
        <f t="shared" si="59"/>
        <v>0</v>
      </c>
      <c r="T171" s="22">
        <f t="shared" si="59"/>
        <v>0</v>
      </c>
      <c r="U171" s="22">
        <f t="shared" si="59"/>
        <v>0</v>
      </c>
      <c r="V171" s="22">
        <f t="shared" si="59"/>
        <v>0</v>
      </c>
      <c r="W171" s="22">
        <f t="shared" si="59"/>
        <v>0</v>
      </c>
      <c r="X171" s="22">
        <f t="shared" si="59"/>
        <v>0</v>
      </c>
      <c r="Y171" s="22">
        <f t="shared" si="59"/>
        <v>0</v>
      </c>
      <c r="Z171" s="22">
        <f t="shared" si="59"/>
        <v>0</v>
      </c>
      <c r="AA171" s="20">
        <f t="shared" si="57"/>
        <v>0</v>
      </c>
      <c r="AB171" s="23"/>
      <c r="AC171" s="2"/>
    </row>
    <row r="172">
      <c r="A172" s="17" t="s">
        <v>38</v>
      </c>
      <c r="B172" s="24" t="str">
        <f t="shared" ref="B172:Z172" si="60">B171/(COUNT(B167:B170)*1)</f>
        <v>#DIV/0!</v>
      </c>
      <c r="C172" s="24" t="str">
        <f t="shared" si="60"/>
        <v>#DIV/0!</v>
      </c>
      <c r="D172" s="24" t="str">
        <f t="shared" si="60"/>
        <v>#DIV/0!</v>
      </c>
      <c r="E172" s="24" t="str">
        <f t="shared" si="60"/>
        <v>#DIV/0!</v>
      </c>
      <c r="F172" s="24" t="str">
        <f t="shared" si="60"/>
        <v>#DIV/0!</v>
      </c>
      <c r="G172" s="24" t="str">
        <f t="shared" si="60"/>
        <v>#DIV/0!</v>
      </c>
      <c r="H172" s="24" t="str">
        <f t="shared" si="60"/>
        <v>#DIV/0!</v>
      </c>
      <c r="I172" s="24" t="str">
        <f t="shared" si="60"/>
        <v>#DIV/0!</v>
      </c>
      <c r="J172" s="24" t="str">
        <f t="shared" si="60"/>
        <v>#DIV/0!</v>
      </c>
      <c r="K172" s="24" t="str">
        <f t="shared" si="60"/>
        <v>#DIV/0!</v>
      </c>
      <c r="L172" s="24" t="str">
        <f t="shared" si="60"/>
        <v>#DIV/0!</v>
      </c>
      <c r="M172" s="24" t="str">
        <f t="shared" si="60"/>
        <v>#DIV/0!</v>
      </c>
      <c r="N172" s="24" t="str">
        <f t="shared" si="60"/>
        <v>#DIV/0!</v>
      </c>
      <c r="O172" s="24" t="str">
        <f t="shared" si="60"/>
        <v>#DIV/0!</v>
      </c>
      <c r="P172" s="24" t="str">
        <f t="shared" si="60"/>
        <v>#DIV/0!</v>
      </c>
      <c r="Q172" s="24" t="str">
        <f t="shared" si="60"/>
        <v>#DIV/0!</v>
      </c>
      <c r="R172" s="24" t="str">
        <f t="shared" si="60"/>
        <v>#DIV/0!</v>
      </c>
      <c r="S172" s="24" t="str">
        <f t="shared" si="60"/>
        <v>#DIV/0!</v>
      </c>
      <c r="T172" s="24" t="str">
        <f t="shared" si="60"/>
        <v>#DIV/0!</v>
      </c>
      <c r="U172" s="24" t="str">
        <f t="shared" si="60"/>
        <v>#DIV/0!</v>
      </c>
      <c r="V172" s="24" t="str">
        <f t="shared" si="60"/>
        <v>#DIV/0!</v>
      </c>
      <c r="W172" s="24" t="str">
        <f t="shared" si="60"/>
        <v>#DIV/0!</v>
      </c>
      <c r="X172" s="24" t="str">
        <f t="shared" si="60"/>
        <v>#DIV/0!</v>
      </c>
      <c r="Y172" s="24" t="str">
        <f t="shared" si="60"/>
        <v>#DIV/0!</v>
      </c>
      <c r="Z172" s="24" t="str">
        <f t="shared" si="60"/>
        <v>#DIV/0!</v>
      </c>
      <c r="AA172" s="25"/>
      <c r="AB172" s="26" t="str">
        <f>SUM(AB167:AB170)/4</f>
        <v>#DIV/0!</v>
      </c>
      <c r="AC172" s="2"/>
    </row>
    <row r="173">
      <c r="A173" s="27" t="s">
        <v>44</v>
      </c>
      <c r="B173" s="28"/>
      <c r="C173" s="29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30">
        <f t="shared" ref="AA173:AA175" si="61">SUM(B173:Z173)</f>
        <v>0</v>
      </c>
      <c r="AB173" s="31"/>
      <c r="AC173" s="2"/>
    </row>
    <row r="174">
      <c r="A174" s="32" t="s">
        <v>45</v>
      </c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28"/>
      <c r="W174" s="28"/>
      <c r="X174" s="28"/>
      <c r="Y174" s="28"/>
      <c r="Z174" s="28"/>
      <c r="AA174" s="30">
        <f t="shared" si="61"/>
        <v>0</v>
      </c>
      <c r="AB174" s="31"/>
      <c r="AC174" s="9"/>
    </row>
    <row r="175">
      <c r="A175" s="34" t="s">
        <v>46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28"/>
      <c r="W175" s="28"/>
      <c r="X175" s="28"/>
      <c r="Y175" s="28"/>
      <c r="Z175" s="28"/>
      <c r="AA175" s="30">
        <f t="shared" si="61"/>
        <v>0</v>
      </c>
      <c r="AB175" s="31"/>
      <c r="AC175" s="9"/>
    </row>
    <row r="176">
      <c r="A176" s="35" t="s">
        <v>47</v>
      </c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7"/>
      <c r="AA176" s="38"/>
      <c r="AB176" s="39"/>
      <c r="AC176" s="2"/>
    </row>
    <row r="177">
      <c r="A177" s="40" t="s">
        <v>48</v>
      </c>
      <c r="B177" s="41"/>
      <c r="C177" s="42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3"/>
      <c r="W177" s="43"/>
      <c r="X177" s="43"/>
      <c r="Y177" s="43"/>
      <c r="Z177" s="43"/>
      <c r="AA177" s="44">
        <f t="shared" ref="AA177:AA178" si="62">SUM(B177:Z177)</f>
        <v>0</v>
      </c>
      <c r="AB177" s="31"/>
      <c r="AC177" s="2"/>
    </row>
    <row r="178">
      <c r="A178" s="40" t="s">
        <v>49</v>
      </c>
      <c r="B178" s="41"/>
      <c r="C178" s="42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3"/>
      <c r="W178" s="43"/>
      <c r="X178" s="43"/>
      <c r="Y178" s="43"/>
      <c r="Z178" s="43"/>
      <c r="AA178" s="44">
        <f t="shared" si="62"/>
        <v>0</v>
      </c>
      <c r="AB178" s="31"/>
      <c r="AC178" s="2"/>
    </row>
    <row r="179">
      <c r="A179" s="40" t="s">
        <v>50</v>
      </c>
      <c r="B179" s="42"/>
      <c r="C179" s="42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3"/>
      <c r="W179" s="43"/>
      <c r="X179" s="43"/>
      <c r="Y179" s="43"/>
      <c r="Z179" s="43"/>
      <c r="AA179" s="44" t="str">
        <f>AVERAGE(B179:Z179)</f>
        <v>#DIV/0!</v>
      </c>
      <c r="AB179" s="31"/>
      <c r="AC179" s="2"/>
    </row>
    <row r="180">
      <c r="A180" s="45" t="s">
        <v>51</v>
      </c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7"/>
      <c r="AA180" s="46"/>
      <c r="AB180" s="39"/>
      <c r="AC180" s="2"/>
    </row>
    <row r="181">
      <c r="A181" s="47" t="s">
        <v>48</v>
      </c>
      <c r="B181" s="48"/>
      <c r="C181" s="49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50"/>
      <c r="W181" s="50"/>
      <c r="X181" s="50"/>
      <c r="Y181" s="50"/>
      <c r="Z181" s="50"/>
      <c r="AA181" s="51">
        <f t="shared" ref="AA181:AA182" si="63">SUM(B181:Z181)</f>
        <v>0</v>
      </c>
      <c r="AB181" s="31"/>
      <c r="AC181" s="2"/>
    </row>
    <row r="182">
      <c r="A182" s="47" t="s">
        <v>49</v>
      </c>
      <c r="B182" s="48"/>
      <c r="C182" s="49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50"/>
      <c r="W182" s="50"/>
      <c r="X182" s="50"/>
      <c r="Y182" s="50"/>
      <c r="Z182" s="50"/>
      <c r="AA182" s="51">
        <f t="shared" si="63"/>
        <v>0</v>
      </c>
      <c r="AB182" s="31"/>
      <c r="AC182" s="2"/>
    </row>
    <row r="183">
      <c r="A183" s="47" t="s">
        <v>50</v>
      </c>
      <c r="B183" s="49"/>
      <c r="C183" s="49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50"/>
      <c r="W183" s="50"/>
      <c r="X183" s="50"/>
      <c r="Y183" s="50"/>
      <c r="Z183" s="50"/>
      <c r="AA183" s="51" t="str">
        <f>AVERAGE(B183:Z183)</f>
        <v>#DIV/0!</v>
      </c>
      <c r="AB183" s="31"/>
      <c r="AC183" s="2"/>
    </row>
    <row r="184">
      <c r="A184" s="52" t="s">
        <v>53</v>
      </c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7"/>
      <c r="AA184" s="38"/>
      <c r="AB184" s="39"/>
      <c r="AC184" s="2"/>
    </row>
    <row r="185">
      <c r="A185" s="40" t="s">
        <v>48</v>
      </c>
      <c r="B185" s="41"/>
      <c r="C185" s="42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3"/>
      <c r="W185" s="43"/>
      <c r="X185" s="43"/>
      <c r="Y185" s="43"/>
      <c r="Z185" s="43"/>
      <c r="AA185" s="44">
        <f t="shared" ref="AA185:AA186" si="64">SUM(B185:Z185)</f>
        <v>0</v>
      </c>
      <c r="AB185" s="31"/>
      <c r="AC185" s="2"/>
    </row>
    <row r="186">
      <c r="A186" s="40" t="s">
        <v>49</v>
      </c>
      <c r="B186" s="41"/>
      <c r="C186" s="42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3"/>
      <c r="W186" s="43"/>
      <c r="X186" s="43"/>
      <c r="Y186" s="43"/>
      <c r="Z186" s="43"/>
      <c r="AA186" s="44">
        <f t="shared" si="64"/>
        <v>0</v>
      </c>
      <c r="AB186" s="31"/>
      <c r="AC186" s="2"/>
    </row>
    <row r="187">
      <c r="A187" s="53" t="s">
        <v>50</v>
      </c>
      <c r="B187" s="54"/>
      <c r="C187" s="54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6"/>
      <c r="W187" s="56"/>
      <c r="X187" s="56"/>
      <c r="Y187" s="56"/>
      <c r="Z187" s="56"/>
      <c r="AA187" s="57" t="str">
        <f>AVERAGE(B187:Z187)</f>
        <v>#DIV/0!</v>
      </c>
      <c r="AB187" s="58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59"/>
      <c r="AB188" s="59"/>
      <c r="AC188" s="2"/>
    </row>
    <row r="189">
      <c r="A189" s="71" t="s">
        <v>54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5" t="s">
        <v>37</v>
      </c>
      <c r="AB189" s="16" t="s">
        <v>38</v>
      </c>
      <c r="AC189" s="2"/>
    </row>
    <row r="190">
      <c r="A190" s="17" t="s">
        <v>39</v>
      </c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20">
        <f t="shared" ref="AA190:AA194" si="65">SUM(B190:Z190)</f>
        <v>0</v>
      </c>
      <c r="AB190" s="21" t="str">
        <f t="shared" ref="AB190:AB193" si="66">AA190/(COUNT(B190:Z190)*1)</f>
        <v>#DIV/0!</v>
      </c>
      <c r="AC190" s="2"/>
    </row>
    <row r="191">
      <c r="A191" s="17" t="s">
        <v>40</v>
      </c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20">
        <f t="shared" si="65"/>
        <v>0</v>
      </c>
      <c r="AB191" s="21" t="str">
        <f t="shared" si="66"/>
        <v>#DIV/0!</v>
      </c>
      <c r="AC191" s="2"/>
    </row>
    <row r="192">
      <c r="A192" s="17" t="s">
        <v>41</v>
      </c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20">
        <f t="shared" si="65"/>
        <v>0</v>
      </c>
      <c r="AB192" s="21" t="str">
        <f t="shared" si="66"/>
        <v>#DIV/0!</v>
      </c>
      <c r="AC192" s="2"/>
    </row>
    <row r="193">
      <c r="A193" s="17" t="s">
        <v>42</v>
      </c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20">
        <f t="shared" si="65"/>
        <v>0</v>
      </c>
      <c r="AB193" s="21" t="str">
        <f t="shared" si="66"/>
        <v>#DIV/0!</v>
      </c>
      <c r="AC193" s="2"/>
    </row>
    <row r="194">
      <c r="A194" s="17" t="s">
        <v>43</v>
      </c>
      <c r="B194" s="22">
        <f t="shared" ref="B194:Z194" si="67">SUM(B190:B193)</f>
        <v>0</v>
      </c>
      <c r="C194" s="22">
        <f t="shared" si="67"/>
        <v>0</v>
      </c>
      <c r="D194" s="22">
        <f t="shared" si="67"/>
        <v>0</v>
      </c>
      <c r="E194" s="22">
        <f t="shared" si="67"/>
        <v>0</v>
      </c>
      <c r="F194" s="22">
        <f t="shared" si="67"/>
        <v>0</v>
      </c>
      <c r="G194" s="22">
        <f t="shared" si="67"/>
        <v>0</v>
      </c>
      <c r="H194" s="22">
        <f t="shared" si="67"/>
        <v>0</v>
      </c>
      <c r="I194" s="22">
        <f t="shared" si="67"/>
        <v>0</v>
      </c>
      <c r="J194" s="22">
        <f t="shared" si="67"/>
        <v>0</v>
      </c>
      <c r="K194" s="22">
        <f t="shared" si="67"/>
        <v>0</v>
      </c>
      <c r="L194" s="22">
        <f t="shared" si="67"/>
        <v>0</v>
      </c>
      <c r="M194" s="22">
        <f t="shared" si="67"/>
        <v>0</v>
      </c>
      <c r="N194" s="22">
        <f t="shared" si="67"/>
        <v>0</v>
      </c>
      <c r="O194" s="22">
        <f t="shared" si="67"/>
        <v>0</v>
      </c>
      <c r="P194" s="22">
        <f t="shared" si="67"/>
        <v>0</v>
      </c>
      <c r="Q194" s="22">
        <f t="shared" si="67"/>
        <v>0</v>
      </c>
      <c r="R194" s="22">
        <f t="shared" si="67"/>
        <v>0</v>
      </c>
      <c r="S194" s="22">
        <f t="shared" si="67"/>
        <v>0</v>
      </c>
      <c r="T194" s="22">
        <f t="shared" si="67"/>
        <v>0</v>
      </c>
      <c r="U194" s="22">
        <f t="shared" si="67"/>
        <v>0</v>
      </c>
      <c r="V194" s="22">
        <f t="shared" si="67"/>
        <v>0</v>
      </c>
      <c r="W194" s="22">
        <f t="shared" si="67"/>
        <v>0</v>
      </c>
      <c r="X194" s="22">
        <f t="shared" si="67"/>
        <v>0</v>
      </c>
      <c r="Y194" s="22">
        <f t="shared" si="67"/>
        <v>0</v>
      </c>
      <c r="Z194" s="22">
        <f t="shared" si="67"/>
        <v>0</v>
      </c>
      <c r="AA194" s="20">
        <f t="shared" si="65"/>
        <v>0</v>
      </c>
      <c r="AB194" s="23"/>
      <c r="AC194" s="2"/>
    </row>
    <row r="195">
      <c r="A195" s="17" t="s">
        <v>38</v>
      </c>
      <c r="B195" s="24" t="str">
        <f t="shared" ref="B195:Z195" si="68">B194/(COUNT(B190:B193)*1)</f>
        <v>#DIV/0!</v>
      </c>
      <c r="C195" s="24" t="str">
        <f t="shared" si="68"/>
        <v>#DIV/0!</v>
      </c>
      <c r="D195" s="24" t="str">
        <f t="shared" si="68"/>
        <v>#DIV/0!</v>
      </c>
      <c r="E195" s="24" t="str">
        <f t="shared" si="68"/>
        <v>#DIV/0!</v>
      </c>
      <c r="F195" s="24" t="str">
        <f t="shared" si="68"/>
        <v>#DIV/0!</v>
      </c>
      <c r="G195" s="24" t="str">
        <f t="shared" si="68"/>
        <v>#DIV/0!</v>
      </c>
      <c r="H195" s="24" t="str">
        <f t="shared" si="68"/>
        <v>#DIV/0!</v>
      </c>
      <c r="I195" s="24" t="str">
        <f t="shared" si="68"/>
        <v>#DIV/0!</v>
      </c>
      <c r="J195" s="24" t="str">
        <f t="shared" si="68"/>
        <v>#DIV/0!</v>
      </c>
      <c r="K195" s="24" t="str">
        <f t="shared" si="68"/>
        <v>#DIV/0!</v>
      </c>
      <c r="L195" s="24" t="str">
        <f t="shared" si="68"/>
        <v>#DIV/0!</v>
      </c>
      <c r="M195" s="24" t="str">
        <f t="shared" si="68"/>
        <v>#DIV/0!</v>
      </c>
      <c r="N195" s="24" t="str">
        <f t="shared" si="68"/>
        <v>#DIV/0!</v>
      </c>
      <c r="O195" s="24" t="str">
        <f t="shared" si="68"/>
        <v>#DIV/0!</v>
      </c>
      <c r="P195" s="24" t="str">
        <f t="shared" si="68"/>
        <v>#DIV/0!</v>
      </c>
      <c r="Q195" s="24" t="str">
        <f t="shared" si="68"/>
        <v>#DIV/0!</v>
      </c>
      <c r="R195" s="24" t="str">
        <f t="shared" si="68"/>
        <v>#DIV/0!</v>
      </c>
      <c r="S195" s="24" t="str">
        <f t="shared" si="68"/>
        <v>#DIV/0!</v>
      </c>
      <c r="T195" s="24" t="str">
        <f t="shared" si="68"/>
        <v>#DIV/0!</v>
      </c>
      <c r="U195" s="24" t="str">
        <f t="shared" si="68"/>
        <v>#DIV/0!</v>
      </c>
      <c r="V195" s="24" t="str">
        <f t="shared" si="68"/>
        <v>#DIV/0!</v>
      </c>
      <c r="W195" s="24" t="str">
        <f t="shared" si="68"/>
        <v>#DIV/0!</v>
      </c>
      <c r="X195" s="24" t="str">
        <f t="shared" si="68"/>
        <v>#DIV/0!</v>
      </c>
      <c r="Y195" s="24" t="str">
        <f t="shared" si="68"/>
        <v>#DIV/0!</v>
      </c>
      <c r="Z195" s="24" t="str">
        <f t="shared" si="68"/>
        <v>#DIV/0!</v>
      </c>
      <c r="AA195" s="25"/>
      <c r="AB195" s="26" t="str">
        <f>SUM(AB190:AB193)/4</f>
        <v>#DIV/0!</v>
      </c>
      <c r="AC195" s="2"/>
    </row>
    <row r="196">
      <c r="A196" s="27" t="s">
        <v>44</v>
      </c>
      <c r="B196" s="28"/>
      <c r="C196" s="29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30">
        <f t="shared" ref="AA196:AA198" si="69">SUM(B196:Z196)</f>
        <v>0</v>
      </c>
      <c r="AB196" s="31"/>
      <c r="AC196" s="2"/>
    </row>
    <row r="197">
      <c r="A197" s="32" t="s">
        <v>45</v>
      </c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28"/>
      <c r="W197" s="28"/>
      <c r="X197" s="28"/>
      <c r="Y197" s="28"/>
      <c r="Z197" s="28"/>
      <c r="AA197" s="30">
        <f t="shared" si="69"/>
        <v>0</v>
      </c>
      <c r="AB197" s="31"/>
      <c r="AC197" s="9"/>
    </row>
    <row r="198">
      <c r="A198" s="34" t="s">
        <v>46</v>
      </c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28"/>
      <c r="W198" s="28"/>
      <c r="X198" s="28"/>
      <c r="Y198" s="28"/>
      <c r="Z198" s="28"/>
      <c r="AA198" s="30">
        <f t="shared" si="69"/>
        <v>0</v>
      </c>
      <c r="AB198" s="31"/>
      <c r="AC198" s="9"/>
    </row>
    <row r="199">
      <c r="A199" s="35" t="s">
        <v>47</v>
      </c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7"/>
      <c r="AA199" s="38"/>
      <c r="AB199" s="39"/>
      <c r="AC199" s="2"/>
    </row>
    <row r="200">
      <c r="A200" s="40" t="s">
        <v>48</v>
      </c>
      <c r="B200" s="41"/>
      <c r="C200" s="42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3"/>
      <c r="W200" s="43"/>
      <c r="X200" s="43"/>
      <c r="Y200" s="43"/>
      <c r="Z200" s="43"/>
      <c r="AA200" s="44">
        <f t="shared" ref="AA200:AA201" si="70">SUM(B200:Z200)</f>
        <v>0</v>
      </c>
      <c r="AB200" s="31"/>
      <c r="AC200" s="2"/>
    </row>
    <row r="201">
      <c r="A201" s="40" t="s">
        <v>49</v>
      </c>
      <c r="B201" s="41"/>
      <c r="C201" s="42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3"/>
      <c r="W201" s="43"/>
      <c r="X201" s="43"/>
      <c r="Y201" s="43"/>
      <c r="Z201" s="43"/>
      <c r="AA201" s="44">
        <f t="shared" si="70"/>
        <v>0</v>
      </c>
      <c r="AB201" s="31"/>
      <c r="AC201" s="2"/>
    </row>
    <row r="202">
      <c r="A202" s="40" t="s">
        <v>50</v>
      </c>
      <c r="B202" s="42"/>
      <c r="C202" s="42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3"/>
      <c r="W202" s="43"/>
      <c r="X202" s="43"/>
      <c r="Y202" s="43"/>
      <c r="Z202" s="43"/>
      <c r="AA202" s="44" t="str">
        <f>AVERAGE(B202:Z202)</f>
        <v>#DIV/0!</v>
      </c>
      <c r="AB202" s="31"/>
      <c r="AC202" s="2"/>
    </row>
    <row r="203">
      <c r="A203" s="45" t="s">
        <v>51</v>
      </c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7"/>
      <c r="AA203" s="46"/>
      <c r="AB203" s="39"/>
      <c r="AC203" s="2"/>
    </row>
    <row r="204">
      <c r="A204" s="47" t="s">
        <v>48</v>
      </c>
      <c r="B204" s="48"/>
      <c r="C204" s="49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50"/>
      <c r="W204" s="50"/>
      <c r="X204" s="50"/>
      <c r="Y204" s="50"/>
      <c r="Z204" s="50"/>
      <c r="AA204" s="51">
        <f t="shared" ref="AA204:AA205" si="71">SUM(B204:Z204)</f>
        <v>0</v>
      </c>
      <c r="AB204" s="31"/>
      <c r="AC204" s="2"/>
    </row>
    <row r="205">
      <c r="A205" s="47" t="s">
        <v>49</v>
      </c>
      <c r="B205" s="48"/>
      <c r="C205" s="49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50"/>
      <c r="W205" s="50"/>
      <c r="X205" s="50"/>
      <c r="Y205" s="50"/>
      <c r="Z205" s="50"/>
      <c r="AA205" s="51">
        <f t="shared" si="71"/>
        <v>0</v>
      </c>
      <c r="AB205" s="31"/>
      <c r="AC205" s="2"/>
    </row>
    <row r="206">
      <c r="A206" s="47" t="s">
        <v>50</v>
      </c>
      <c r="B206" s="49"/>
      <c r="C206" s="49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50"/>
      <c r="W206" s="50"/>
      <c r="X206" s="50"/>
      <c r="Y206" s="50"/>
      <c r="Z206" s="50"/>
      <c r="AA206" s="51" t="str">
        <f>AVERAGE(B206:Z206)</f>
        <v>#DIV/0!</v>
      </c>
      <c r="AB206" s="31"/>
      <c r="AC206" s="2"/>
    </row>
    <row r="207">
      <c r="A207" s="52" t="s">
        <v>53</v>
      </c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7"/>
      <c r="AA207" s="38"/>
      <c r="AB207" s="39"/>
      <c r="AC207" s="2"/>
    </row>
    <row r="208">
      <c r="A208" s="40" t="s">
        <v>48</v>
      </c>
      <c r="B208" s="41"/>
      <c r="C208" s="42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3"/>
      <c r="W208" s="43"/>
      <c r="X208" s="43"/>
      <c r="Y208" s="43"/>
      <c r="Z208" s="43"/>
      <c r="AA208" s="44">
        <f t="shared" ref="AA208:AA209" si="72">SUM(B208:Z208)</f>
        <v>0</v>
      </c>
      <c r="AB208" s="31"/>
      <c r="AC208" s="2"/>
    </row>
    <row r="209">
      <c r="A209" s="40" t="s">
        <v>49</v>
      </c>
      <c r="B209" s="41"/>
      <c r="C209" s="42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3"/>
      <c r="W209" s="43"/>
      <c r="X209" s="43"/>
      <c r="Y209" s="43"/>
      <c r="Z209" s="43"/>
      <c r="AA209" s="44">
        <f t="shared" si="72"/>
        <v>0</v>
      </c>
      <c r="AB209" s="31"/>
      <c r="AC209" s="2"/>
    </row>
    <row r="210">
      <c r="A210" s="53" t="s">
        <v>50</v>
      </c>
      <c r="B210" s="54"/>
      <c r="C210" s="54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6"/>
      <c r="W210" s="56"/>
      <c r="X210" s="56"/>
      <c r="Y210" s="56"/>
      <c r="Z210" s="56"/>
      <c r="AA210" s="57" t="str">
        <f>AVERAGE(B210:Z210)</f>
        <v>#DIV/0!</v>
      </c>
      <c r="AB210" s="58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59"/>
      <c r="AB211" s="59"/>
      <c r="AC211" s="2"/>
    </row>
    <row r="212">
      <c r="A212" s="71" t="s">
        <v>54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5" t="s">
        <v>37</v>
      </c>
      <c r="AB212" s="16" t="s">
        <v>38</v>
      </c>
      <c r="AC212" s="2"/>
    </row>
    <row r="213">
      <c r="A213" s="17" t="s">
        <v>39</v>
      </c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20">
        <f t="shared" ref="AA213:AA217" si="73">SUM(B213:Z213)</f>
        <v>0</v>
      </c>
      <c r="AB213" s="21" t="str">
        <f t="shared" ref="AB213:AB216" si="74">AA213/(COUNT(B213:Z213)*1)</f>
        <v>#DIV/0!</v>
      </c>
      <c r="AC213" s="2"/>
    </row>
    <row r="214">
      <c r="A214" s="17" t="s">
        <v>40</v>
      </c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20">
        <f t="shared" si="73"/>
        <v>0</v>
      </c>
      <c r="AB214" s="21" t="str">
        <f t="shared" si="74"/>
        <v>#DIV/0!</v>
      </c>
      <c r="AC214" s="2"/>
    </row>
    <row r="215">
      <c r="A215" s="17" t="s">
        <v>41</v>
      </c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20">
        <f t="shared" si="73"/>
        <v>0</v>
      </c>
      <c r="AB215" s="21" t="str">
        <f t="shared" si="74"/>
        <v>#DIV/0!</v>
      </c>
      <c r="AC215" s="2"/>
    </row>
    <row r="216">
      <c r="A216" s="17" t="s">
        <v>42</v>
      </c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20">
        <f t="shared" si="73"/>
        <v>0</v>
      </c>
      <c r="AB216" s="21" t="str">
        <f t="shared" si="74"/>
        <v>#DIV/0!</v>
      </c>
      <c r="AC216" s="2"/>
    </row>
    <row r="217">
      <c r="A217" s="17" t="s">
        <v>43</v>
      </c>
      <c r="B217" s="22">
        <f t="shared" ref="B217:Z217" si="75">SUM(B213:B216)</f>
        <v>0</v>
      </c>
      <c r="C217" s="22">
        <f t="shared" si="75"/>
        <v>0</v>
      </c>
      <c r="D217" s="22">
        <f t="shared" si="75"/>
        <v>0</v>
      </c>
      <c r="E217" s="22">
        <f t="shared" si="75"/>
        <v>0</v>
      </c>
      <c r="F217" s="22">
        <f t="shared" si="75"/>
        <v>0</v>
      </c>
      <c r="G217" s="22">
        <f t="shared" si="75"/>
        <v>0</v>
      </c>
      <c r="H217" s="22">
        <f t="shared" si="75"/>
        <v>0</v>
      </c>
      <c r="I217" s="22">
        <f t="shared" si="75"/>
        <v>0</v>
      </c>
      <c r="J217" s="22">
        <f t="shared" si="75"/>
        <v>0</v>
      </c>
      <c r="K217" s="22">
        <f t="shared" si="75"/>
        <v>0</v>
      </c>
      <c r="L217" s="22">
        <f t="shared" si="75"/>
        <v>0</v>
      </c>
      <c r="M217" s="22">
        <f t="shared" si="75"/>
        <v>0</v>
      </c>
      <c r="N217" s="22">
        <f t="shared" si="75"/>
        <v>0</v>
      </c>
      <c r="O217" s="22">
        <f t="shared" si="75"/>
        <v>0</v>
      </c>
      <c r="P217" s="22">
        <f t="shared" si="75"/>
        <v>0</v>
      </c>
      <c r="Q217" s="22">
        <f t="shared" si="75"/>
        <v>0</v>
      </c>
      <c r="R217" s="22">
        <f t="shared" si="75"/>
        <v>0</v>
      </c>
      <c r="S217" s="22">
        <f t="shared" si="75"/>
        <v>0</v>
      </c>
      <c r="T217" s="22">
        <f t="shared" si="75"/>
        <v>0</v>
      </c>
      <c r="U217" s="22">
        <f t="shared" si="75"/>
        <v>0</v>
      </c>
      <c r="V217" s="22">
        <f t="shared" si="75"/>
        <v>0</v>
      </c>
      <c r="W217" s="22">
        <f t="shared" si="75"/>
        <v>0</v>
      </c>
      <c r="X217" s="22">
        <f t="shared" si="75"/>
        <v>0</v>
      </c>
      <c r="Y217" s="22">
        <f t="shared" si="75"/>
        <v>0</v>
      </c>
      <c r="Z217" s="22">
        <f t="shared" si="75"/>
        <v>0</v>
      </c>
      <c r="AA217" s="20">
        <f t="shared" si="73"/>
        <v>0</v>
      </c>
      <c r="AB217" s="23"/>
      <c r="AC217" s="2"/>
    </row>
    <row r="218">
      <c r="A218" s="17" t="s">
        <v>38</v>
      </c>
      <c r="B218" s="24" t="str">
        <f t="shared" ref="B218:Z218" si="76">B217/(COUNT(B213:B216)*1)</f>
        <v>#DIV/0!</v>
      </c>
      <c r="C218" s="24" t="str">
        <f t="shared" si="76"/>
        <v>#DIV/0!</v>
      </c>
      <c r="D218" s="24" t="str">
        <f t="shared" si="76"/>
        <v>#DIV/0!</v>
      </c>
      <c r="E218" s="24" t="str">
        <f t="shared" si="76"/>
        <v>#DIV/0!</v>
      </c>
      <c r="F218" s="24" t="str">
        <f t="shared" si="76"/>
        <v>#DIV/0!</v>
      </c>
      <c r="G218" s="24" t="str">
        <f t="shared" si="76"/>
        <v>#DIV/0!</v>
      </c>
      <c r="H218" s="24" t="str">
        <f t="shared" si="76"/>
        <v>#DIV/0!</v>
      </c>
      <c r="I218" s="24" t="str">
        <f t="shared" si="76"/>
        <v>#DIV/0!</v>
      </c>
      <c r="J218" s="24" t="str">
        <f t="shared" si="76"/>
        <v>#DIV/0!</v>
      </c>
      <c r="K218" s="24" t="str">
        <f t="shared" si="76"/>
        <v>#DIV/0!</v>
      </c>
      <c r="L218" s="24" t="str">
        <f t="shared" si="76"/>
        <v>#DIV/0!</v>
      </c>
      <c r="M218" s="24" t="str">
        <f t="shared" si="76"/>
        <v>#DIV/0!</v>
      </c>
      <c r="N218" s="24" t="str">
        <f t="shared" si="76"/>
        <v>#DIV/0!</v>
      </c>
      <c r="O218" s="24" t="str">
        <f t="shared" si="76"/>
        <v>#DIV/0!</v>
      </c>
      <c r="P218" s="24" t="str">
        <f t="shared" si="76"/>
        <v>#DIV/0!</v>
      </c>
      <c r="Q218" s="24" t="str">
        <f t="shared" si="76"/>
        <v>#DIV/0!</v>
      </c>
      <c r="R218" s="24" t="str">
        <f t="shared" si="76"/>
        <v>#DIV/0!</v>
      </c>
      <c r="S218" s="24" t="str">
        <f t="shared" si="76"/>
        <v>#DIV/0!</v>
      </c>
      <c r="T218" s="24" t="str">
        <f t="shared" si="76"/>
        <v>#DIV/0!</v>
      </c>
      <c r="U218" s="24" t="str">
        <f t="shared" si="76"/>
        <v>#DIV/0!</v>
      </c>
      <c r="V218" s="24" t="str">
        <f t="shared" si="76"/>
        <v>#DIV/0!</v>
      </c>
      <c r="W218" s="24" t="str">
        <f t="shared" si="76"/>
        <v>#DIV/0!</v>
      </c>
      <c r="X218" s="24" t="str">
        <f t="shared" si="76"/>
        <v>#DIV/0!</v>
      </c>
      <c r="Y218" s="24" t="str">
        <f t="shared" si="76"/>
        <v>#DIV/0!</v>
      </c>
      <c r="Z218" s="24" t="str">
        <f t="shared" si="76"/>
        <v>#DIV/0!</v>
      </c>
      <c r="AA218" s="25"/>
      <c r="AB218" s="26" t="str">
        <f>SUM(AB213:AB216)/4</f>
        <v>#DIV/0!</v>
      </c>
      <c r="AC218" s="2"/>
    </row>
    <row r="219">
      <c r="A219" s="27" t="s">
        <v>44</v>
      </c>
      <c r="B219" s="28"/>
      <c r="C219" s="29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30">
        <f t="shared" ref="AA219:AA221" si="77">SUM(B219:Z219)</f>
        <v>0</v>
      </c>
      <c r="AB219" s="31"/>
      <c r="AC219" s="2"/>
    </row>
    <row r="220">
      <c r="A220" s="32" t="s">
        <v>45</v>
      </c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28"/>
      <c r="W220" s="28"/>
      <c r="X220" s="28"/>
      <c r="Y220" s="28"/>
      <c r="Z220" s="28"/>
      <c r="AA220" s="30">
        <f t="shared" si="77"/>
        <v>0</v>
      </c>
      <c r="AB220" s="31"/>
      <c r="AC220" s="9"/>
    </row>
    <row r="221">
      <c r="A221" s="34" t="s">
        <v>46</v>
      </c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28"/>
      <c r="W221" s="28"/>
      <c r="X221" s="28"/>
      <c r="Y221" s="28"/>
      <c r="Z221" s="28"/>
      <c r="AA221" s="30">
        <f t="shared" si="77"/>
        <v>0</v>
      </c>
      <c r="AB221" s="31"/>
      <c r="AC221" s="9"/>
    </row>
    <row r="222">
      <c r="A222" s="35" t="s">
        <v>47</v>
      </c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7"/>
      <c r="AA222" s="38"/>
      <c r="AB222" s="39"/>
      <c r="AC222" s="2"/>
    </row>
    <row r="223">
      <c r="A223" s="40" t="s">
        <v>48</v>
      </c>
      <c r="B223" s="41"/>
      <c r="C223" s="42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3"/>
      <c r="W223" s="43"/>
      <c r="X223" s="43"/>
      <c r="Y223" s="43"/>
      <c r="Z223" s="43"/>
      <c r="AA223" s="44">
        <f t="shared" ref="AA223:AA224" si="78">SUM(B223:Z223)</f>
        <v>0</v>
      </c>
      <c r="AB223" s="31"/>
      <c r="AC223" s="2"/>
    </row>
    <row r="224">
      <c r="A224" s="40" t="s">
        <v>49</v>
      </c>
      <c r="B224" s="41"/>
      <c r="C224" s="42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3"/>
      <c r="W224" s="43"/>
      <c r="X224" s="43"/>
      <c r="Y224" s="43"/>
      <c r="Z224" s="43"/>
      <c r="AA224" s="44">
        <f t="shared" si="78"/>
        <v>0</v>
      </c>
      <c r="AB224" s="31"/>
      <c r="AC224" s="2"/>
    </row>
    <row r="225">
      <c r="A225" s="40" t="s">
        <v>50</v>
      </c>
      <c r="B225" s="42"/>
      <c r="C225" s="42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3"/>
      <c r="W225" s="43"/>
      <c r="X225" s="43"/>
      <c r="Y225" s="43"/>
      <c r="Z225" s="43"/>
      <c r="AA225" s="44" t="str">
        <f>AVERAGE(B225:Z225)</f>
        <v>#DIV/0!</v>
      </c>
      <c r="AB225" s="31"/>
      <c r="AC225" s="2"/>
    </row>
    <row r="226">
      <c r="A226" s="45" t="s">
        <v>51</v>
      </c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7"/>
      <c r="AA226" s="46"/>
      <c r="AB226" s="39"/>
      <c r="AC226" s="2"/>
    </row>
    <row r="227">
      <c r="A227" s="47" t="s">
        <v>48</v>
      </c>
      <c r="B227" s="48"/>
      <c r="C227" s="49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50"/>
      <c r="W227" s="50"/>
      <c r="X227" s="50"/>
      <c r="Y227" s="50"/>
      <c r="Z227" s="50"/>
      <c r="AA227" s="51">
        <f t="shared" ref="AA227:AA228" si="79">SUM(B227:Z227)</f>
        <v>0</v>
      </c>
      <c r="AB227" s="31"/>
      <c r="AC227" s="2"/>
    </row>
    <row r="228">
      <c r="A228" s="47" t="s">
        <v>49</v>
      </c>
      <c r="B228" s="48"/>
      <c r="C228" s="49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50"/>
      <c r="W228" s="50"/>
      <c r="X228" s="50"/>
      <c r="Y228" s="50"/>
      <c r="Z228" s="50"/>
      <c r="AA228" s="51">
        <f t="shared" si="79"/>
        <v>0</v>
      </c>
      <c r="AB228" s="31"/>
      <c r="AC228" s="2"/>
    </row>
    <row r="229">
      <c r="A229" s="47" t="s">
        <v>50</v>
      </c>
      <c r="B229" s="49"/>
      <c r="C229" s="49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50"/>
      <c r="W229" s="50"/>
      <c r="X229" s="50"/>
      <c r="Y229" s="50"/>
      <c r="Z229" s="50"/>
      <c r="AA229" s="51" t="str">
        <f>AVERAGE(B29:Z229)</f>
        <v>#DIV/0!</v>
      </c>
      <c r="AB229" s="31"/>
      <c r="AC229" s="2"/>
    </row>
    <row r="230">
      <c r="A230" s="52" t="s">
        <v>53</v>
      </c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7"/>
      <c r="AA230" s="38"/>
      <c r="AB230" s="39"/>
      <c r="AC230" s="2"/>
    </row>
    <row r="231">
      <c r="A231" s="40" t="s">
        <v>48</v>
      </c>
      <c r="B231" s="41"/>
      <c r="C231" s="42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3"/>
      <c r="W231" s="43"/>
      <c r="X231" s="43"/>
      <c r="Y231" s="43"/>
      <c r="Z231" s="43"/>
      <c r="AA231" s="44">
        <f t="shared" ref="AA231:AA232" si="80">SUM(B231:Z231)</f>
        <v>0</v>
      </c>
      <c r="AB231" s="31"/>
      <c r="AC231" s="2"/>
    </row>
    <row r="232">
      <c r="A232" s="40" t="s">
        <v>49</v>
      </c>
      <c r="B232" s="41"/>
      <c r="C232" s="42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3"/>
      <c r="W232" s="43"/>
      <c r="X232" s="43"/>
      <c r="Y232" s="43"/>
      <c r="Z232" s="43"/>
      <c r="AA232" s="44">
        <f t="shared" si="80"/>
        <v>0</v>
      </c>
      <c r="AB232" s="31"/>
      <c r="AC232" s="2"/>
    </row>
    <row r="233">
      <c r="A233" s="53" t="s">
        <v>50</v>
      </c>
      <c r="B233" s="54"/>
      <c r="C233" s="54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6"/>
      <c r="W233" s="56"/>
      <c r="X233" s="56"/>
      <c r="Y233" s="56"/>
      <c r="Z233" s="56"/>
      <c r="AA233" s="57" t="str">
        <f>AVERAGE(B233:Z233)</f>
        <v>#DIV/0!</v>
      </c>
      <c r="AB233" s="58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59"/>
      <c r="AB234" s="59"/>
      <c r="AC234" s="2"/>
    </row>
    <row r="235">
      <c r="A235" s="71" t="s">
        <v>54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5" t="s">
        <v>37</v>
      </c>
      <c r="AB235" s="16" t="s">
        <v>38</v>
      </c>
      <c r="AC235" s="2"/>
    </row>
    <row r="236">
      <c r="A236" s="17" t="s">
        <v>39</v>
      </c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20">
        <f t="shared" ref="AA236:AA240" si="81">SUM(B236:Z236)</f>
        <v>0</v>
      </c>
      <c r="AB236" s="21" t="str">
        <f t="shared" ref="AB236:AB239" si="82">AA236/(COUNT(B236:Z236)*1)</f>
        <v>#DIV/0!</v>
      </c>
      <c r="AC236" s="2"/>
    </row>
    <row r="237">
      <c r="A237" s="17" t="s">
        <v>40</v>
      </c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20">
        <f t="shared" si="81"/>
        <v>0</v>
      </c>
      <c r="AB237" s="21" t="str">
        <f t="shared" si="82"/>
        <v>#DIV/0!</v>
      </c>
      <c r="AC237" s="2"/>
    </row>
    <row r="238">
      <c r="A238" s="17" t="s">
        <v>41</v>
      </c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20">
        <f t="shared" si="81"/>
        <v>0</v>
      </c>
      <c r="AB238" s="21" t="str">
        <f t="shared" si="82"/>
        <v>#DIV/0!</v>
      </c>
      <c r="AC238" s="2"/>
    </row>
    <row r="239">
      <c r="A239" s="17" t="s">
        <v>42</v>
      </c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20">
        <f t="shared" si="81"/>
        <v>0</v>
      </c>
      <c r="AB239" s="21" t="str">
        <f t="shared" si="82"/>
        <v>#DIV/0!</v>
      </c>
      <c r="AC239" s="2"/>
    </row>
    <row r="240">
      <c r="A240" s="17" t="s">
        <v>43</v>
      </c>
      <c r="B240" s="22">
        <f t="shared" ref="B240:Z240" si="83">SUM(B236:B239)</f>
        <v>0</v>
      </c>
      <c r="C240" s="22">
        <f t="shared" si="83"/>
        <v>0</v>
      </c>
      <c r="D240" s="22">
        <f t="shared" si="83"/>
        <v>0</v>
      </c>
      <c r="E240" s="22">
        <f t="shared" si="83"/>
        <v>0</v>
      </c>
      <c r="F240" s="22">
        <f t="shared" si="83"/>
        <v>0</v>
      </c>
      <c r="G240" s="22">
        <f t="shared" si="83"/>
        <v>0</v>
      </c>
      <c r="H240" s="22">
        <f t="shared" si="83"/>
        <v>0</v>
      </c>
      <c r="I240" s="22">
        <f t="shared" si="83"/>
        <v>0</v>
      </c>
      <c r="J240" s="22">
        <f t="shared" si="83"/>
        <v>0</v>
      </c>
      <c r="K240" s="22">
        <f t="shared" si="83"/>
        <v>0</v>
      </c>
      <c r="L240" s="22">
        <f t="shared" si="83"/>
        <v>0</v>
      </c>
      <c r="M240" s="22">
        <f t="shared" si="83"/>
        <v>0</v>
      </c>
      <c r="N240" s="22">
        <f t="shared" si="83"/>
        <v>0</v>
      </c>
      <c r="O240" s="22">
        <f t="shared" si="83"/>
        <v>0</v>
      </c>
      <c r="P240" s="22">
        <f t="shared" si="83"/>
        <v>0</v>
      </c>
      <c r="Q240" s="22">
        <f t="shared" si="83"/>
        <v>0</v>
      </c>
      <c r="R240" s="22">
        <f t="shared" si="83"/>
        <v>0</v>
      </c>
      <c r="S240" s="22">
        <f t="shared" si="83"/>
        <v>0</v>
      </c>
      <c r="T240" s="22">
        <f t="shared" si="83"/>
        <v>0</v>
      </c>
      <c r="U240" s="22">
        <f t="shared" si="83"/>
        <v>0</v>
      </c>
      <c r="V240" s="22">
        <f t="shared" si="83"/>
        <v>0</v>
      </c>
      <c r="W240" s="22">
        <f t="shared" si="83"/>
        <v>0</v>
      </c>
      <c r="X240" s="22">
        <f t="shared" si="83"/>
        <v>0</v>
      </c>
      <c r="Y240" s="22">
        <f t="shared" si="83"/>
        <v>0</v>
      </c>
      <c r="Z240" s="22">
        <f t="shared" si="83"/>
        <v>0</v>
      </c>
      <c r="AA240" s="20">
        <f t="shared" si="81"/>
        <v>0</v>
      </c>
      <c r="AB240" s="23"/>
      <c r="AC240" s="2"/>
    </row>
    <row r="241">
      <c r="A241" s="17" t="s">
        <v>38</v>
      </c>
      <c r="B241" s="24" t="str">
        <f t="shared" ref="B241:Z241" si="84">B240/(COUNT(B236:B239)*1)</f>
        <v>#DIV/0!</v>
      </c>
      <c r="C241" s="24" t="str">
        <f t="shared" si="84"/>
        <v>#DIV/0!</v>
      </c>
      <c r="D241" s="24" t="str">
        <f t="shared" si="84"/>
        <v>#DIV/0!</v>
      </c>
      <c r="E241" s="24" t="str">
        <f t="shared" si="84"/>
        <v>#DIV/0!</v>
      </c>
      <c r="F241" s="24" t="str">
        <f t="shared" si="84"/>
        <v>#DIV/0!</v>
      </c>
      <c r="G241" s="24" t="str">
        <f t="shared" si="84"/>
        <v>#DIV/0!</v>
      </c>
      <c r="H241" s="24" t="str">
        <f t="shared" si="84"/>
        <v>#DIV/0!</v>
      </c>
      <c r="I241" s="24" t="str">
        <f t="shared" si="84"/>
        <v>#DIV/0!</v>
      </c>
      <c r="J241" s="24" t="str">
        <f t="shared" si="84"/>
        <v>#DIV/0!</v>
      </c>
      <c r="K241" s="24" t="str">
        <f t="shared" si="84"/>
        <v>#DIV/0!</v>
      </c>
      <c r="L241" s="24" t="str">
        <f t="shared" si="84"/>
        <v>#DIV/0!</v>
      </c>
      <c r="M241" s="24" t="str">
        <f t="shared" si="84"/>
        <v>#DIV/0!</v>
      </c>
      <c r="N241" s="24" t="str">
        <f t="shared" si="84"/>
        <v>#DIV/0!</v>
      </c>
      <c r="O241" s="24" t="str">
        <f t="shared" si="84"/>
        <v>#DIV/0!</v>
      </c>
      <c r="P241" s="24" t="str">
        <f t="shared" si="84"/>
        <v>#DIV/0!</v>
      </c>
      <c r="Q241" s="24" t="str">
        <f t="shared" si="84"/>
        <v>#DIV/0!</v>
      </c>
      <c r="R241" s="24" t="str">
        <f t="shared" si="84"/>
        <v>#DIV/0!</v>
      </c>
      <c r="S241" s="24" t="str">
        <f t="shared" si="84"/>
        <v>#DIV/0!</v>
      </c>
      <c r="T241" s="24" t="str">
        <f t="shared" si="84"/>
        <v>#DIV/0!</v>
      </c>
      <c r="U241" s="24" t="str">
        <f t="shared" si="84"/>
        <v>#DIV/0!</v>
      </c>
      <c r="V241" s="24" t="str">
        <f t="shared" si="84"/>
        <v>#DIV/0!</v>
      </c>
      <c r="W241" s="24" t="str">
        <f t="shared" si="84"/>
        <v>#DIV/0!</v>
      </c>
      <c r="X241" s="24" t="str">
        <f t="shared" si="84"/>
        <v>#DIV/0!</v>
      </c>
      <c r="Y241" s="24" t="str">
        <f t="shared" si="84"/>
        <v>#DIV/0!</v>
      </c>
      <c r="Z241" s="24" t="str">
        <f t="shared" si="84"/>
        <v>#DIV/0!</v>
      </c>
      <c r="AA241" s="25"/>
      <c r="AB241" s="26" t="str">
        <f>SUM(AB236:AB239)/4</f>
        <v>#DIV/0!</v>
      </c>
      <c r="AC241" s="2"/>
    </row>
    <row r="242">
      <c r="A242" s="27" t="s">
        <v>44</v>
      </c>
      <c r="B242" s="28"/>
      <c r="C242" s="29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30">
        <f t="shared" ref="AA242:AA244" si="85">SUM(B242:Z242)</f>
        <v>0</v>
      </c>
      <c r="AB242" s="31"/>
      <c r="AC242" s="2"/>
    </row>
    <row r="243">
      <c r="A243" s="32" t="s">
        <v>45</v>
      </c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28"/>
      <c r="W243" s="28"/>
      <c r="X243" s="28"/>
      <c r="Y243" s="28"/>
      <c r="Z243" s="28"/>
      <c r="AA243" s="30">
        <f t="shared" si="85"/>
        <v>0</v>
      </c>
      <c r="AB243" s="31"/>
      <c r="AC243" s="9"/>
    </row>
    <row r="244">
      <c r="A244" s="34" t="s">
        <v>46</v>
      </c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28"/>
      <c r="W244" s="28"/>
      <c r="X244" s="28"/>
      <c r="Y244" s="28"/>
      <c r="Z244" s="28"/>
      <c r="AA244" s="30">
        <f t="shared" si="85"/>
        <v>0</v>
      </c>
      <c r="AB244" s="31"/>
      <c r="AC244" s="9"/>
    </row>
    <row r="245">
      <c r="A245" s="35" t="s">
        <v>47</v>
      </c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7"/>
      <c r="AA245" s="38"/>
      <c r="AB245" s="39"/>
      <c r="AC245" s="2"/>
    </row>
    <row r="246">
      <c r="A246" s="40" t="s">
        <v>48</v>
      </c>
      <c r="B246" s="41"/>
      <c r="C246" s="42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3"/>
      <c r="W246" s="43"/>
      <c r="X246" s="43"/>
      <c r="Y246" s="43"/>
      <c r="Z246" s="43"/>
      <c r="AA246" s="44">
        <f t="shared" ref="AA246:AA247" si="86">SUM(B246:Z246)</f>
        <v>0</v>
      </c>
      <c r="AB246" s="31"/>
      <c r="AC246" s="2"/>
    </row>
    <row r="247">
      <c r="A247" s="40" t="s">
        <v>49</v>
      </c>
      <c r="B247" s="41"/>
      <c r="C247" s="42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3"/>
      <c r="W247" s="43"/>
      <c r="X247" s="43"/>
      <c r="Y247" s="43"/>
      <c r="Z247" s="43"/>
      <c r="AA247" s="44">
        <f t="shared" si="86"/>
        <v>0</v>
      </c>
      <c r="AB247" s="31"/>
      <c r="AC247" s="2"/>
    </row>
    <row r="248">
      <c r="A248" s="40" t="s">
        <v>50</v>
      </c>
      <c r="B248" s="42"/>
      <c r="C248" s="42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3"/>
      <c r="W248" s="43"/>
      <c r="X248" s="43"/>
      <c r="Y248" s="43"/>
      <c r="Z248" s="43"/>
      <c r="AA248" s="44" t="str">
        <f>AVERAGE(B248:Z248)</f>
        <v>#DIV/0!</v>
      </c>
      <c r="AB248" s="31"/>
      <c r="AC248" s="2"/>
    </row>
    <row r="249">
      <c r="A249" s="45" t="s">
        <v>51</v>
      </c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7"/>
      <c r="AA249" s="46"/>
      <c r="AB249" s="39"/>
      <c r="AC249" s="2"/>
    </row>
    <row r="250">
      <c r="A250" s="47" t="s">
        <v>48</v>
      </c>
      <c r="B250" s="48"/>
      <c r="C250" s="49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50"/>
      <c r="W250" s="50"/>
      <c r="X250" s="50"/>
      <c r="Y250" s="50"/>
      <c r="Z250" s="50"/>
      <c r="AA250" s="51">
        <f t="shared" ref="AA250:AA251" si="87">SUM(B250:Z250)</f>
        <v>0</v>
      </c>
      <c r="AB250" s="31"/>
      <c r="AC250" s="2"/>
    </row>
    <row r="251">
      <c r="A251" s="47" t="s">
        <v>49</v>
      </c>
      <c r="B251" s="48"/>
      <c r="C251" s="49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50"/>
      <c r="W251" s="50"/>
      <c r="X251" s="50"/>
      <c r="Y251" s="50"/>
      <c r="Z251" s="50"/>
      <c r="AA251" s="51">
        <f t="shared" si="87"/>
        <v>0</v>
      </c>
      <c r="AB251" s="31"/>
      <c r="AC251" s="2"/>
    </row>
    <row r="252">
      <c r="A252" s="47" t="s">
        <v>50</v>
      </c>
      <c r="B252" s="49"/>
      <c r="C252" s="49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50"/>
      <c r="W252" s="50"/>
      <c r="X252" s="50"/>
      <c r="Y252" s="50"/>
      <c r="Z252" s="50"/>
      <c r="AA252" s="51" t="str">
        <f>AVERAGE(B252:Z252)</f>
        <v>#DIV/0!</v>
      </c>
      <c r="AB252" s="31"/>
      <c r="AC252" s="2"/>
    </row>
    <row r="253">
      <c r="A253" s="52" t="s">
        <v>53</v>
      </c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7"/>
      <c r="AA253" s="38"/>
      <c r="AB253" s="39"/>
      <c r="AC253" s="2"/>
    </row>
    <row r="254">
      <c r="A254" s="40" t="s">
        <v>48</v>
      </c>
      <c r="B254" s="41"/>
      <c r="C254" s="42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3"/>
      <c r="W254" s="43"/>
      <c r="X254" s="43"/>
      <c r="Y254" s="43"/>
      <c r="Z254" s="43"/>
      <c r="AA254" s="44">
        <f t="shared" ref="AA254:AA255" si="88">SUM(B254:Z254)</f>
        <v>0</v>
      </c>
      <c r="AB254" s="31"/>
      <c r="AC254" s="2"/>
    </row>
    <row r="255">
      <c r="A255" s="40" t="s">
        <v>49</v>
      </c>
      <c r="B255" s="41"/>
      <c r="C255" s="42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3"/>
      <c r="W255" s="43"/>
      <c r="X255" s="43"/>
      <c r="Y255" s="43"/>
      <c r="Z255" s="43"/>
      <c r="AA255" s="44">
        <f t="shared" si="88"/>
        <v>0</v>
      </c>
      <c r="AB255" s="31"/>
      <c r="AC255" s="2"/>
    </row>
    <row r="256">
      <c r="A256" s="53" t="s">
        <v>50</v>
      </c>
      <c r="B256" s="54"/>
      <c r="C256" s="54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6"/>
      <c r="W256" s="56"/>
      <c r="X256" s="56"/>
      <c r="Y256" s="56"/>
      <c r="Z256" s="56"/>
      <c r="AA256" s="57" t="str">
        <f>AVERAGE(B256:Z256)</f>
        <v>#DIV/0!</v>
      </c>
      <c r="AB256" s="58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59"/>
      <c r="AB257" s="59"/>
      <c r="AC257" s="2"/>
    </row>
    <row r="258">
      <c r="A258" s="71" t="s">
        <v>54</v>
      </c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5" t="s">
        <v>37</v>
      </c>
      <c r="AB258" s="16" t="s">
        <v>38</v>
      </c>
      <c r="AC258" s="2"/>
    </row>
    <row r="259">
      <c r="A259" s="17" t="s">
        <v>39</v>
      </c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20">
        <f t="shared" ref="AA259:AA263" si="89">SUM(B259:Z259)</f>
        <v>0</v>
      </c>
      <c r="AB259" s="21" t="str">
        <f t="shared" ref="AB259:AB262" si="90">AA259/(COUNT(B259:Z259)*1)</f>
        <v>#DIV/0!</v>
      </c>
      <c r="AC259" s="2"/>
    </row>
    <row r="260">
      <c r="A260" s="17" t="s">
        <v>40</v>
      </c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20">
        <f t="shared" si="89"/>
        <v>0</v>
      </c>
      <c r="AB260" s="21" t="str">
        <f t="shared" si="90"/>
        <v>#DIV/0!</v>
      </c>
      <c r="AC260" s="2"/>
    </row>
    <row r="261">
      <c r="A261" s="17" t="s">
        <v>41</v>
      </c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20">
        <f t="shared" si="89"/>
        <v>0</v>
      </c>
      <c r="AB261" s="21" t="str">
        <f t="shared" si="90"/>
        <v>#DIV/0!</v>
      </c>
      <c r="AC261" s="2"/>
    </row>
    <row r="262">
      <c r="A262" s="17" t="s">
        <v>42</v>
      </c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20">
        <f t="shared" si="89"/>
        <v>0</v>
      </c>
      <c r="AB262" s="21" t="str">
        <f t="shared" si="90"/>
        <v>#DIV/0!</v>
      </c>
      <c r="AC262" s="2"/>
    </row>
    <row r="263">
      <c r="A263" s="17" t="s">
        <v>43</v>
      </c>
      <c r="B263" s="22">
        <f t="shared" ref="B263:Z263" si="91">SUM(B259:B262)</f>
        <v>0</v>
      </c>
      <c r="C263" s="22">
        <f t="shared" si="91"/>
        <v>0</v>
      </c>
      <c r="D263" s="22">
        <f t="shared" si="91"/>
        <v>0</v>
      </c>
      <c r="E263" s="22">
        <f t="shared" si="91"/>
        <v>0</v>
      </c>
      <c r="F263" s="22">
        <f t="shared" si="91"/>
        <v>0</v>
      </c>
      <c r="G263" s="22">
        <f t="shared" si="91"/>
        <v>0</v>
      </c>
      <c r="H263" s="22">
        <f t="shared" si="91"/>
        <v>0</v>
      </c>
      <c r="I263" s="22">
        <f t="shared" si="91"/>
        <v>0</v>
      </c>
      <c r="J263" s="22">
        <f t="shared" si="91"/>
        <v>0</v>
      </c>
      <c r="K263" s="22">
        <f t="shared" si="91"/>
        <v>0</v>
      </c>
      <c r="L263" s="22">
        <f t="shared" si="91"/>
        <v>0</v>
      </c>
      <c r="M263" s="22">
        <f t="shared" si="91"/>
        <v>0</v>
      </c>
      <c r="N263" s="22">
        <f t="shared" si="91"/>
        <v>0</v>
      </c>
      <c r="O263" s="22">
        <f t="shared" si="91"/>
        <v>0</v>
      </c>
      <c r="P263" s="22">
        <f t="shared" si="91"/>
        <v>0</v>
      </c>
      <c r="Q263" s="22">
        <f t="shared" si="91"/>
        <v>0</v>
      </c>
      <c r="R263" s="22">
        <f t="shared" si="91"/>
        <v>0</v>
      </c>
      <c r="S263" s="22">
        <f t="shared" si="91"/>
        <v>0</v>
      </c>
      <c r="T263" s="22">
        <f t="shared" si="91"/>
        <v>0</v>
      </c>
      <c r="U263" s="22">
        <f t="shared" si="91"/>
        <v>0</v>
      </c>
      <c r="V263" s="22">
        <f t="shared" si="91"/>
        <v>0</v>
      </c>
      <c r="W263" s="22">
        <f t="shared" si="91"/>
        <v>0</v>
      </c>
      <c r="X263" s="22">
        <f t="shared" si="91"/>
        <v>0</v>
      </c>
      <c r="Y263" s="22">
        <f t="shared" si="91"/>
        <v>0</v>
      </c>
      <c r="Z263" s="22">
        <f t="shared" si="91"/>
        <v>0</v>
      </c>
      <c r="AA263" s="20">
        <f t="shared" si="89"/>
        <v>0</v>
      </c>
      <c r="AB263" s="23"/>
      <c r="AC263" s="2"/>
    </row>
    <row r="264">
      <c r="A264" s="17" t="s">
        <v>38</v>
      </c>
      <c r="B264" s="24" t="str">
        <f t="shared" ref="B264:Z264" si="92">B263/(COUNT(B259:B262)*1)</f>
        <v>#DIV/0!</v>
      </c>
      <c r="C264" s="24" t="str">
        <f t="shared" si="92"/>
        <v>#DIV/0!</v>
      </c>
      <c r="D264" s="24" t="str">
        <f t="shared" si="92"/>
        <v>#DIV/0!</v>
      </c>
      <c r="E264" s="24" t="str">
        <f t="shared" si="92"/>
        <v>#DIV/0!</v>
      </c>
      <c r="F264" s="24" t="str">
        <f t="shared" si="92"/>
        <v>#DIV/0!</v>
      </c>
      <c r="G264" s="24" t="str">
        <f t="shared" si="92"/>
        <v>#DIV/0!</v>
      </c>
      <c r="H264" s="24" t="str">
        <f t="shared" si="92"/>
        <v>#DIV/0!</v>
      </c>
      <c r="I264" s="24" t="str">
        <f t="shared" si="92"/>
        <v>#DIV/0!</v>
      </c>
      <c r="J264" s="24" t="str">
        <f t="shared" si="92"/>
        <v>#DIV/0!</v>
      </c>
      <c r="K264" s="24" t="str">
        <f t="shared" si="92"/>
        <v>#DIV/0!</v>
      </c>
      <c r="L264" s="24" t="str">
        <f t="shared" si="92"/>
        <v>#DIV/0!</v>
      </c>
      <c r="M264" s="24" t="str">
        <f t="shared" si="92"/>
        <v>#DIV/0!</v>
      </c>
      <c r="N264" s="24" t="str">
        <f t="shared" si="92"/>
        <v>#DIV/0!</v>
      </c>
      <c r="O264" s="24" t="str">
        <f t="shared" si="92"/>
        <v>#DIV/0!</v>
      </c>
      <c r="P264" s="24" t="str">
        <f t="shared" si="92"/>
        <v>#DIV/0!</v>
      </c>
      <c r="Q264" s="24" t="str">
        <f t="shared" si="92"/>
        <v>#DIV/0!</v>
      </c>
      <c r="R264" s="24" t="str">
        <f t="shared" si="92"/>
        <v>#DIV/0!</v>
      </c>
      <c r="S264" s="24" t="str">
        <f t="shared" si="92"/>
        <v>#DIV/0!</v>
      </c>
      <c r="T264" s="24" t="str">
        <f t="shared" si="92"/>
        <v>#DIV/0!</v>
      </c>
      <c r="U264" s="24" t="str">
        <f t="shared" si="92"/>
        <v>#DIV/0!</v>
      </c>
      <c r="V264" s="24" t="str">
        <f t="shared" si="92"/>
        <v>#DIV/0!</v>
      </c>
      <c r="W264" s="24" t="str">
        <f t="shared" si="92"/>
        <v>#DIV/0!</v>
      </c>
      <c r="X264" s="24" t="str">
        <f t="shared" si="92"/>
        <v>#DIV/0!</v>
      </c>
      <c r="Y264" s="24" t="str">
        <f t="shared" si="92"/>
        <v>#DIV/0!</v>
      </c>
      <c r="Z264" s="24" t="str">
        <f t="shared" si="92"/>
        <v>#DIV/0!</v>
      </c>
      <c r="AA264" s="25"/>
      <c r="AB264" s="26" t="str">
        <f>SUM(AB259:AB262)/4</f>
        <v>#DIV/0!</v>
      </c>
      <c r="AC264" s="2"/>
    </row>
    <row r="265">
      <c r="A265" s="27" t="s">
        <v>44</v>
      </c>
      <c r="B265" s="28"/>
      <c r="C265" s="29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30">
        <f t="shared" ref="AA265:AA267" si="93">SUM(B265:Z265)</f>
        <v>0</v>
      </c>
      <c r="AB265" s="31"/>
      <c r="AC265" s="2"/>
    </row>
    <row r="266">
      <c r="A266" s="32" t="s">
        <v>45</v>
      </c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28"/>
      <c r="W266" s="28"/>
      <c r="X266" s="28"/>
      <c r="Y266" s="28"/>
      <c r="Z266" s="28"/>
      <c r="AA266" s="30">
        <f t="shared" si="93"/>
        <v>0</v>
      </c>
      <c r="AB266" s="31"/>
      <c r="AC266" s="9"/>
    </row>
    <row r="267">
      <c r="A267" s="34" t="s">
        <v>46</v>
      </c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28"/>
      <c r="W267" s="28"/>
      <c r="X267" s="28"/>
      <c r="Y267" s="28"/>
      <c r="Z267" s="28"/>
      <c r="AA267" s="30">
        <f t="shared" si="93"/>
        <v>0</v>
      </c>
      <c r="AB267" s="31"/>
      <c r="AC267" s="9"/>
    </row>
    <row r="268">
      <c r="A268" s="35" t="s">
        <v>47</v>
      </c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7"/>
      <c r="AA268" s="38"/>
      <c r="AB268" s="39"/>
      <c r="AC268" s="2"/>
    </row>
    <row r="269">
      <c r="A269" s="40" t="s">
        <v>48</v>
      </c>
      <c r="B269" s="41"/>
      <c r="C269" s="42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3"/>
      <c r="W269" s="43"/>
      <c r="X269" s="43"/>
      <c r="Y269" s="43"/>
      <c r="Z269" s="43"/>
      <c r="AA269" s="44">
        <f t="shared" ref="AA269:AA270" si="94">SUM(B269:Z269)</f>
        <v>0</v>
      </c>
      <c r="AB269" s="31"/>
      <c r="AC269" s="2"/>
    </row>
    <row r="270">
      <c r="A270" s="40" t="s">
        <v>49</v>
      </c>
      <c r="B270" s="41"/>
      <c r="C270" s="42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3"/>
      <c r="W270" s="43"/>
      <c r="X270" s="43"/>
      <c r="Y270" s="43"/>
      <c r="Z270" s="43"/>
      <c r="AA270" s="44">
        <f t="shared" si="94"/>
        <v>0</v>
      </c>
      <c r="AB270" s="31"/>
      <c r="AC270" s="2"/>
    </row>
    <row r="271">
      <c r="A271" s="40" t="s">
        <v>50</v>
      </c>
      <c r="B271" s="42"/>
      <c r="C271" s="42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3"/>
      <c r="W271" s="43"/>
      <c r="X271" s="43"/>
      <c r="Y271" s="43"/>
      <c r="Z271" s="43"/>
      <c r="AA271" s="44" t="str">
        <f>AVERAGE(B271:Z271)</f>
        <v>#DIV/0!</v>
      </c>
      <c r="AB271" s="31"/>
      <c r="AC271" s="2"/>
    </row>
    <row r="272">
      <c r="A272" s="45" t="s">
        <v>51</v>
      </c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7"/>
      <c r="AA272" s="46"/>
      <c r="AB272" s="39"/>
      <c r="AC272" s="2"/>
    </row>
    <row r="273">
      <c r="A273" s="47" t="s">
        <v>48</v>
      </c>
      <c r="B273" s="48"/>
      <c r="C273" s="49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50"/>
      <c r="W273" s="50"/>
      <c r="X273" s="50"/>
      <c r="Y273" s="50"/>
      <c r="Z273" s="50"/>
      <c r="AA273" s="51">
        <f t="shared" ref="AA273:AA274" si="95">SUM(B273:Z273)</f>
        <v>0</v>
      </c>
      <c r="AB273" s="31"/>
      <c r="AC273" s="2"/>
    </row>
    <row r="274">
      <c r="A274" s="47" t="s">
        <v>49</v>
      </c>
      <c r="B274" s="48"/>
      <c r="C274" s="49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50"/>
      <c r="W274" s="50"/>
      <c r="X274" s="50"/>
      <c r="Y274" s="50"/>
      <c r="Z274" s="50"/>
      <c r="AA274" s="51">
        <f t="shared" si="95"/>
        <v>0</v>
      </c>
      <c r="AB274" s="31"/>
      <c r="AC274" s="2"/>
    </row>
    <row r="275">
      <c r="A275" s="47" t="s">
        <v>50</v>
      </c>
      <c r="B275" s="49"/>
      <c r="C275" s="49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50"/>
      <c r="W275" s="50"/>
      <c r="X275" s="50"/>
      <c r="Y275" s="50"/>
      <c r="Z275" s="50"/>
      <c r="AA275" s="51" t="str">
        <f>AVERAGE(B275:Z275)</f>
        <v>#DIV/0!</v>
      </c>
      <c r="AB275" s="31"/>
      <c r="AC275" s="2"/>
    </row>
    <row r="276">
      <c r="A276" s="52" t="s">
        <v>53</v>
      </c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7"/>
      <c r="AA276" s="38"/>
      <c r="AB276" s="39"/>
      <c r="AC276" s="2"/>
    </row>
    <row r="277">
      <c r="A277" s="40" t="s">
        <v>48</v>
      </c>
      <c r="B277" s="41"/>
      <c r="C277" s="42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3"/>
      <c r="W277" s="43"/>
      <c r="X277" s="43"/>
      <c r="Y277" s="43"/>
      <c r="Z277" s="43"/>
      <c r="AA277" s="44">
        <f t="shared" ref="AA277:AA278" si="96">SUM(B277:Z277)</f>
        <v>0</v>
      </c>
      <c r="AB277" s="31"/>
      <c r="AC277" s="2"/>
    </row>
    <row r="278">
      <c r="A278" s="40" t="s">
        <v>49</v>
      </c>
      <c r="B278" s="41"/>
      <c r="C278" s="42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3"/>
      <c r="W278" s="43"/>
      <c r="X278" s="43"/>
      <c r="Y278" s="43"/>
      <c r="Z278" s="43"/>
      <c r="AA278" s="44">
        <f t="shared" si="96"/>
        <v>0</v>
      </c>
      <c r="AB278" s="31"/>
      <c r="AC278" s="2"/>
    </row>
    <row r="279">
      <c r="A279" s="53" t="s">
        <v>50</v>
      </c>
      <c r="B279" s="54"/>
      <c r="C279" s="54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6"/>
      <c r="W279" s="56"/>
      <c r="X279" s="56"/>
      <c r="Y279" s="56"/>
      <c r="Z279" s="56"/>
      <c r="AA279" s="57" t="str">
        <f>AVERAGE(B279:Z279)</f>
        <v>#DIV/0!</v>
      </c>
      <c r="AB279" s="58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59"/>
      <c r="AB280" s="59"/>
      <c r="AC280" s="2"/>
    </row>
    <row r="281">
      <c r="A281" s="71" t="s">
        <v>54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5" t="s">
        <v>37</v>
      </c>
      <c r="AB281" s="16" t="s">
        <v>38</v>
      </c>
      <c r="AC281" s="2"/>
    </row>
    <row r="282">
      <c r="A282" s="17" t="s">
        <v>39</v>
      </c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20">
        <f t="shared" ref="AA282:AA286" si="97">SUM(B282:Z282)</f>
        <v>0</v>
      </c>
      <c r="AB282" s="21" t="str">
        <f t="shared" ref="AB282:AB285" si="98">AA282/(COUNT(B282:Z282)*1)</f>
        <v>#DIV/0!</v>
      </c>
      <c r="AC282" s="2"/>
    </row>
    <row r="283">
      <c r="A283" s="17" t="s">
        <v>40</v>
      </c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20">
        <f t="shared" si="97"/>
        <v>0</v>
      </c>
      <c r="AB283" s="21" t="str">
        <f t="shared" si="98"/>
        <v>#DIV/0!</v>
      </c>
      <c r="AC283" s="2"/>
    </row>
    <row r="284">
      <c r="A284" s="17" t="s">
        <v>41</v>
      </c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20">
        <f t="shared" si="97"/>
        <v>0</v>
      </c>
      <c r="AB284" s="21" t="str">
        <f t="shared" si="98"/>
        <v>#DIV/0!</v>
      </c>
      <c r="AC284" s="2"/>
    </row>
    <row r="285">
      <c r="A285" s="17" t="s">
        <v>42</v>
      </c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20">
        <f t="shared" si="97"/>
        <v>0</v>
      </c>
      <c r="AB285" s="21" t="str">
        <f t="shared" si="98"/>
        <v>#DIV/0!</v>
      </c>
      <c r="AC285" s="2"/>
    </row>
    <row r="286">
      <c r="A286" s="17" t="s">
        <v>43</v>
      </c>
      <c r="B286" s="22">
        <f t="shared" ref="B286:Z286" si="99">SUM(B282:B285)</f>
        <v>0</v>
      </c>
      <c r="C286" s="22">
        <f t="shared" si="99"/>
        <v>0</v>
      </c>
      <c r="D286" s="22">
        <f t="shared" si="99"/>
        <v>0</v>
      </c>
      <c r="E286" s="22">
        <f t="shared" si="99"/>
        <v>0</v>
      </c>
      <c r="F286" s="22">
        <f t="shared" si="99"/>
        <v>0</v>
      </c>
      <c r="G286" s="22">
        <f t="shared" si="99"/>
        <v>0</v>
      </c>
      <c r="H286" s="22">
        <f t="shared" si="99"/>
        <v>0</v>
      </c>
      <c r="I286" s="22">
        <f t="shared" si="99"/>
        <v>0</v>
      </c>
      <c r="J286" s="22">
        <f t="shared" si="99"/>
        <v>0</v>
      </c>
      <c r="K286" s="22">
        <f t="shared" si="99"/>
        <v>0</v>
      </c>
      <c r="L286" s="22">
        <f t="shared" si="99"/>
        <v>0</v>
      </c>
      <c r="M286" s="22">
        <f t="shared" si="99"/>
        <v>0</v>
      </c>
      <c r="N286" s="22">
        <f t="shared" si="99"/>
        <v>0</v>
      </c>
      <c r="O286" s="22">
        <f t="shared" si="99"/>
        <v>0</v>
      </c>
      <c r="P286" s="22">
        <f t="shared" si="99"/>
        <v>0</v>
      </c>
      <c r="Q286" s="22">
        <f t="shared" si="99"/>
        <v>0</v>
      </c>
      <c r="R286" s="22">
        <f t="shared" si="99"/>
        <v>0</v>
      </c>
      <c r="S286" s="22">
        <f t="shared" si="99"/>
        <v>0</v>
      </c>
      <c r="T286" s="22">
        <f t="shared" si="99"/>
        <v>0</v>
      </c>
      <c r="U286" s="22">
        <f t="shared" si="99"/>
        <v>0</v>
      </c>
      <c r="V286" s="22">
        <f t="shared" si="99"/>
        <v>0</v>
      </c>
      <c r="W286" s="22">
        <f t="shared" si="99"/>
        <v>0</v>
      </c>
      <c r="X286" s="22">
        <f t="shared" si="99"/>
        <v>0</v>
      </c>
      <c r="Y286" s="22">
        <f t="shared" si="99"/>
        <v>0</v>
      </c>
      <c r="Z286" s="22">
        <f t="shared" si="99"/>
        <v>0</v>
      </c>
      <c r="AA286" s="20">
        <f t="shared" si="97"/>
        <v>0</v>
      </c>
      <c r="AB286" s="23"/>
      <c r="AC286" s="2"/>
    </row>
    <row r="287">
      <c r="A287" s="17" t="s">
        <v>38</v>
      </c>
      <c r="B287" s="24" t="str">
        <f t="shared" ref="B287:Z287" si="100">B286/(COUNT(B282:B285)*1)</f>
        <v>#DIV/0!</v>
      </c>
      <c r="C287" s="24" t="str">
        <f t="shared" si="100"/>
        <v>#DIV/0!</v>
      </c>
      <c r="D287" s="24" t="str">
        <f t="shared" si="100"/>
        <v>#DIV/0!</v>
      </c>
      <c r="E287" s="24" t="str">
        <f t="shared" si="100"/>
        <v>#DIV/0!</v>
      </c>
      <c r="F287" s="24" t="str">
        <f t="shared" si="100"/>
        <v>#DIV/0!</v>
      </c>
      <c r="G287" s="24" t="str">
        <f t="shared" si="100"/>
        <v>#DIV/0!</v>
      </c>
      <c r="H287" s="24" t="str">
        <f t="shared" si="100"/>
        <v>#DIV/0!</v>
      </c>
      <c r="I287" s="24" t="str">
        <f t="shared" si="100"/>
        <v>#DIV/0!</v>
      </c>
      <c r="J287" s="24" t="str">
        <f t="shared" si="100"/>
        <v>#DIV/0!</v>
      </c>
      <c r="K287" s="24" t="str">
        <f t="shared" si="100"/>
        <v>#DIV/0!</v>
      </c>
      <c r="L287" s="24" t="str">
        <f t="shared" si="100"/>
        <v>#DIV/0!</v>
      </c>
      <c r="M287" s="24" t="str">
        <f t="shared" si="100"/>
        <v>#DIV/0!</v>
      </c>
      <c r="N287" s="24" t="str">
        <f t="shared" si="100"/>
        <v>#DIV/0!</v>
      </c>
      <c r="O287" s="24" t="str">
        <f t="shared" si="100"/>
        <v>#DIV/0!</v>
      </c>
      <c r="P287" s="24" t="str">
        <f t="shared" si="100"/>
        <v>#DIV/0!</v>
      </c>
      <c r="Q287" s="24" t="str">
        <f t="shared" si="100"/>
        <v>#DIV/0!</v>
      </c>
      <c r="R287" s="24" t="str">
        <f t="shared" si="100"/>
        <v>#DIV/0!</v>
      </c>
      <c r="S287" s="24" t="str">
        <f t="shared" si="100"/>
        <v>#DIV/0!</v>
      </c>
      <c r="T287" s="24" t="str">
        <f t="shared" si="100"/>
        <v>#DIV/0!</v>
      </c>
      <c r="U287" s="24" t="str">
        <f t="shared" si="100"/>
        <v>#DIV/0!</v>
      </c>
      <c r="V287" s="24" t="str">
        <f t="shared" si="100"/>
        <v>#DIV/0!</v>
      </c>
      <c r="W287" s="24" t="str">
        <f t="shared" si="100"/>
        <v>#DIV/0!</v>
      </c>
      <c r="X287" s="24" t="str">
        <f t="shared" si="100"/>
        <v>#DIV/0!</v>
      </c>
      <c r="Y287" s="24" t="str">
        <f t="shared" si="100"/>
        <v>#DIV/0!</v>
      </c>
      <c r="Z287" s="24" t="str">
        <f t="shared" si="100"/>
        <v>#DIV/0!</v>
      </c>
      <c r="AA287" s="25"/>
      <c r="AB287" s="26" t="str">
        <f>SUM(AB282:AB285)/4</f>
        <v>#DIV/0!</v>
      </c>
      <c r="AC287" s="2"/>
    </row>
    <row r="288">
      <c r="A288" s="27" t="s">
        <v>44</v>
      </c>
      <c r="B288" s="28"/>
      <c r="C288" s="29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30">
        <f t="shared" ref="AA288:AA290" si="101">SUM(B288:Z288)</f>
        <v>0</v>
      </c>
      <c r="AB288" s="31"/>
      <c r="AC288" s="2"/>
    </row>
    <row r="289">
      <c r="A289" s="32" t="s">
        <v>45</v>
      </c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28"/>
      <c r="W289" s="28"/>
      <c r="X289" s="28"/>
      <c r="Y289" s="28"/>
      <c r="Z289" s="28"/>
      <c r="AA289" s="30">
        <f t="shared" si="101"/>
        <v>0</v>
      </c>
      <c r="AB289" s="31"/>
      <c r="AC289" s="9"/>
    </row>
    <row r="290">
      <c r="A290" s="34" t="s">
        <v>46</v>
      </c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28"/>
      <c r="W290" s="28"/>
      <c r="X290" s="28"/>
      <c r="Y290" s="28"/>
      <c r="Z290" s="28"/>
      <c r="AA290" s="30">
        <f t="shared" si="101"/>
        <v>0</v>
      </c>
      <c r="AB290" s="31"/>
      <c r="AC290" s="9"/>
    </row>
    <row r="291">
      <c r="A291" s="35" t="s">
        <v>47</v>
      </c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7"/>
      <c r="AA291" s="38"/>
      <c r="AB291" s="39"/>
      <c r="AC291" s="2"/>
    </row>
    <row r="292">
      <c r="A292" s="40" t="s">
        <v>48</v>
      </c>
      <c r="B292" s="41"/>
      <c r="C292" s="42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3"/>
      <c r="W292" s="43"/>
      <c r="X292" s="43"/>
      <c r="Y292" s="43"/>
      <c r="Z292" s="43"/>
      <c r="AA292" s="44">
        <f t="shared" ref="AA292:AA293" si="102">SUM(B292:Z292)</f>
        <v>0</v>
      </c>
      <c r="AB292" s="31"/>
      <c r="AC292" s="2"/>
    </row>
    <row r="293">
      <c r="A293" s="40" t="s">
        <v>49</v>
      </c>
      <c r="B293" s="41"/>
      <c r="C293" s="42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3"/>
      <c r="W293" s="43"/>
      <c r="X293" s="43"/>
      <c r="Y293" s="43"/>
      <c r="Z293" s="43"/>
      <c r="AA293" s="44">
        <f t="shared" si="102"/>
        <v>0</v>
      </c>
      <c r="AB293" s="31"/>
      <c r="AC293" s="2"/>
    </row>
    <row r="294">
      <c r="A294" s="40" t="s">
        <v>50</v>
      </c>
      <c r="B294" s="42"/>
      <c r="C294" s="42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3"/>
      <c r="W294" s="43"/>
      <c r="X294" s="43"/>
      <c r="Y294" s="43"/>
      <c r="Z294" s="43"/>
      <c r="AA294" s="44" t="str">
        <f>AVERAGE(B294:Z294)</f>
        <v>#DIV/0!</v>
      </c>
      <c r="AB294" s="31"/>
      <c r="AC294" s="2"/>
    </row>
    <row r="295">
      <c r="A295" s="45" t="s">
        <v>51</v>
      </c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7"/>
      <c r="AA295" s="46"/>
      <c r="AB295" s="39"/>
      <c r="AC295" s="2"/>
    </row>
    <row r="296">
      <c r="A296" s="47" t="s">
        <v>48</v>
      </c>
      <c r="B296" s="48"/>
      <c r="C296" s="49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50"/>
      <c r="W296" s="50"/>
      <c r="X296" s="50"/>
      <c r="Y296" s="50"/>
      <c r="Z296" s="50"/>
      <c r="AA296" s="51">
        <f t="shared" ref="AA296:AA297" si="103">SUM(B296:Z296)</f>
        <v>0</v>
      </c>
      <c r="AB296" s="31"/>
      <c r="AC296" s="2"/>
    </row>
    <row r="297">
      <c r="A297" s="47" t="s">
        <v>49</v>
      </c>
      <c r="B297" s="48"/>
      <c r="C297" s="49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50"/>
      <c r="W297" s="50"/>
      <c r="X297" s="50"/>
      <c r="Y297" s="50"/>
      <c r="Z297" s="50"/>
      <c r="AA297" s="51">
        <f t="shared" si="103"/>
        <v>0</v>
      </c>
      <c r="AB297" s="31"/>
      <c r="AC297" s="2"/>
    </row>
    <row r="298">
      <c r="A298" s="47" t="s">
        <v>50</v>
      </c>
      <c r="B298" s="49"/>
      <c r="C298" s="49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50"/>
      <c r="W298" s="50"/>
      <c r="X298" s="50"/>
      <c r="Y298" s="50"/>
      <c r="Z298" s="50"/>
      <c r="AA298" s="51" t="str">
        <f>AVERAGE(B298:Z298)</f>
        <v>#DIV/0!</v>
      </c>
      <c r="AB298" s="31"/>
      <c r="AC298" s="2"/>
    </row>
    <row r="299">
      <c r="A299" s="52" t="s">
        <v>53</v>
      </c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7"/>
      <c r="AA299" s="38"/>
      <c r="AB299" s="39"/>
      <c r="AC299" s="2"/>
    </row>
    <row r="300">
      <c r="A300" s="40" t="s">
        <v>48</v>
      </c>
      <c r="B300" s="41"/>
      <c r="C300" s="42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3"/>
      <c r="W300" s="43"/>
      <c r="X300" s="43"/>
      <c r="Y300" s="43"/>
      <c r="Z300" s="43"/>
      <c r="AA300" s="44">
        <f t="shared" ref="AA300:AA301" si="104">SUM(B300:Z300)</f>
        <v>0</v>
      </c>
      <c r="AB300" s="31"/>
      <c r="AC300" s="2"/>
    </row>
    <row r="301">
      <c r="A301" s="40" t="s">
        <v>49</v>
      </c>
      <c r="B301" s="41"/>
      <c r="C301" s="42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3"/>
      <c r="W301" s="43"/>
      <c r="X301" s="43"/>
      <c r="Y301" s="43"/>
      <c r="Z301" s="43"/>
      <c r="AA301" s="44">
        <f t="shared" si="104"/>
        <v>0</v>
      </c>
      <c r="AB301" s="31"/>
      <c r="AC301" s="2"/>
    </row>
    <row r="302">
      <c r="A302" s="53" t="s">
        <v>50</v>
      </c>
      <c r="B302" s="54"/>
      <c r="C302" s="54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6"/>
      <c r="W302" s="56"/>
      <c r="X302" s="56"/>
      <c r="Y302" s="56"/>
      <c r="Z302" s="56"/>
      <c r="AA302" s="57" t="str">
        <f>AVERAGE(B302:Z302)</f>
        <v>#DIV/0!</v>
      </c>
      <c r="AB302" s="58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59"/>
      <c r="AB303" s="59"/>
      <c r="AC303" s="2"/>
    </row>
    <row r="304">
      <c r="A304" s="71" t="s">
        <v>54</v>
      </c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5" t="s">
        <v>37</v>
      </c>
      <c r="AB304" s="16" t="s">
        <v>38</v>
      </c>
      <c r="AC304" s="2"/>
    </row>
    <row r="305">
      <c r="A305" s="17" t="s">
        <v>39</v>
      </c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20">
        <f t="shared" ref="AA305:AA309" si="105">SUM(B305:Z305)</f>
        <v>0</v>
      </c>
      <c r="AB305" s="21" t="str">
        <f t="shared" ref="AB305:AB308" si="106">AA305/(COUNT(B305:Z305)*1)</f>
        <v>#DIV/0!</v>
      </c>
      <c r="AC305" s="2"/>
    </row>
    <row r="306">
      <c r="A306" s="17" t="s">
        <v>40</v>
      </c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20">
        <f t="shared" si="105"/>
        <v>0</v>
      </c>
      <c r="AB306" s="21" t="str">
        <f t="shared" si="106"/>
        <v>#DIV/0!</v>
      </c>
      <c r="AC306" s="2"/>
    </row>
    <row r="307">
      <c r="A307" s="17" t="s">
        <v>41</v>
      </c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20">
        <f t="shared" si="105"/>
        <v>0</v>
      </c>
      <c r="AB307" s="21" t="str">
        <f t="shared" si="106"/>
        <v>#DIV/0!</v>
      </c>
      <c r="AC307" s="2"/>
    </row>
    <row r="308">
      <c r="A308" s="17" t="s">
        <v>42</v>
      </c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20">
        <f t="shared" si="105"/>
        <v>0</v>
      </c>
      <c r="AB308" s="21" t="str">
        <f t="shared" si="106"/>
        <v>#DIV/0!</v>
      </c>
      <c r="AC308" s="2"/>
    </row>
    <row r="309">
      <c r="A309" s="17" t="s">
        <v>43</v>
      </c>
      <c r="B309" s="22">
        <f t="shared" ref="B309:Z309" si="107">SUM(B305:B308)</f>
        <v>0</v>
      </c>
      <c r="C309" s="22">
        <f t="shared" si="107"/>
        <v>0</v>
      </c>
      <c r="D309" s="22">
        <f t="shared" si="107"/>
        <v>0</v>
      </c>
      <c r="E309" s="22">
        <f t="shared" si="107"/>
        <v>0</v>
      </c>
      <c r="F309" s="22">
        <f t="shared" si="107"/>
        <v>0</v>
      </c>
      <c r="G309" s="22">
        <f t="shared" si="107"/>
        <v>0</v>
      </c>
      <c r="H309" s="22">
        <f t="shared" si="107"/>
        <v>0</v>
      </c>
      <c r="I309" s="22">
        <f t="shared" si="107"/>
        <v>0</v>
      </c>
      <c r="J309" s="22">
        <f t="shared" si="107"/>
        <v>0</v>
      </c>
      <c r="K309" s="22">
        <f t="shared" si="107"/>
        <v>0</v>
      </c>
      <c r="L309" s="22">
        <f t="shared" si="107"/>
        <v>0</v>
      </c>
      <c r="M309" s="22">
        <f t="shared" si="107"/>
        <v>0</v>
      </c>
      <c r="N309" s="22">
        <f t="shared" si="107"/>
        <v>0</v>
      </c>
      <c r="O309" s="22">
        <f t="shared" si="107"/>
        <v>0</v>
      </c>
      <c r="P309" s="22">
        <f t="shared" si="107"/>
        <v>0</v>
      </c>
      <c r="Q309" s="22">
        <f t="shared" si="107"/>
        <v>0</v>
      </c>
      <c r="R309" s="22">
        <f t="shared" si="107"/>
        <v>0</v>
      </c>
      <c r="S309" s="22">
        <f t="shared" si="107"/>
        <v>0</v>
      </c>
      <c r="T309" s="22">
        <f t="shared" si="107"/>
        <v>0</v>
      </c>
      <c r="U309" s="22">
        <f t="shared" si="107"/>
        <v>0</v>
      </c>
      <c r="V309" s="22">
        <f t="shared" si="107"/>
        <v>0</v>
      </c>
      <c r="W309" s="22">
        <f t="shared" si="107"/>
        <v>0</v>
      </c>
      <c r="X309" s="22">
        <f t="shared" si="107"/>
        <v>0</v>
      </c>
      <c r="Y309" s="22">
        <f t="shared" si="107"/>
        <v>0</v>
      </c>
      <c r="Z309" s="22">
        <f t="shared" si="107"/>
        <v>0</v>
      </c>
      <c r="AA309" s="20">
        <f t="shared" si="105"/>
        <v>0</v>
      </c>
      <c r="AB309" s="23"/>
      <c r="AC309" s="2"/>
    </row>
    <row r="310">
      <c r="A310" s="17" t="s">
        <v>38</v>
      </c>
      <c r="B310" s="24" t="str">
        <f t="shared" ref="B310:Z310" si="108">B309/(COUNT(B305:B308)*1)</f>
        <v>#DIV/0!</v>
      </c>
      <c r="C310" s="24" t="str">
        <f t="shared" si="108"/>
        <v>#DIV/0!</v>
      </c>
      <c r="D310" s="24" t="str">
        <f t="shared" si="108"/>
        <v>#DIV/0!</v>
      </c>
      <c r="E310" s="24" t="str">
        <f t="shared" si="108"/>
        <v>#DIV/0!</v>
      </c>
      <c r="F310" s="24" t="str">
        <f t="shared" si="108"/>
        <v>#DIV/0!</v>
      </c>
      <c r="G310" s="24" t="str">
        <f t="shared" si="108"/>
        <v>#DIV/0!</v>
      </c>
      <c r="H310" s="24" t="str">
        <f t="shared" si="108"/>
        <v>#DIV/0!</v>
      </c>
      <c r="I310" s="24" t="str">
        <f t="shared" si="108"/>
        <v>#DIV/0!</v>
      </c>
      <c r="J310" s="24" t="str">
        <f t="shared" si="108"/>
        <v>#DIV/0!</v>
      </c>
      <c r="K310" s="24" t="str">
        <f t="shared" si="108"/>
        <v>#DIV/0!</v>
      </c>
      <c r="L310" s="24" t="str">
        <f t="shared" si="108"/>
        <v>#DIV/0!</v>
      </c>
      <c r="M310" s="24" t="str">
        <f t="shared" si="108"/>
        <v>#DIV/0!</v>
      </c>
      <c r="N310" s="24" t="str">
        <f t="shared" si="108"/>
        <v>#DIV/0!</v>
      </c>
      <c r="O310" s="24" t="str">
        <f t="shared" si="108"/>
        <v>#DIV/0!</v>
      </c>
      <c r="P310" s="24" t="str">
        <f t="shared" si="108"/>
        <v>#DIV/0!</v>
      </c>
      <c r="Q310" s="24" t="str">
        <f t="shared" si="108"/>
        <v>#DIV/0!</v>
      </c>
      <c r="R310" s="24" t="str">
        <f t="shared" si="108"/>
        <v>#DIV/0!</v>
      </c>
      <c r="S310" s="24" t="str">
        <f t="shared" si="108"/>
        <v>#DIV/0!</v>
      </c>
      <c r="T310" s="24" t="str">
        <f t="shared" si="108"/>
        <v>#DIV/0!</v>
      </c>
      <c r="U310" s="24" t="str">
        <f t="shared" si="108"/>
        <v>#DIV/0!</v>
      </c>
      <c r="V310" s="24" t="str">
        <f t="shared" si="108"/>
        <v>#DIV/0!</v>
      </c>
      <c r="W310" s="24" t="str">
        <f t="shared" si="108"/>
        <v>#DIV/0!</v>
      </c>
      <c r="X310" s="24" t="str">
        <f t="shared" si="108"/>
        <v>#DIV/0!</v>
      </c>
      <c r="Y310" s="24" t="str">
        <f t="shared" si="108"/>
        <v>#DIV/0!</v>
      </c>
      <c r="Z310" s="24" t="str">
        <f t="shared" si="108"/>
        <v>#DIV/0!</v>
      </c>
      <c r="AA310" s="25"/>
      <c r="AB310" s="26" t="str">
        <f>SUM(AB305:AB308)/4</f>
        <v>#DIV/0!</v>
      </c>
      <c r="AC310" s="2"/>
    </row>
    <row r="311">
      <c r="A311" s="27" t="s">
        <v>44</v>
      </c>
      <c r="B311" s="28"/>
      <c r="C311" s="29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30">
        <f t="shared" ref="AA311:AA313" si="109">SUM(B311:Z311)</f>
        <v>0</v>
      </c>
      <c r="AB311" s="31"/>
      <c r="AC311" s="2"/>
    </row>
    <row r="312">
      <c r="A312" s="32" t="s">
        <v>45</v>
      </c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28"/>
      <c r="W312" s="28"/>
      <c r="X312" s="28"/>
      <c r="Y312" s="28"/>
      <c r="Z312" s="28"/>
      <c r="AA312" s="30">
        <f t="shared" si="109"/>
        <v>0</v>
      </c>
      <c r="AB312" s="31"/>
      <c r="AC312" s="9"/>
    </row>
    <row r="313">
      <c r="A313" s="34" t="s">
        <v>46</v>
      </c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28"/>
      <c r="W313" s="28"/>
      <c r="X313" s="28"/>
      <c r="Y313" s="28"/>
      <c r="Z313" s="28"/>
      <c r="AA313" s="30">
        <f t="shared" si="109"/>
        <v>0</v>
      </c>
      <c r="AB313" s="31"/>
      <c r="AC313" s="9"/>
    </row>
    <row r="314">
      <c r="A314" s="35" t="s">
        <v>47</v>
      </c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7"/>
      <c r="AA314" s="38"/>
      <c r="AB314" s="39"/>
      <c r="AC314" s="2"/>
    </row>
    <row r="315">
      <c r="A315" s="40" t="s">
        <v>48</v>
      </c>
      <c r="B315" s="41"/>
      <c r="C315" s="42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3"/>
      <c r="W315" s="43"/>
      <c r="X315" s="43"/>
      <c r="Y315" s="43"/>
      <c r="Z315" s="43"/>
      <c r="AA315" s="44">
        <f t="shared" ref="AA315:AA316" si="110">SUM(B315:Z315)</f>
        <v>0</v>
      </c>
      <c r="AB315" s="31"/>
      <c r="AC315" s="2"/>
    </row>
    <row r="316">
      <c r="A316" s="40" t="s">
        <v>49</v>
      </c>
      <c r="B316" s="41"/>
      <c r="C316" s="42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3"/>
      <c r="W316" s="43"/>
      <c r="X316" s="43"/>
      <c r="Y316" s="43"/>
      <c r="Z316" s="43"/>
      <c r="AA316" s="44">
        <f t="shared" si="110"/>
        <v>0</v>
      </c>
      <c r="AB316" s="31"/>
      <c r="AC316" s="2"/>
    </row>
    <row r="317">
      <c r="A317" s="40" t="s">
        <v>50</v>
      </c>
      <c r="B317" s="42"/>
      <c r="C317" s="42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3"/>
      <c r="W317" s="43"/>
      <c r="X317" s="43"/>
      <c r="Y317" s="43"/>
      <c r="Z317" s="43"/>
      <c r="AA317" s="44" t="str">
        <f>AVERAGE(B317:Z317)</f>
        <v>#DIV/0!</v>
      </c>
      <c r="AB317" s="31"/>
      <c r="AC317" s="2"/>
    </row>
    <row r="318">
      <c r="A318" s="45" t="s">
        <v>51</v>
      </c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7"/>
      <c r="AA318" s="46"/>
      <c r="AB318" s="39"/>
      <c r="AC318" s="2"/>
    </row>
    <row r="319">
      <c r="A319" s="47" t="s">
        <v>48</v>
      </c>
      <c r="B319" s="48"/>
      <c r="C319" s="49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50"/>
      <c r="W319" s="50"/>
      <c r="X319" s="50"/>
      <c r="Y319" s="50"/>
      <c r="Z319" s="50"/>
      <c r="AA319" s="51">
        <f t="shared" ref="AA319:AA320" si="111">SUM(B319:Z319)</f>
        <v>0</v>
      </c>
      <c r="AB319" s="31"/>
      <c r="AC319" s="2"/>
    </row>
    <row r="320">
      <c r="A320" s="47" t="s">
        <v>49</v>
      </c>
      <c r="B320" s="48"/>
      <c r="C320" s="49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50"/>
      <c r="W320" s="50"/>
      <c r="X320" s="50"/>
      <c r="Y320" s="50"/>
      <c r="Z320" s="50"/>
      <c r="AA320" s="51">
        <f t="shared" si="111"/>
        <v>0</v>
      </c>
      <c r="AB320" s="31"/>
      <c r="AC320" s="2"/>
    </row>
    <row r="321">
      <c r="A321" s="47" t="s">
        <v>50</v>
      </c>
      <c r="B321" s="49"/>
      <c r="C321" s="49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50"/>
      <c r="W321" s="50"/>
      <c r="X321" s="50"/>
      <c r="Y321" s="50"/>
      <c r="Z321" s="50"/>
      <c r="AA321" s="51" t="str">
        <f>AVERAGE(B321:Z321)</f>
        <v>#DIV/0!</v>
      </c>
      <c r="AB321" s="31"/>
      <c r="AC321" s="2"/>
    </row>
    <row r="322">
      <c r="A322" s="52" t="s">
        <v>53</v>
      </c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7"/>
      <c r="AA322" s="38"/>
      <c r="AB322" s="39"/>
      <c r="AC322" s="2"/>
    </row>
    <row r="323">
      <c r="A323" s="40" t="s">
        <v>48</v>
      </c>
      <c r="B323" s="41"/>
      <c r="C323" s="42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3"/>
      <c r="W323" s="43"/>
      <c r="X323" s="43"/>
      <c r="Y323" s="43"/>
      <c r="Z323" s="43"/>
      <c r="AA323" s="44">
        <f t="shared" ref="AA323:AA324" si="112">SUM(B323:Z323)</f>
        <v>0</v>
      </c>
      <c r="AB323" s="31"/>
      <c r="AC323" s="2"/>
    </row>
    <row r="324">
      <c r="A324" s="40" t="s">
        <v>49</v>
      </c>
      <c r="B324" s="41"/>
      <c r="C324" s="42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3"/>
      <c r="W324" s="43"/>
      <c r="X324" s="43"/>
      <c r="Y324" s="43"/>
      <c r="Z324" s="43"/>
      <c r="AA324" s="44">
        <f t="shared" si="112"/>
        <v>0</v>
      </c>
      <c r="AB324" s="31"/>
      <c r="AC324" s="2"/>
    </row>
    <row r="325">
      <c r="A325" s="53" t="s">
        <v>50</v>
      </c>
      <c r="B325" s="54"/>
      <c r="C325" s="54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6"/>
      <c r="W325" s="56"/>
      <c r="X325" s="56"/>
      <c r="Y325" s="56"/>
      <c r="Z325" s="56"/>
      <c r="AA325" s="57" t="str">
        <f>AVERAGE(B325:Z325)</f>
        <v>#DIV/0!</v>
      </c>
      <c r="AB325" s="58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59"/>
      <c r="AB326" s="59"/>
      <c r="AC326" s="2"/>
    </row>
    <row r="327">
      <c r="A327" s="71" t="s">
        <v>54</v>
      </c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 t="s">
        <v>37</v>
      </c>
      <c r="AB327" s="16" t="s">
        <v>38</v>
      </c>
      <c r="AC327" s="2"/>
    </row>
    <row r="328">
      <c r="A328" s="17" t="s">
        <v>39</v>
      </c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20">
        <f t="shared" ref="AA328:AA332" si="113">SUM(B328:Z328)</f>
        <v>0</v>
      </c>
      <c r="AB328" s="21" t="str">
        <f t="shared" ref="AB328:AB331" si="114">AA328/(COUNT(B328:Z328)*1)</f>
        <v>#DIV/0!</v>
      </c>
      <c r="AC328" s="2"/>
    </row>
    <row r="329">
      <c r="A329" s="17" t="s">
        <v>40</v>
      </c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20">
        <f t="shared" si="113"/>
        <v>0</v>
      </c>
      <c r="AB329" s="21" t="str">
        <f t="shared" si="114"/>
        <v>#DIV/0!</v>
      </c>
      <c r="AC329" s="2"/>
    </row>
    <row r="330">
      <c r="A330" s="17" t="s">
        <v>41</v>
      </c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20">
        <f t="shared" si="113"/>
        <v>0</v>
      </c>
      <c r="AB330" s="21" t="str">
        <f t="shared" si="114"/>
        <v>#DIV/0!</v>
      </c>
      <c r="AC330" s="2"/>
    </row>
    <row r="331">
      <c r="A331" s="17" t="s">
        <v>42</v>
      </c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20">
        <f t="shared" si="113"/>
        <v>0</v>
      </c>
      <c r="AB331" s="21" t="str">
        <f t="shared" si="114"/>
        <v>#DIV/0!</v>
      </c>
      <c r="AC331" s="2"/>
    </row>
    <row r="332">
      <c r="A332" s="17" t="s">
        <v>43</v>
      </c>
      <c r="B332" s="22">
        <f t="shared" ref="B332:Z332" si="115">SUM(B328:B331)</f>
        <v>0</v>
      </c>
      <c r="C332" s="22">
        <f t="shared" si="115"/>
        <v>0</v>
      </c>
      <c r="D332" s="22">
        <f t="shared" si="115"/>
        <v>0</v>
      </c>
      <c r="E332" s="22">
        <f t="shared" si="115"/>
        <v>0</v>
      </c>
      <c r="F332" s="22">
        <f t="shared" si="115"/>
        <v>0</v>
      </c>
      <c r="G332" s="22">
        <f t="shared" si="115"/>
        <v>0</v>
      </c>
      <c r="H332" s="22">
        <f t="shared" si="115"/>
        <v>0</v>
      </c>
      <c r="I332" s="22">
        <f t="shared" si="115"/>
        <v>0</v>
      </c>
      <c r="J332" s="22">
        <f t="shared" si="115"/>
        <v>0</v>
      </c>
      <c r="K332" s="22">
        <f t="shared" si="115"/>
        <v>0</v>
      </c>
      <c r="L332" s="22">
        <f t="shared" si="115"/>
        <v>0</v>
      </c>
      <c r="M332" s="22">
        <f t="shared" si="115"/>
        <v>0</v>
      </c>
      <c r="N332" s="22">
        <f t="shared" si="115"/>
        <v>0</v>
      </c>
      <c r="O332" s="22">
        <f t="shared" si="115"/>
        <v>0</v>
      </c>
      <c r="P332" s="22">
        <f t="shared" si="115"/>
        <v>0</v>
      </c>
      <c r="Q332" s="22">
        <f t="shared" si="115"/>
        <v>0</v>
      </c>
      <c r="R332" s="22">
        <f t="shared" si="115"/>
        <v>0</v>
      </c>
      <c r="S332" s="22">
        <f t="shared" si="115"/>
        <v>0</v>
      </c>
      <c r="T332" s="22">
        <f t="shared" si="115"/>
        <v>0</v>
      </c>
      <c r="U332" s="22">
        <f t="shared" si="115"/>
        <v>0</v>
      </c>
      <c r="V332" s="22">
        <f t="shared" si="115"/>
        <v>0</v>
      </c>
      <c r="W332" s="22">
        <f t="shared" si="115"/>
        <v>0</v>
      </c>
      <c r="X332" s="22">
        <f t="shared" si="115"/>
        <v>0</v>
      </c>
      <c r="Y332" s="22">
        <f t="shared" si="115"/>
        <v>0</v>
      </c>
      <c r="Z332" s="22">
        <f t="shared" si="115"/>
        <v>0</v>
      </c>
      <c r="AA332" s="20">
        <f t="shared" si="113"/>
        <v>0</v>
      </c>
      <c r="AB332" s="23"/>
      <c r="AC332" s="2"/>
    </row>
    <row r="333">
      <c r="A333" s="17" t="s">
        <v>38</v>
      </c>
      <c r="B333" s="24" t="str">
        <f t="shared" ref="B333:Z333" si="116">B332/(COUNT(B328:B331)*1)</f>
        <v>#DIV/0!</v>
      </c>
      <c r="C333" s="24" t="str">
        <f t="shared" si="116"/>
        <v>#DIV/0!</v>
      </c>
      <c r="D333" s="24" t="str">
        <f t="shared" si="116"/>
        <v>#DIV/0!</v>
      </c>
      <c r="E333" s="24" t="str">
        <f t="shared" si="116"/>
        <v>#DIV/0!</v>
      </c>
      <c r="F333" s="24" t="str">
        <f t="shared" si="116"/>
        <v>#DIV/0!</v>
      </c>
      <c r="G333" s="24" t="str">
        <f t="shared" si="116"/>
        <v>#DIV/0!</v>
      </c>
      <c r="H333" s="24" t="str">
        <f t="shared" si="116"/>
        <v>#DIV/0!</v>
      </c>
      <c r="I333" s="24" t="str">
        <f t="shared" si="116"/>
        <v>#DIV/0!</v>
      </c>
      <c r="J333" s="24" t="str">
        <f t="shared" si="116"/>
        <v>#DIV/0!</v>
      </c>
      <c r="K333" s="24" t="str">
        <f t="shared" si="116"/>
        <v>#DIV/0!</v>
      </c>
      <c r="L333" s="24" t="str">
        <f t="shared" si="116"/>
        <v>#DIV/0!</v>
      </c>
      <c r="M333" s="24" t="str">
        <f t="shared" si="116"/>
        <v>#DIV/0!</v>
      </c>
      <c r="N333" s="24" t="str">
        <f t="shared" si="116"/>
        <v>#DIV/0!</v>
      </c>
      <c r="O333" s="24" t="str">
        <f t="shared" si="116"/>
        <v>#DIV/0!</v>
      </c>
      <c r="P333" s="24" t="str">
        <f t="shared" si="116"/>
        <v>#DIV/0!</v>
      </c>
      <c r="Q333" s="24" t="str">
        <f t="shared" si="116"/>
        <v>#DIV/0!</v>
      </c>
      <c r="R333" s="24" t="str">
        <f t="shared" si="116"/>
        <v>#DIV/0!</v>
      </c>
      <c r="S333" s="24" t="str">
        <f t="shared" si="116"/>
        <v>#DIV/0!</v>
      </c>
      <c r="T333" s="24" t="str">
        <f t="shared" si="116"/>
        <v>#DIV/0!</v>
      </c>
      <c r="U333" s="24" t="str">
        <f t="shared" si="116"/>
        <v>#DIV/0!</v>
      </c>
      <c r="V333" s="24" t="str">
        <f t="shared" si="116"/>
        <v>#DIV/0!</v>
      </c>
      <c r="W333" s="24" t="str">
        <f t="shared" si="116"/>
        <v>#DIV/0!</v>
      </c>
      <c r="X333" s="24" t="str">
        <f t="shared" si="116"/>
        <v>#DIV/0!</v>
      </c>
      <c r="Y333" s="24" t="str">
        <f t="shared" si="116"/>
        <v>#DIV/0!</v>
      </c>
      <c r="Z333" s="24" t="str">
        <f t="shared" si="116"/>
        <v>#DIV/0!</v>
      </c>
      <c r="AA333" s="25"/>
      <c r="AB333" s="26" t="str">
        <f>SUM(AB328:AB331)/4</f>
        <v>#DIV/0!</v>
      </c>
      <c r="AC333" s="2"/>
    </row>
    <row r="334">
      <c r="A334" s="27" t="s">
        <v>44</v>
      </c>
      <c r="B334" s="28"/>
      <c r="C334" s="29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30">
        <f t="shared" ref="AA334:AA336" si="117">SUM(B334:Z334)</f>
        <v>0</v>
      </c>
      <c r="AB334" s="31"/>
      <c r="AC334" s="2"/>
    </row>
    <row r="335">
      <c r="A335" s="32" t="s">
        <v>45</v>
      </c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28"/>
      <c r="W335" s="28"/>
      <c r="X335" s="28"/>
      <c r="Y335" s="28"/>
      <c r="Z335" s="28"/>
      <c r="AA335" s="30">
        <f t="shared" si="117"/>
        <v>0</v>
      </c>
      <c r="AB335" s="31"/>
      <c r="AC335" s="9"/>
    </row>
    <row r="336">
      <c r="A336" s="34" t="s">
        <v>46</v>
      </c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28"/>
      <c r="W336" s="28"/>
      <c r="X336" s="28"/>
      <c r="Y336" s="28"/>
      <c r="Z336" s="28"/>
      <c r="AA336" s="30">
        <f t="shared" si="117"/>
        <v>0</v>
      </c>
      <c r="AB336" s="31"/>
      <c r="AC336" s="9"/>
    </row>
    <row r="337">
      <c r="A337" s="35" t="s">
        <v>47</v>
      </c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7"/>
      <c r="AA337" s="38"/>
      <c r="AB337" s="39"/>
      <c r="AC337" s="2"/>
    </row>
    <row r="338">
      <c r="A338" s="40" t="s">
        <v>48</v>
      </c>
      <c r="B338" s="41"/>
      <c r="C338" s="42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3"/>
      <c r="W338" s="43"/>
      <c r="X338" s="43"/>
      <c r="Y338" s="43"/>
      <c r="Z338" s="43"/>
      <c r="AA338" s="44">
        <f t="shared" ref="AA338:AA339" si="118">SUM(B338:Z338)</f>
        <v>0</v>
      </c>
      <c r="AB338" s="31"/>
      <c r="AC338" s="2"/>
    </row>
    <row r="339">
      <c r="A339" s="40" t="s">
        <v>49</v>
      </c>
      <c r="B339" s="41"/>
      <c r="C339" s="42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3"/>
      <c r="W339" s="43"/>
      <c r="X339" s="43"/>
      <c r="Y339" s="43"/>
      <c r="Z339" s="43"/>
      <c r="AA339" s="44">
        <f t="shared" si="118"/>
        <v>0</v>
      </c>
      <c r="AB339" s="31"/>
      <c r="AC339" s="2"/>
    </row>
    <row r="340">
      <c r="A340" s="40" t="s">
        <v>50</v>
      </c>
      <c r="B340" s="42"/>
      <c r="C340" s="42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3"/>
      <c r="W340" s="43"/>
      <c r="X340" s="43"/>
      <c r="Y340" s="43"/>
      <c r="Z340" s="43"/>
      <c r="AA340" s="44" t="str">
        <f>AVERAGE(B340:Z340)</f>
        <v>#DIV/0!</v>
      </c>
      <c r="AB340" s="31"/>
      <c r="AC340" s="2"/>
    </row>
    <row r="341">
      <c r="A341" s="45" t="s">
        <v>51</v>
      </c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7"/>
      <c r="AA341" s="46"/>
      <c r="AB341" s="39"/>
      <c r="AC341" s="2"/>
    </row>
    <row r="342">
      <c r="A342" s="47" t="s">
        <v>48</v>
      </c>
      <c r="B342" s="48"/>
      <c r="C342" s="49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50"/>
      <c r="W342" s="50"/>
      <c r="X342" s="50"/>
      <c r="Y342" s="50"/>
      <c r="Z342" s="50"/>
      <c r="AA342" s="51">
        <f t="shared" ref="AA342:AA343" si="119">SUM(B342:Z342)</f>
        <v>0</v>
      </c>
      <c r="AB342" s="31"/>
      <c r="AC342" s="2"/>
    </row>
    <row r="343">
      <c r="A343" s="47" t="s">
        <v>49</v>
      </c>
      <c r="B343" s="48"/>
      <c r="C343" s="49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50"/>
      <c r="W343" s="50"/>
      <c r="X343" s="50"/>
      <c r="Y343" s="50"/>
      <c r="Z343" s="50"/>
      <c r="AA343" s="51">
        <f t="shared" si="119"/>
        <v>0</v>
      </c>
      <c r="AB343" s="31"/>
      <c r="AC343" s="2"/>
    </row>
    <row r="344">
      <c r="A344" s="47" t="s">
        <v>50</v>
      </c>
      <c r="B344" s="49"/>
      <c r="C344" s="49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50"/>
      <c r="W344" s="50"/>
      <c r="X344" s="50"/>
      <c r="Y344" s="50"/>
      <c r="Z344" s="50"/>
      <c r="AA344" s="51" t="str">
        <f>AVERAGE(B344:Z344)</f>
        <v>#DIV/0!</v>
      </c>
      <c r="AB344" s="31"/>
      <c r="AC344" s="2"/>
    </row>
    <row r="345">
      <c r="A345" s="52" t="s">
        <v>53</v>
      </c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7"/>
      <c r="AA345" s="38"/>
      <c r="AB345" s="39"/>
      <c r="AC345" s="2"/>
    </row>
    <row r="346">
      <c r="A346" s="40" t="s">
        <v>48</v>
      </c>
      <c r="B346" s="41"/>
      <c r="C346" s="42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3"/>
      <c r="W346" s="43"/>
      <c r="X346" s="43"/>
      <c r="Y346" s="43"/>
      <c r="Z346" s="43"/>
      <c r="AA346" s="44">
        <f t="shared" ref="AA346:AA347" si="120">SUM(B346:Z346)</f>
        <v>0</v>
      </c>
      <c r="AB346" s="31"/>
      <c r="AC346" s="2"/>
    </row>
    <row r="347">
      <c r="A347" s="40" t="s">
        <v>49</v>
      </c>
      <c r="B347" s="41"/>
      <c r="C347" s="42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3"/>
      <c r="W347" s="43"/>
      <c r="X347" s="43"/>
      <c r="Y347" s="43"/>
      <c r="Z347" s="43"/>
      <c r="AA347" s="44">
        <f t="shared" si="120"/>
        <v>0</v>
      </c>
      <c r="AB347" s="31"/>
      <c r="AC347" s="2"/>
    </row>
    <row r="348">
      <c r="A348" s="53" t="s">
        <v>50</v>
      </c>
      <c r="B348" s="54"/>
      <c r="C348" s="54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6"/>
      <c r="W348" s="56"/>
      <c r="X348" s="56"/>
      <c r="Y348" s="56"/>
      <c r="Z348" s="56"/>
      <c r="AA348" s="57" t="str">
        <f>AVERAGE(B348:Z348)</f>
        <v>#DIV/0!</v>
      </c>
      <c r="AB348" s="58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59"/>
      <c r="AB349" s="59"/>
      <c r="AC349" s="2"/>
    </row>
    <row r="350">
      <c r="A350" s="71" t="s">
        <v>54</v>
      </c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5" t="s">
        <v>37</v>
      </c>
      <c r="AB350" s="16" t="s">
        <v>38</v>
      </c>
      <c r="AC350" s="2"/>
    </row>
    <row r="351">
      <c r="A351" s="17" t="s">
        <v>39</v>
      </c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20">
        <f t="shared" ref="AA351:AA355" si="121">SUM(B351:Z351)</f>
        <v>0</v>
      </c>
      <c r="AB351" s="21" t="str">
        <f t="shared" ref="AB351:AB354" si="122">AA351/(COUNT(B351:Z351)*1)</f>
        <v>#DIV/0!</v>
      </c>
      <c r="AC351" s="2"/>
    </row>
    <row r="352">
      <c r="A352" s="17" t="s">
        <v>40</v>
      </c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20">
        <f t="shared" si="121"/>
        <v>0</v>
      </c>
      <c r="AB352" s="21" t="str">
        <f t="shared" si="122"/>
        <v>#DIV/0!</v>
      </c>
      <c r="AC352" s="2"/>
    </row>
    <row r="353">
      <c r="A353" s="17" t="s">
        <v>41</v>
      </c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20">
        <f t="shared" si="121"/>
        <v>0</v>
      </c>
      <c r="AB353" s="21" t="str">
        <f t="shared" si="122"/>
        <v>#DIV/0!</v>
      </c>
      <c r="AC353" s="2"/>
    </row>
    <row r="354">
      <c r="A354" s="17" t="s">
        <v>42</v>
      </c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20">
        <f t="shared" si="121"/>
        <v>0</v>
      </c>
      <c r="AB354" s="21" t="str">
        <f t="shared" si="122"/>
        <v>#DIV/0!</v>
      </c>
      <c r="AC354" s="2"/>
    </row>
    <row r="355">
      <c r="A355" s="17" t="s">
        <v>43</v>
      </c>
      <c r="B355" s="22">
        <f t="shared" ref="B355:Z355" si="123">SUM(B351:B354)</f>
        <v>0</v>
      </c>
      <c r="C355" s="22">
        <f t="shared" si="123"/>
        <v>0</v>
      </c>
      <c r="D355" s="22">
        <f t="shared" si="123"/>
        <v>0</v>
      </c>
      <c r="E355" s="22">
        <f t="shared" si="123"/>
        <v>0</v>
      </c>
      <c r="F355" s="22">
        <f t="shared" si="123"/>
        <v>0</v>
      </c>
      <c r="G355" s="22">
        <f t="shared" si="123"/>
        <v>0</v>
      </c>
      <c r="H355" s="22">
        <f t="shared" si="123"/>
        <v>0</v>
      </c>
      <c r="I355" s="22">
        <f t="shared" si="123"/>
        <v>0</v>
      </c>
      <c r="J355" s="22">
        <f t="shared" si="123"/>
        <v>0</v>
      </c>
      <c r="K355" s="22">
        <f t="shared" si="123"/>
        <v>0</v>
      </c>
      <c r="L355" s="22">
        <f t="shared" si="123"/>
        <v>0</v>
      </c>
      <c r="M355" s="22">
        <f t="shared" si="123"/>
        <v>0</v>
      </c>
      <c r="N355" s="22">
        <f t="shared" si="123"/>
        <v>0</v>
      </c>
      <c r="O355" s="22">
        <f t="shared" si="123"/>
        <v>0</v>
      </c>
      <c r="P355" s="22">
        <f t="shared" si="123"/>
        <v>0</v>
      </c>
      <c r="Q355" s="22">
        <f t="shared" si="123"/>
        <v>0</v>
      </c>
      <c r="R355" s="22">
        <f t="shared" si="123"/>
        <v>0</v>
      </c>
      <c r="S355" s="22">
        <f t="shared" si="123"/>
        <v>0</v>
      </c>
      <c r="T355" s="22">
        <f t="shared" si="123"/>
        <v>0</v>
      </c>
      <c r="U355" s="22">
        <f t="shared" si="123"/>
        <v>0</v>
      </c>
      <c r="V355" s="22">
        <f t="shared" si="123"/>
        <v>0</v>
      </c>
      <c r="W355" s="22">
        <f t="shared" si="123"/>
        <v>0</v>
      </c>
      <c r="X355" s="22">
        <f t="shared" si="123"/>
        <v>0</v>
      </c>
      <c r="Y355" s="22">
        <f t="shared" si="123"/>
        <v>0</v>
      </c>
      <c r="Z355" s="22">
        <f t="shared" si="123"/>
        <v>0</v>
      </c>
      <c r="AA355" s="20">
        <f t="shared" si="121"/>
        <v>0</v>
      </c>
      <c r="AB355" s="23"/>
      <c r="AC355" s="2"/>
    </row>
    <row r="356">
      <c r="A356" s="17" t="s">
        <v>38</v>
      </c>
      <c r="B356" s="24" t="str">
        <f t="shared" ref="B356:Z356" si="124">B355/(COUNT(B351:B354)*1)</f>
        <v>#DIV/0!</v>
      </c>
      <c r="C356" s="24" t="str">
        <f t="shared" si="124"/>
        <v>#DIV/0!</v>
      </c>
      <c r="D356" s="24" t="str">
        <f t="shared" si="124"/>
        <v>#DIV/0!</v>
      </c>
      <c r="E356" s="24" t="str">
        <f t="shared" si="124"/>
        <v>#DIV/0!</v>
      </c>
      <c r="F356" s="24" t="str">
        <f t="shared" si="124"/>
        <v>#DIV/0!</v>
      </c>
      <c r="G356" s="24" t="str">
        <f t="shared" si="124"/>
        <v>#DIV/0!</v>
      </c>
      <c r="H356" s="24" t="str">
        <f t="shared" si="124"/>
        <v>#DIV/0!</v>
      </c>
      <c r="I356" s="24" t="str">
        <f t="shared" si="124"/>
        <v>#DIV/0!</v>
      </c>
      <c r="J356" s="24" t="str">
        <f t="shared" si="124"/>
        <v>#DIV/0!</v>
      </c>
      <c r="K356" s="24" t="str">
        <f t="shared" si="124"/>
        <v>#DIV/0!</v>
      </c>
      <c r="L356" s="24" t="str">
        <f t="shared" si="124"/>
        <v>#DIV/0!</v>
      </c>
      <c r="M356" s="24" t="str">
        <f t="shared" si="124"/>
        <v>#DIV/0!</v>
      </c>
      <c r="N356" s="24" t="str">
        <f t="shared" si="124"/>
        <v>#DIV/0!</v>
      </c>
      <c r="O356" s="24" t="str">
        <f t="shared" si="124"/>
        <v>#DIV/0!</v>
      </c>
      <c r="P356" s="24" t="str">
        <f t="shared" si="124"/>
        <v>#DIV/0!</v>
      </c>
      <c r="Q356" s="24" t="str">
        <f t="shared" si="124"/>
        <v>#DIV/0!</v>
      </c>
      <c r="R356" s="24" t="str">
        <f t="shared" si="124"/>
        <v>#DIV/0!</v>
      </c>
      <c r="S356" s="24" t="str">
        <f t="shared" si="124"/>
        <v>#DIV/0!</v>
      </c>
      <c r="T356" s="24" t="str">
        <f t="shared" si="124"/>
        <v>#DIV/0!</v>
      </c>
      <c r="U356" s="24" t="str">
        <f t="shared" si="124"/>
        <v>#DIV/0!</v>
      </c>
      <c r="V356" s="24" t="str">
        <f t="shared" si="124"/>
        <v>#DIV/0!</v>
      </c>
      <c r="W356" s="24" t="str">
        <f t="shared" si="124"/>
        <v>#DIV/0!</v>
      </c>
      <c r="X356" s="24" t="str">
        <f t="shared" si="124"/>
        <v>#DIV/0!</v>
      </c>
      <c r="Y356" s="24" t="str">
        <f t="shared" si="124"/>
        <v>#DIV/0!</v>
      </c>
      <c r="Z356" s="24" t="str">
        <f t="shared" si="124"/>
        <v>#DIV/0!</v>
      </c>
      <c r="AA356" s="25"/>
      <c r="AB356" s="26" t="str">
        <f>SUM(AB351:AB354)/4</f>
        <v>#DIV/0!</v>
      </c>
      <c r="AC356" s="2"/>
    </row>
    <row r="357">
      <c r="A357" s="27" t="s">
        <v>44</v>
      </c>
      <c r="B357" s="28"/>
      <c r="C357" s="29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30">
        <f t="shared" ref="AA357:AA359" si="125">SUM(B357:Z357)</f>
        <v>0</v>
      </c>
      <c r="AB357" s="31"/>
      <c r="AC357" s="2"/>
    </row>
    <row r="358">
      <c r="A358" s="32" t="s">
        <v>45</v>
      </c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28"/>
      <c r="W358" s="28"/>
      <c r="X358" s="28"/>
      <c r="Y358" s="28"/>
      <c r="Z358" s="28"/>
      <c r="AA358" s="30">
        <f t="shared" si="125"/>
        <v>0</v>
      </c>
      <c r="AB358" s="31"/>
      <c r="AC358" s="9"/>
    </row>
    <row r="359">
      <c r="A359" s="34" t="s">
        <v>46</v>
      </c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28"/>
      <c r="W359" s="28"/>
      <c r="X359" s="28"/>
      <c r="Y359" s="28"/>
      <c r="Z359" s="28"/>
      <c r="AA359" s="30">
        <f t="shared" si="125"/>
        <v>0</v>
      </c>
      <c r="AB359" s="31"/>
      <c r="AC359" s="9"/>
    </row>
    <row r="360">
      <c r="A360" s="35" t="s">
        <v>47</v>
      </c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7"/>
      <c r="AA360" s="38"/>
      <c r="AB360" s="39"/>
      <c r="AC360" s="2"/>
    </row>
    <row r="361">
      <c r="A361" s="40" t="s">
        <v>48</v>
      </c>
      <c r="B361" s="41"/>
      <c r="C361" s="42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3"/>
      <c r="W361" s="43"/>
      <c r="X361" s="43"/>
      <c r="Y361" s="43"/>
      <c r="Z361" s="43"/>
      <c r="AA361" s="44">
        <f t="shared" ref="AA361:AA362" si="126">SUM(B361:Z361)</f>
        <v>0</v>
      </c>
      <c r="AB361" s="31"/>
      <c r="AC361" s="2"/>
    </row>
    <row r="362">
      <c r="A362" s="40" t="s">
        <v>49</v>
      </c>
      <c r="B362" s="41"/>
      <c r="C362" s="42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3"/>
      <c r="W362" s="43"/>
      <c r="X362" s="43"/>
      <c r="Y362" s="43"/>
      <c r="Z362" s="43"/>
      <c r="AA362" s="44">
        <f t="shared" si="126"/>
        <v>0</v>
      </c>
      <c r="AB362" s="31"/>
      <c r="AC362" s="2"/>
    </row>
    <row r="363">
      <c r="A363" s="40" t="s">
        <v>50</v>
      </c>
      <c r="B363" s="42"/>
      <c r="C363" s="42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3"/>
      <c r="W363" s="43"/>
      <c r="X363" s="43"/>
      <c r="Y363" s="43"/>
      <c r="Z363" s="43"/>
      <c r="AA363" s="44" t="str">
        <f>AVERAGE(B363:Z363)</f>
        <v>#DIV/0!</v>
      </c>
      <c r="AB363" s="31"/>
      <c r="AC363" s="2"/>
    </row>
    <row r="364">
      <c r="A364" s="45" t="s">
        <v>51</v>
      </c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7"/>
      <c r="AA364" s="46"/>
      <c r="AB364" s="39"/>
      <c r="AC364" s="2"/>
    </row>
    <row r="365">
      <c r="A365" s="47" t="s">
        <v>48</v>
      </c>
      <c r="B365" s="48"/>
      <c r="C365" s="49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50"/>
      <c r="W365" s="50"/>
      <c r="X365" s="50"/>
      <c r="Y365" s="50"/>
      <c r="Z365" s="50"/>
      <c r="AA365" s="51">
        <f t="shared" ref="AA365:AA366" si="127">SUM(B365:Z365)</f>
        <v>0</v>
      </c>
      <c r="AB365" s="31"/>
      <c r="AC365" s="2"/>
    </row>
    <row r="366">
      <c r="A366" s="47" t="s">
        <v>49</v>
      </c>
      <c r="B366" s="48"/>
      <c r="C366" s="49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50"/>
      <c r="W366" s="50"/>
      <c r="X366" s="50"/>
      <c r="Y366" s="50"/>
      <c r="Z366" s="50"/>
      <c r="AA366" s="51">
        <f t="shared" si="127"/>
        <v>0</v>
      </c>
      <c r="AB366" s="31"/>
      <c r="AC366" s="2"/>
    </row>
    <row r="367">
      <c r="A367" s="47" t="s">
        <v>50</v>
      </c>
      <c r="B367" s="49"/>
      <c r="C367" s="49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50"/>
      <c r="W367" s="50"/>
      <c r="X367" s="50"/>
      <c r="Y367" s="50"/>
      <c r="Z367" s="50"/>
      <c r="AA367" s="51" t="str">
        <f>AVERAGE(B367:Z367)</f>
        <v>#DIV/0!</v>
      </c>
      <c r="AB367" s="31"/>
      <c r="AC367" s="2"/>
    </row>
    <row r="368">
      <c r="A368" s="52" t="s">
        <v>53</v>
      </c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8"/>
      <c r="AB368" s="39"/>
      <c r="AC368" s="2"/>
    </row>
    <row r="369">
      <c r="A369" s="40" t="s">
        <v>48</v>
      </c>
      <c r="B369" s="41"/>
      <c r="C369" s="42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3"/>
      <c r="W369" s="43"/>
      <c r="X369" s="43"/>
      <c r="Y369" s="43"/>
      <c r="Z369" s="43"/>
      <c r="AA369" s="44">
        <f t="shared" ref="AA369:AA370" si="128">SUM(B369:Z369)</f>
        <v>0</v>
      </c>
      <c r="AB369" s="31"/>
      <c r="AC369" s="2"/>
    </row>
    <row r="370">
      <c r="A370" s="40" t="s">
        <v>49</v>
      </c>
      <c r="B370" s="41"/>
      <c r="C370" s="42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3"/>
      <c r="W370" s="43"/>
      <c r="X370" s="43"/>
      <c r="Y370" s="43"/>
      <c r="Z370" s="43"/>
      <c r="AA370" s="44">
        <f t="shared" si="128"/>
        <v>0</v>
      </c>
      <c r="AB370" s="31"/>
      <c r="AC370" s="2"/>
    </row>
    <row r="371">
      <c r="A371" s="53" t="s">
        <v>50</v>
      </c>
      <c r="B371" s="54"/>
      <c r="C371" s="54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6"/>
      <c r="W371" s="56"/>
      <c r="X371" s="56"/>
      <c r="Y371" s="56"/>
      <c r="Z371" s="56"/>
      <c r="AA371" s="57" t="str">
        <f>AVERAGE(B371:Z371)</f>
        <v>#DIV/0!</v>
      </c>
      <c r="AB371" s="58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59"/>
      <c r="AB372" s="59"/>
      <c r="AC372" s="2"/>
    </row>
    <row r="373">
      <c r="A373" s="71" t="s">
        <v>54</v>
      </c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5" t="s">
        <v>37</v>
      </c>
      <c r="AB373" s="16" t="s">
        <v>38</v>
      </c>
      <c r="AC373" s="2"/>
    </row>
    <row r="374">
      <c r="A374" s="17" t="s">
        <v>39</v>
      </c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20">
        <f t="shared" ref="AA374:AA378" si="129">SUM(B374:Z374)</f>
        <v>0</v>
      </c>
      <c r="AB374" s="21" t="str">
        <f t="shared" ref="AB374:AB377" si="130">AA374/(COUNT(B374:Z374)*1)</f>
        <v>#DIV/0!</v>
      </c>
      <c r="AC374" s="2"/>
    </row>
    <row r="375">
      <c r="A375" s="17" t="s">
        <v>40</v>
      </c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20">
        <f t="shared" si="129"/>
        <v>0</v>
      </c>
      <c r="AB375" s="21" t="str">
        <f t="shared" si="130"/>
        <v>#DIV/0!</v>
      </c>
      <c r="AC375" s="2"/>
    </row>
    <row r="376">
      <c r="A376" s="17" t="s">
        <v>41</v>
      </c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20">
        <f t="shared" si="129"/>
        <v>0</v>
      </c>
      <c r="AB376" s="21" t="str">
        <f t="shared" si="130"/>
        <v>#DIV/0!</v>
      </c>
      <c r="AC376" s="2"/>
    </row>
    <row r="377">
      <c r="A377" s="17" t="s">
        <v>42</v>
      </c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20">
        <f t="shared" si="129"/>
        <v>0</v>
      </c>
      <c r="AB377" s="21" t="str">
        <f t="shared" si="130"/>
        <v>#DIV/0!</v>
      </c>
      <c r="AC377" s="2"/>
    </row>
    <row r="378">
      <c r="A378" s="17" t="s">
        <v>43</v>
      </c>
      <c r="B378" s="22">
        <f t="shared" ref="B378:Z378" si="131">SUM(B374:B377)</f>
        <v>0</v>
      </c>
      <c r="C378" s="22">
        <f t="shared" si="131"/>
        <v>0</v>
      </c>
      <c r="D378" s="22">
        <f t="shared" si="131"/>
        <v>0</v>
      </c>
      <c r="E378" s="22">
        <f t="shared" si="131"/>
        <v>0</v>
      </c>
      <c r="F378" s="22">
        <f t="shared" si="131"/>
        <v>0</v>
      </c>
      <c r="G378" s="22">
        <f t="shared" si="131"/>
        <v>0</v>
      </c>
      <c r="H378" s="22">
        <f t="shared" si="131"/>
        <v>0</v>
      </c>
      <c r="I378" s="22">
        <f t="shared" si="131"/>
        <v>0</v>
      </c>
      <c r="J378" s="22">
        <f t="shared" si="131"/>
        <v>0</v>
      </c>
      <c r="K378" s="22">
        <f t="shared" si="131"/>
        <v>0</v>
      </c>
      <c r="L378" s="22">
        <f t="shared" si="131"/>
        <v>0</v>
      </c>
      <c r="M378" s="22">
        <f t="shared" si="131"/>
        <v>0</v>
      </c>
      <c r="N378" s="22">
        <f t="shared" si="131"/>
        <v>0</v>
      </c>
      <c r="O378" s="22">
        <f t="shared" si="131"/>
        <v>0</v>
      </c>
      <c r="P378" s="22">
        <f t="shared" si="131"/>
        <v>0</v>
      </c>
      <c r="Q378" s="22">
        <f t="shared" si="131"/>
        <v>0</v>
      </c>
      <c r="R378" s="22">
        <f t="shared" si="131"/>
        <v>0</v>
      </c>
      <c r="S378" s="22">
        <f t="shared" si="131"/>
        <v>0</v>
      </c>
      <c r="T378" s="22">
        <f t="shared" si="131"/>
        <v>0</v>
      </c>
      <c r="U378" s="22">
        <f t="shared" si="131"/>
        <v>0</v>
      </c>
      <c r="V378" s="22">
        <f t="shared" si="131"/>
        <v>0</v>
      </c>
      <c r="W378" s="22">
        <f t="shared" si="131"/>
        <v>0</v>
      </c>
      <c r="X378" s="22">
        <f t="shared" si="131"/>
        <v>0</v>
      </c>
      <c r="Y378" s="22">
        <f t="shared" si="131"/>
        <v>0</v>
      </c>
      <c r="Z378" s="22">
        <f t="shared" si="131"/>
        <v>0</v>
      </c>
      <c r="AA378" s="20">
        <f t="shared" si="129"/>
        <v>0</v>
      </c>
      <c r="AB378" s="23"/>
      <c r="AC378" s="2"/>
    </row>
    <row r="379">
      <c r="A379" s="17" t="s">
        <v>38</v>
      </c>
      <c r="B379" s="24" t="str">
        <f t="shared" ref="B379:Z379" si="132">B378/(COUNT(B374:B377)*1)</f>
        <v>#DIV/0!</v>
      </c>
      <c r="C379" s="24" t="str">
        <f t="shared" si="132"/>
        <v>#DIV/0!</v>
      </c>
      <c r="D379" s="24" t="str">
        <f t="shared" si="132"/>
        <v>#DIV/0!</v>
      </c>
      <c r="E379" s="24" t="str">
        <f t="shared" si="132"/>
        <v>#DIV/0!</v>
      </c>
      <c r="F379" s="24" t="str">
        <f t="shared" si="132"/>
        <v>#DIV/0!</v>
      </c>
      <c r="G379" s="24" t="str">
        <f t="shared" si="132"/>
        <v>#DIV/0!</v>
      </c>
      <c r="H379" s="24" t="str">
        <f t="shared" si="132"/>
        <v>#DIV/0!</v>
      </c>
      <c r="I379" s="24" t="str">
        <f t="shared" si="132"/>
        <v>#DIV/0!</v>
      </c>
      <c r="J379" s="24" t="str">
        <f t="shared" si="132"/>
        <v>#DIV/0!</v>
      </c>
      <c r="K379" s="24" t="str">
        <f t="shared" si="132"/>
        <v>#DIV/0!</v>
      </c>
      <c r="L379" s="24" t="str">
        <f t="shared" si="132"/>
        <v>#DIV/0!</v>
      </c>
      <c r="M379" s="24" t="str">
        <f t="shared" si="132"/>
        <v>#DIV/0!</v>
      </c>
      <c r="N379" s="24" t="str">
        <f t="shared" si="132"/>
        <v>#DIV/0!</v>
      </c>
      <c r="O379" s="24" t="str">
        <f t="shared" si="132"/>
        <v>#DIV/0!</v>
      </c>
      <c r="P379" s="24" t="str">
        <f t="shared" si="132"/>
        <v>#DIV/0!</v>
      </c>
      <c r="Q379" s="24" t="str">
        <f t="shared" si="132"/>
        <v>#DIV/0!</v>
      </c>
      <c r="R379" s="24" t="str">
        <f t="shared" si="132"/>
        <v>#DIV/0!</v>
      </c>
      <c r="S379" s="24" t="str">
        <f t="shared" si="132"/>
        <v>#DIV/0!</v>
      </c>
      <c r="T379" s="24" t="str">
        <f t="shared" si="132"/>
        <v>#DIV/0!</v>
      </c>
      <c r="U379" s="24" t="str">
        <f t="shared" si="132"/>
        <v>#DIV/0!</v>
      </c>
      <c r="V379" s="24" t="str">
        <f t="shared" si="132"/>
        <v>#DIV/0!</v>
      </c>
      <c r="W379" s="24" t="str">
        <f t="shared" si="132"/>
        <v>#DIV/0!</v>
      </c>
      <c r="X379" s="24" t="str">
        <f t="shared" si="132"/>
        <v>#DIV/0!</v>
      </c>
      <c r="Y379" s="24" t="str">
        <f t="shared" si="132"/>
        <v>#DIV/0!</v>
      </c>
      <c r="Z379" s="24" t="str">
        <f t="shared" si="132"/>
        <v>#DIV/0!</v>
      </c>
      <c r="AA379" s="25"/>
      <c r="AB379" s="26" t="str">
        <f>SUM(AB374:AB377)/4</f>
        <v>#DIV/0!</v>
      </c>
      <c r="AC379" s="2"/>
    </row>
    <row r="380">
      <c r="A380" s="27" t="s">
        <v>44</v>
      </c>
      <c r="B380" s="28"/>
      <c r="C380" s="29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30">
        <f t="shared" ref="AA380:AA382" si="133">SUM(B380:Z380)</f>
        <v>0</v>
      </c>
      <c r="AB380" s="31"/>
      <c r="AC380" s="2"/>
    </row>
    <row r="381">
      <c r="A381" s="32" t="s">
        <v>45</v>
      </c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28"/>
      <c r="W381" s="28"/>
      <c r="X381" s="28"/>
      <c r="Y381" s="28"/>
      <c r="Z381" s="28"/>
      <c r="AA381" s="30">
        <f t="shared" si="133"/>
        <v>0</v>
      </c>
      <c r="AB381" s="31"/>
      <c r="AC381" s="9"/>
    </row>
    <row r="382">
      <c r="A382" s="34" t="s">
        <v>46</v>
      </c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28"/>
      <c r="W382" s="28"/>
      <c r="X382" s="28"/>
      <c r="Y382" s="28"/>
      <c r="Z382" s="28"/>
      <c r="AA382" s="30">
        <f t="shared" si="133"/>
        <v>0</v>
      </c>
      <c r="AB382" s="31"/>
      <c r="AC382" s="9"/>
    </row>
    <row r="383">
      <c r="A383" s="35" t="s">
        <v>47</v>
      </c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7"/>
      <c r="AA383" s="38"/>
      <c r="AB383" s="39"/>
      <c r="AC383" s="2"/>
    </row>
    <row r="384">
      <c r="A384" s="40" t="s">
        <v>48</v>
      </c>
      <c r="B384" s="41"/>
      <c r="C384" s="42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3"/>
      <c r="W384" s="43"/>
      <c r="X384" s="43"/>
      <c r="Y384" s="43"/>
      <c r="Z384" s="43"/>
      <c r="AA384" s="44">
        <f t="shared" ref="AA384:AA385" si="134">SUM(B384:Z384)</f>
        <v>0</v>
      </c>
      <c r="AB384" s="31"/>
      <c r="AC384" s="2"/>
    </row>
    <row r="385">
      <c r="A385" s="40" t="s">
        <v>49</v>
      </c>
      <c r="B385" s="41"/>
      <c r="C385" s="42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3"/>
      <c r="W385" s="43"/>
      <c r="X385" s="43"/>
      <c r="Y385" s="43"/>
      <c r="Z385" s="43"/>
      <c r="AA385" s="44">
        <f t="shared" si="134"/>
        <v>0</v>
      </c>
      <c r="AB385" s="31"/>
      <c r="AC385" s="2"/>
    </row>
    <row r="386">
      <c r="A386" s="40" t="s">
        <v>50</v>
      </c>
      <c r="B386" s="42"/>
      <c r="C386" s="42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3"/>
      <c r="W386" s="43"/>
      <c r="X386" s="43"/>
      <c r="Y386" s="43"/>
      <c r="Z386" s="43"/>
      <c r="AA386" s="44" t="str">
        <f>AVERAGE(B386:Z386)</f>
        <v>#DIV/0!</v>
      </c>
      <c r="AB386" s="31"/>
      <c r="AC386" s="2"/>
    </row>
    <row r="387">
      <c r="A387" s="45" t="s">
        <v>51</v>
      </c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7"/>
      <c r="AA387" s="46"/>
      <c r="AB387" s="39"/>
      <c r="AC387" s="2"/>
    </row>
    <row r="388">
      <c r="A388" s="47" t="s">
        <v>48</v>
      </c>
      <c r="B388" s="48"/>
      <c r="C388" s="49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50"/>
      <c r="W388" s="50"/>
      <c r="X388" s="50"/>
      <c r="Y388" s="50"/>
      <c r="Z388" s="50"/>
      <c r="AA388" s="51">
        <f t="shared" ref="AA388:AA389" si="135">SUM(B388:Z388)</f>
        <v>0</v>
      </c>
      <c r="AB388" s="31"/>
      <c r="AC388" s="2"/>
    </row>
    <row r="389">
      <c r="A389" s="47" t="s">
        <v>49</v>
      </c>
      <c r="B389" s="48"/>
      <c r="C389" s="49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50"/>
      <c r="W389" s="50"/>
      <c r="X389" s="50"/>
      <c r="Y389" s="50"/>
      <c r="Z389" s="50"/>
      <c r="AA389" s="51">
        <f t="shared" si="135"/>
        <v>0</v>
      </c>
      <c r="AB389" s="31"/>
      <c r="AC389" s="2"/>
    </row>
    <row r="390">
      <c r="A390" s="47" t="s">
        <v>50</v>
      </c>
      <c r="B390" s="49"/>
      <c r="C390" s="49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50"/>
      <c r="W390" s="50"/>
      <c r="X390" s="50"/>
      <c r="Y390" s="50"/>
      <c r="Z390" s="50"/>
      <c r="AA390" s="51" t="str">
        <f>AVERAGE(B390:Z390)</f>
        <v>#DIV/0!</v>
      </c>
      <c r="AB390" s="31"/>
      <c r="AC390" s="2"/>
    </row>
    <row r="391">
      <c r="A391" s="52" t="s">
        <v>53</v>
      </c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7"/>
      <c r="AA391" s="38"/>
      <c r="AB391" s="39"/>
      <c r="AC391" s="2"/>
    </row>
    <row r="392">
      <c r="A392" s="40" t="s">
        <v>48</v>
      </c>
      <c r="B392" s="41"/>
      <c r="C392" s="42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3"/>
      <c r="W392" s="43"/>
      <c r="X392" s="43"/>
      <c r="Y392" s="43"/>
      <c r="Z392" s="43"/>
      <c r="AA392" s="44">
        <f t="shared" ref="AA392:AA393" si="136">SUM(B392:Z392)</f>
        <v>0</v>
      </c>
      <c r="AB392" s="31"/>
      <c r="AC392" s="2"/>
    </row>
    <row r="393">
      <c r="A393" s="40" t="s">
        <v>49</v>
      </c>
      <c r="B393" s="41"/>
      <c r="C393" s="42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3"/>
      <c r="W393" s="43"/>
      <c r="X393" s="43"/>
      <c r="Y393" s="43"/>
      <c r="Z393" s="43"/>
      <c r="AA393" s="44">
        <f t="shared" si="136"/>
        <v>0</v>
      </c>
      <c r="AB393" s="31"/>
      <c r="AC393" s="2"/>
    </row>
    <row r="394">
      <c r="A394" s="53" t="s">
        <v>50</v>
      </c>
      <c r="B394" s="54"/>
      <c r="C394" s="54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6"/>
      <c r="W394" s="56"/>
      <c r="X394" s="56"/>
      <c r="Y394" s="56"/>
      <c r="Z394" s="56"/>
      <c r="AA394" s="57" t="str">
        <f>AVERAGE(B394:Z394)</f>
        <v>#DIV/0!</v>
      </c>
      <c r="AB394" s="58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59"/>
      <c r="AB395" s="59"/>
      <c r="AC395" s="2"/>
    </row>
    <row r="396">
      <c r="A396" s="71" t="s">
        <v>54</v>
      </c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5" t="s">
        <v>37</v>
      </c>
      <c r="AB396" s="16" t="s">
        <v>38</v>
      </c>
      <c r="AC396" s="2"/>
    </row>
    <row r="397">
      <c r="A397" s="17" t="s">
        <v>39</v>
      </c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20">
        <f t="shared" ref="AA397:AA401" si="137">SUM(B397:Z397)</f>
        <v>0</v>
      </c>
      <c r="AB397" s="21" t="str">
        <f t="shared" ref="AB397:AB400" si="138">AA397/(COUNT(B397:Z397)*1)</f>
        <v>#DIV/0!</v>
      </c>
      <c r="AC397" s="2"/>
    </row>
    <row r="398">
      <c r="A398" s="17" t="s">
        <v>40</v>
      </c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20">
        <f t="shared" si="137"/>
        <v>0</v>
      </c>
      <c r="AB398" s="21" t="str">
        <f t="shared" si="138"/>
        <v>#DIV/0!</v>
      </c>
      <c r="AC398" s="2"/>
    </row>
    <row r="399">
      <c r="A399" s="17" t="s">
        <v>41</v>
      </c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20">
        <f t="shared" si="137"/>
        <v>0</v>
      </c>
      <c r="AB399" s="21" t="str">
        <f t="shared" si="138"/>
        <v>#DIV/0!</v>
      </c>
      <c r="AC399" s="2"/>
    </row>
    <row r="400">
      <c r="A400" s="17" t="s">
        <v>42</v>
      </c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20">
        <f t="shared" si="137"/>
        <v>0</v>
      </c>
      <c r="AB400" s="21" t="str">
        <f t="shared" si="138"/>
        <v>#DIV/0!</v>
      </c>
      <c r="AC400" s="2"/>
    </row>
    <row r="401">
      <c r="A401" s="17" t="s">
        <v>43</v>
      </c>
      <c r="B401" s="22">
        <f t="shared" ref="B401:Z401" si="139">SUM(B397:B400)</f>
        <v>0</v>
      </c>
      <c r="C401" s="22">
        <f t="shared" si="139"/>
        <v>0</v>
      </c>
      <c r="D401" s="22">
        <f t="shared" si="139"/>
        <v>0</v>
      </c>
      <c r="E401" s="22">
        <f t="shared" si="139"/>
        <v>0</v>
      </c>
      <c r="F401" s="22">
        <f t="shared" si="139"/>
        <v>0</v>
      </c>
      <c r="G401" s="22">
        <f t="shared" si="139"/>
        <v>0</v>
      </c>
      <c r="H401" s="22">
        <f t="shared" si="139"/>
        <v>0</v>
      </c>
      <c r="I401" s="22">
        <f t="shared" si="139"/>
        <v>0</v>
      </c>
      <c r="J401" s="22">
        <f t="shared" si="139"/>
        <v>0</v>
      </c>
      <c r="K401" s="22">
        <f t="shared" si="139"/>
        <v>0</v>
      </c>
      <c r="L401" s="22">
        <f t="shared" si="139"/>
        <v>0</v>
      </c>
      <c r="M401" s="22">
        <f t="shared" si="139"/>
        <v>0</v>
      </c>
      <c r="N401" s="22">
        <f t="shared" si="139"/>
        <v>0</v>
      </c>
      <c r="O401" s="22">
        <f t="shared" si="139"/>
        <v>0</v>
      </c>
      <c r="P401" s="22">
        <f t="shared" si="139"/>
        <v>0</v>
      </c>
      <c r="Q401" s="22">
        <f t="shared" si="139"/>
        <v>0</v>
      </c>
      <c r="R401" s="22">
        <f t="shared" si="139"/>
        <v>0</v>
      </c>
      <c r="S401" s="22">
        <f t="shared" si="139"/>
        <v>0</v>
      </c>
      <c r="T401" s="22">
        <f t="shared" si="139"/>
        <v>0</v>
      </c>
      <c r="U401" s="22">
        <f t="shared" si="139"/>
        <v>0</v>
      </c>
      <c r="V401" s="22">
        <f t="shared" si="139"/>
        <v>0</v>
      </c>
      <c r="W401" s="22">
        <f t="shared" si="139"/>
        <v>0</v>
      </c>
      <c r="X401" s="22">
        <f t="shared" si="139"/>
        <v>0</v>
      </c>
      <c r="Y401" s="22">
        <f t="shared" si="139"/>
        <v>0</v>
      </c>
      <c r="Z401" s="22">
        <f t="shared" si="139"/>
        <v>0</v>
      </c>
      <c r="AA401" s="20">
        <f t="shared" si="137"/>
        <v>0</v>
      </c>
      <c r="AB401" s="23"/>
      <c r="AC401" s="2"/>
    </row>
    <row r="402">
      <c r="A402" s="17" t="s">
        <v>38</v>
      </c>
      <c r="B402" s="24" t="str">
        <f t="shared" ref="B402:Z402" si="140">B401/(COUNT(B397:B400)*1)</f>
        <v>#DIV/0!</v>
      </c>
      <c r="C402" s="24" t="str">
        <f t="shared" si="140"/>
        <v>#DIV/0!</v>
      </c>
      <c r="D402" s="24" t="str">
        <f t="shared" si="140"/>
        <v>#DIV/0!</v>
      </c>
      <c r="E402" s="24" t="str">
        <f t="shared" si="140"/>
        <v>#DIV/0!</v>
      </c>
      <c r="F402" s="24" t="str">
        <f t="shared" si="140"/>
        <v>#DIV/0!</v>
      </c>
      <c r="G402" s="24" t="str">
        <f t="shared" si="140"/>
        <v>#DIV/0!</v>
      </c>
      <c r="H402" s="24" t="str">
        <f t="shared" si="140"/>
        <v>#DIV/0!</v>
      </c>
      <c r="I402" s="24" t="str">
        <f t="shared" si="140"/>
        <v>#DIV/0!</v>
      </c>
      <c r="J402" s="24" t="str">
        <f t="shared" si="140"/>
        <v>#DIV/0!</v>
      </c>
      <c r="K402" s="24" t="str">
        <f t="shared" si="140"/>
        <v>#DIV/0!</v>
      </c>
      <c r="L402" s="24" t="str">
        <f t="shared" si="140"/>
        <v>#DIV/0!</v>
      </c>
      <c r="M402" s="24" t="str">
        <f t="shared" si="140"/>
        <v>#DIV/0!</v>
      </c>
      <c r="N402" s="24" t="str">
        <f t="shared" si="140"/>
        <v>#DIV/0!</v>
      </c>
      <c r="O402" s="24" t="str">
        <f t="shared" si="140"/>
        <v>#DIV/0!</v>
      </c>
      <c r="P402" s="24" t="str">
        <f t="shared" si="140"/>
        <v>#DIV/0!</v>
      </c>
      <c r="Q402" s="24" t="str">
        <f t="shared" si="140"/>
        <v>#DIV/0!</v>
      </c>
      <c r="R402" s="24" t="str">
        <f t="shared" si="140"/>
        <v>#DIV/0!</v>
      </c>
      <c r="S402" s="24" t="str">
        <f t="shared" si="140"/>
        <v>#DIV/0!</v>
      </c>
      <c r="T402" s="24" t="str">
        <f t="shared" si="140"/>
        <v>#DIV/0!</v>
      </c>
      <c r="U402" s="24" t="str">
        <f t="shared" si="140"/>
        <v>#DIV/0!</v>
      </c>
      <c r="V402" s="24" t="str">
        <f t="shared" si="140"/>
        <v>#DIV/0!</v>
      </c>
      <c r="W402" s="24" t="str">
        <f t="shared" si="140"/>
        <v>#DIV/0!</v>
      </c>
      <c r="X402" s="24" t="str">
        <f t="shared" si="140"/>
        <v>#DIV/0!</v>
      </c>
      <c r="Y402" s="24" t="str">
        <f t="shared" si="140"/>
        <v>#DIV/0!</v>
      </c>
      <c r="Z402" s="24" t="str">
        <f t="shared" si="140"/>
        <v>#DIV/0!</v>
      </c>
      <c r="AA402" s="25"/>
      <c r="AB402" s="26" t="str">
        <f>SUM(AB397:AB400)/4</f>
        <v>#DIV/0!</v>
      </c>
      <c r="AC402" s="2"/>
    </row>
    <row r="403">
      <c r="A403" s="27" t="s">
        <v>44</v>
      </c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30">
        <f t="shared" ref="AA403:AA405" si="141">SUM(B403:Z403)</f>
        <v>0</v>
      </c>
      <c r="AB403" s="31"/>
      <c r="AC403" s="2"/>
    </row>
    <row r="404">
      <c r="A404" s="32" t="s">
        <v>45</v>
      </c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28"/>
      <c r="W404" s="28"/>
      <c r="X404" s="28"/>
      <c r="Y404" s="28"/>
      <c r="Z404" s="28"/>
      <c r="AA404" s="30">
        <f t="shared" si="141"/>
        <v>0</v>
      </c>
      <c r="AB404" s="31"/>
      <c r="AC404" s="9"/>
    </row>
    <row r="405">
      <c r="A405" s="34" t="s">
        <v>46</v>
      </c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28"/>
      <c r="W405" s="28"/>
      <c r="X405" s="28"/>
      <c r="Y405" s="28"/>
      <c r="Z405" s="28"/>
      <c r="AA405" s="30">
        <f t="shared" si="141"/>
        <v>0</v>
      </c>
      <c r="AB405" s="31"/>
      <c r="AC405" s="9"/>
    </row>
    <row r="406">
      <c r="A406" s="35" t="s">
        <v>47</v>
      </c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8"/>
      <c r="AB406" s="39"/>
      <c r="AC406" s="2"/>
    </row>
    <row r="407">
      <c r="A407" s="40" t="s">
        <v>48</v>
      </c>
      <c r="B407" s="41"/>
      <c r="C407" s="42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3"/>
      <c r="W407" s="43"/>
      <c r="X407" s="43"/>
      <c r="Y407" s="43"/>
      <c r="Z407" s="43"/>
      <c r="AA407" s="44">
        <f t="shared" ref="AA407:AA408" si="142">SUM(B407:Z407)</f>
        <v>0</v>
      </c>
      <c r="AB407" s="31"/>
      <c r="AC407" s="2"/>
    </row>
    <row r="408">
      <c r="A408" s="40" t="s">
        <v>49</v>
      </c>
      <c r="B408" s="41"/>
      <c r="C408" s="42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3"/>
      <c r="W408" s="43"/>
      <c r="X408" s="43"/>
      <c r="Y408" s="43"/>
      <c r="Z408" s="43"/>
      <c r="AA408" s="44">
        <f t="shared" si="142"/>
        <v>0</v>
      </c>
      <c r="AB408" s="31"/>
      <c r="AC408" s="2"/>
    </row>
    <row r="409">
      <c r="A409" s="40" t="s">
        <v>50</v>
      </c>
      <c r="B409" s="42"/>
      <c r="C409" s="42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3"/>
      <c r="W409" s="43"/>
      <c r="X409" s="43"/>
      <c r="Y409" s="43"/>
      <c r="Z409" s="43"/>
      <c r="AA409" s="44" t="str">
        <f>AVERAGE(B409:Z409)</f>
        <v>#DIV/0!</v>
      </c>
      <c r="AB409" s="31"/>
      <c r="AC409" s="2"/>
    </row>
    <row r="410">
      <c r="A410" s="45" t="s">
        <v>51</v>
      </c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7"/>
      <c r="AA410" s="46"/>
      <c r="AB410" s="39"/>
      <c r="AC410" s="2"/>
    </row>
    <row r="411">
      <c r="A411" s="47" t="s">
        <v>48</v>
      </c>
      <c r="B411" s="48"/>
      <c r="C411" s="49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50"/>
      <c r="W411" s="50"/>
      <c r="X411" s="50"/>
      <c r="Y411" s="50"/>
      <c r="Z411" s="50"/>
      <c r="AA411" s="51">
        <f t="shared" ref="AA411:AA412" si="143">SUM(B411:Z411)</f>
        <v>0</v>
      </c>
      <c r="AB411" s="31"/>
      <c r="AC411" s="2"/>
    </row>
    <row r="412">
      <c r="A412" s="47" t="s">
        <v>49</v>
      </c>
      <c r="B412" s="48"/>
      <c r="C412" s="49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50"/>
      <c r="W412" s="50"/>
      <c r="X412" s="50"/>
      <c r="Y412" s="50"/>
      <c r="Z412" s="50"/>
      <c r="AA412" s="51">
        <f t="shared" si="143"/>
        <v>0</v>
      </c>
      <c r="AB412" s="31"/>
      <c r="AC412" s="2"/>
    </row>
    <row r="413">
      <c r="A413" s="47" t="s">
        <v>50</v>
      </c>
      <c r="B413" s="49"/>
      <c r="C413" s="49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50"/>
      <c r="W413" s="50"/>
      <c r="X413" s="50"/>
      <c r="Y413" s="50"/>
      <c r="Z413" s="50"/>
      <c r="AA413" s="51" t="str">
        <f>AVERAGE(B413:Z413)</f>
        <v>#DIV/0!</v>
      </c>
      <c r="AB413" s="31"/>
      <c r="AC413" s="2"/>
    </row>
    <row r="414">
      <c r="A414" s="52" t="s">
        <v>53</v>
      </c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7"/>
      <c r="AA414" s="38"/>
      <c r="AB414" s="39"/>
      <c r="AC414" s="2"/>
    </row>
    <row r="415">
      <c r="A415" s="40" t="s">
        <v>48</v>
      </c>
      <c r="B415" s="41"/>
      <c r="C415" s="42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3"/>
      <c r="W415" s="43"/>
      <c r="X415" s="43"/>
      <c r="Y415" s="43"/>
      <c r="Z415" s="43"/>
      <c r="AA415" s="44">
        <f t="shared" ref="AA415:AA416" si="144">SUM(B415:Z415)</f>
        <v>0</v>
      </c>
      <c r="AB415" s="31"/>
      <c r="AC415" s="2"/>
    </row>
    <row r="416">
      <c r="A416" s="40" t="s">
        <v>49</v>
      </c>
      <c r="B416" s="41"/>
      <c r="C416" s="42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3"/>
      <c r="W416" s="43"/>
      <c r="X416" s="43"/>
      <c r="Y416" s="43"/>
      <c r="Z416" s="43"/>
      <c r="AA416" s="44">
        <f t="shared" si="144"/>
        <v>0</v>
      </c>
      <c r="AB416" s="31"/>
      <c r="AC416" s="2"/>
    </row>
    <row r="417">
      <c r="A417" s="53" t="s">
        <v>50</v>
      </c>
      <c r="B417" s="54"/>
      <c r="C417" s="54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6"/>
      <c r="W417" s="56"/>
      <c r="X417" s="56"/>
      <c r="Y417" s="56"/>
      <c r="Z417" s="56"/>
      <c r="AA417" s="57" t="str">
        <f>AVERAGE(B417:Z417)</f>
        <v>#DIV/0!</v>
      </c>
      <c r="AB417" s="58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59"/>
      <c r="AB418" s="59"/>
      <c r="AC418" s="2"/>
    </row>
    <row r="419">
      <c r="A419" s="71" t="s">
        <v>54</v>
      </c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5" t="s">
        <v>37</v>
      </c>
      <c r="AB419" s="16" t="s">
        <v>38</v>
      </c>
      <c r="AC419" s="2"/>
    </row>
    <row r="420">
      <c r="A420" s="17" t="s">
        <v>39</v>
      </c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20">
        <f t="shared" ref="AA420:AA424" si="145">SUM(B420:Z420)</f>
        <v>0</v>
      </c>
      <c r="AB420" s="21" t="str">
        <f t="shared" ref="AB420:AB423" si="146">AA420/(COUNT(B420:Z420)*1)</f>
        <v>#DIV/0!</v>
      </c>
      <c r="AC420" s="2"/>
    </row>
    <row r="421">
      <c r="A421" s="17" t="s">
        <v>40</v>
      </c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20">
        <f t="shared" si="145"/>
        <v>0</v>
      </c>
      <c r="AB421" s="21" t="str">
        <f t="shared" si="146"/>
        <v>#DIV/0!</v>
      </c>
      <c r="AC421" s="2"/>
    </row>
    <row r="422">
      <c r="A422" s="17" t="s">
        <v>41</v>
      </c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20">
        <f t="shared" si="145"/>
        <v>0</v>
      </c>
      <c r="AB422" s="21" t="str">
        <f t="shared" si="146"/>
        <v>#DIV/0!</v>
      </c>
      <c r="AC422" s="2"/>
    </row>
    <row r="423">
      <c r="A423" s="17" t="s">
        <v>42</v>
      </c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20">
        <f t="shared" si="145"/>
        <v>0</v>
      </c>
      <c r="AB423" s="21" t="str">
        <f t="shared" si="146"/>
        <v>#DIV/0!</v>
      </c>
      <c r="AC423" s="2"/>
    </row>
    <row r="424">
      <c r="A424" s="17" t="s">
        <v>43</v>
      </c>
      <c r="B424" s="22">
        <f t="shared" ref="B424:Z424" si="147">SUM(B420:B423)</f>
        <v>0</v>
      </c>
      <c r="C424" s="22">
        <f t="shared" si="147"/>
        <v>0</v>
      </c>
      <c r="D424" s="22">
        <f t="shared" si="147"/>
        <v>0</v>
      </c>
      <c r="E424" s="22">
        <f t="shared" si="147"/>
        <v>0</v>
      </c>
      <c r="F424" s="22">
        <f t="shared" si="147"/>
        <v>0</v>
      </c>
      <c r="G424" s="22">
        <f t="shared" si="147"/>
        <v>0</v>
      </c>
      <c r="H424" s="22">
        <f t="shared" si="147"/>
        <v>0</v>
      </c>
      <c r="I424" s="22">
        <f t="shared" si="147"/>
        <v>0</v>
      </c>
      <c r="J424" s="22">
        <f t="shared" si="147"/>
        <v>0</v>
      </c>
      <c r="K424" s="22">
        <f t="shared" si="147"/>
        <v>0</v>
      </c>
      <c r="L424" s="22">
        <f t="shared" si="147"/>
        <v>0</v>
      </c>
      <c r="M424" s="22">
        <f t="shared" si="147"/>
        <v>0</v>
      </c>
      <c r="N424" s="22">
        <f t="shared" si="147"/>
        <v>0</v>
      </c>
      <c r="O424" s="22">
        <f t="shared" si="147"/>
        <v>0</v>
      </c>
      <c r="P424" s="22">
        <f t="shared" si="147"/>
        <v>0</v>
      </c>
      <c r="Q424" s="22">
        <f t="shared" si="147"/>
        <v>0</v>
      </c>
      <c r="R424" s="22">
        <f t="shared" si="147"/>
        <v>0</v>
      </c>
      <c r="S424" s="22">
        <f t="shared" si="147"/>
        <v>0</v>
      </c>
      <c r="T424" s="22">
        <f t="shared" si="147"/>
        <v>0</v>
      </c>
      <c r="U424" s="22">
        <f t="shared" si="147"/>
        <v>0</v>
      </c>
      <c r="V424" s="22">
        <f t="shared" si="147"/>
        <v>0</v>
      </c>
      <c r="W424" s="22">
        <f t="shared" si="147"/>
        <v>0</v>
      </c>
      <c r="X424" s="22">
        <f t="shared" si="147"/>
        <v>0</v>
      </c>
      <c r="Y424" s="22">
        <f t="shared" si="147"/>
        <v>0</v>
      </c>
      <c r="Z424" s="22">
        <f t="shared" si="147"/>
        <v>0</v>
      </c>
      <c r="AA424" s="20">
        <f t="shared" si="145"/>
        <v>0</v>
      </c>
      <c r="AB424" s="23"/>
      <c r="AC424" s="2"/>
    </row>
    <row r="425">
      <c r="A425" s="17" t="s">
        <v>38</v>
      </c>
      <c r="B425" s="24" t="str">
        <f t="shared" ref="B425:Z425" si="148">B424/(COUNT(B420:B423)*1)</f>
        <v>#DIV/0!</v>
      </c>
      <c r="C425" s="24" t="str">
        <f t="shared" si="148"/>
        <v>#DIV/0!</v>
      </c>
      <c r="D425" s="24" t="str">
        <f t="shared" si="148"/>
        <v>#DIV/0!</v>
      </c>
      <c r="E425" s="24" t="str">
        <f t="shared" si="148"/>
        <v>#DIV/0!</v>
      </c>
      <c r="F425" s="24" t="str">
        <f t="shared" si="148"/>
        <v>#DIV/0!</v>
      </c>
      <c r="G425" s="24" t="str">
        <f t="shared" si="148"/>
        <v>#DIV/0!</v>
      </c>
      <c r="H425" s="24" t="str">
        <f t="shared" si="148"/>
        <v>#DIV/0!</v>
      </c>
      <c r="I425" s="24" t="str">
        <f t="shared" si="148"/>
        <v>#DIV/0!</v>
      </c>
      <c r="J425" s="24" t="str">
        <f t="shared" si="148"/>
        <v>#DIV/0!</v>
      </c>
      <c r="K425" s="24" t="str">
        <f t="shared" si="148"/>
        <v>#DIV/0!</v>
      </c>
      <c r="L425" s="24" t="str">
        <f t="shared" si="148"/>
        <v>#DIV/0!</v>
      </c>
      <c r="M425" s="24" t="str">
        <f t="shared" si="148"/>
        <v>#DIV/0!</v>
      </c>
      <c r="N425" s="24" t="str">
        <f t="shared" si="148"/>
        <v>#DIV/0!</v>
      </c>
      <c r="O425" s="24" t="str">
        <f t="shared" si="148"/>
        <v>#DIV/0!</v>
      </c>
      <c r="P425" s="24" t="str">
        <f t="shared" si="148"/>
        <v>#DIV/0!</v>
      </c>
      <c r="Q425" s="24" t="str">
        <f t="shared" si="148"/>
        <v>#DIV/0!</v>
      </c>
      <c r="R425" s="24" t="str">
        <f t="shared" si="148"/>
        <v>#DIV/0!</v>
      </c>
      <c r="S425" s="24" t="str">
        <f t="shared" si="148"/>
        <v>#DIV/0!</v>
      </c>
      <c r="T425" s="24" t="str">
        <f t="shared" si="148"/>
        <v>#DIV/0!</v>
      </c>
      <c r="U425" s="24" t="str">
        <f t="shared" si="148"/>
        <v>#DIV/0!</v>
      </c>
      <c r="V425" s="24" t="str">
        <f t="shared" si="148"/>
        <v>#DIV/0!</v>
      </c>
      <c r="W425" s="24" t="str">
        <f t="shared" si="148"/>
        <v>#DIV/0!</v>
      </c>
      <c r="X425" s="24" t="str">
        <f t="shared" si="148"/>
        <v>#DIV/0!</v>
      </c>
      <c r="Y425" s="24" t="str">
        <f t="shared" si="148"/>
        <v>#DIV/0!</v>
      </c>
      <c r="Z425" s="24" t="str">
        <f t="shared" si="148"/>
        <v>#DIV/0!</v>
      </c>
      <c r="AA425" s="25"/>
      <c r="AB425" s="26" t="str">
        <f>SUM(AB420:AB423)/4</f>
        <v>#DIV/0!</v>
      </c>
      <c r="AC425" s="2"/>
    </row>
    <row r="426">
      <c r="A426" s="27" t="s">
        <v>44</v>
      </c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30">
        <f t="shared" ref="AA426:AA428" si="149">SUM(B426:Z426)</f>
        <v>0</v>
      </c>
      <c r="AB426" s="31"/>
      <c r="AC426" s="2"/>
    </row>
    <row r="427">
      <c r="A427" s="32" t="s">
        <v>45</v>
      </c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28"/>
      <c r="W427" s="28"/>
      <c r="X427" s="28"/>
      <c r="Y427" s="28"/>
      <c r="Z427" s="28"/>
      <c r="AA427" s="30">
        <f t="shared" si="149"/>
        <v>0</v>
      </c>
      <c r="AB427" s="31"/>
      <c r="AC427" s="9"/>
    </row>
    <row r="428">
      <c r="A428" s="34" t="s">
        <v>46</v>
      </c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28"/>
      <c r="W428" s="28"/>
      <c r="X428" s="28"/>
      <c r="Y428" s="28"/>
      <c r="Z428" s="28"/>
      <c r="AA428" s="30">
        <f t="shared" si="149"/>
        <v>0</v>
      </c>
      <c r="AB428" s="31"/>
      <c r="AC428" s="9"/>
    </row>
    <row r="429">
      <c r="A429" s="35" t="s">
        <v>47</v>
      </c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7"/>
      <c r="AA429" s="38"/>
      <c r="AB429" s="39"/>
      <c r="AC429" s="2"/>
    </row>
    <row r="430">
      <c r="A430" s="40" t="s">
        <v>48</v>
      </c>
      <c r="B430" s="41"/>
      <c r="C430" s="42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3"/>
      <c r="W430" s="43"/>
      <c r="X430" s="43"/>
      <c r="Y430" s="43"/>
      <c r="Z430" s="43"/>
      <c r="AA430" s="44">
        <f t="shared" ref="AA430:AA431" si="150">SUM(B430:Z430)</f>
        <v>0</v>
      </c>
      <c r="AB430" s="31"/>
      <c r="AC430" s="2"/>
    </row>
    <row r="431">
      <c r="A431" s="40" t="s">
        <v>49</v>
      </c>
      <c r="B431" s="41"/>
      <c r="C431" s="42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3"/>
      <c r="W431" s="43"/>
      <c r="X431" s="43"/>
      <c r="Y431" s="43"/>
      <c r="Z431" s="43"/>
      <c r="AA431" s="44">
        <f t="shared" si="150"/>
        <v>0</v>
      </c>
      <c r="AB431" s="31"/>
      <c r="AC431" s="2"/>
    </row>
    <row r="432">
      <c r="A432" s="40" t="s">
        <v>50</v>
      </c>
      <c r="B432" s="42"/>
      <c r="C432" s="42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3"/>
      <c r="W432" s="43"/>
      <c r="X432" s="43"/>
      <c r="Y432" s="43"/>
      <c r="Z432" s="43"/>
      <c r="AA432" s="44" t="str">
        <f>AVERAGE(B432:Z432)</f>
        <v>#DIV/0!</v>
      </c>
      <c r="AB432" s="31"/>
      <c r="AC432" s="2"/>
    </row>
    <row r="433">
      <c r="A433" s="45" t="s">
        <v>51</v>
      </c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7"/>
      <c r="AA433" s="46"/>
      <c r="AB433" s="39"/>
      <c r="AC433" s="2"/>
    </row>
    <row r="434">
      <c r="A434" s="47" t="s">
        <v>48</v>
      </c>
      <c r="B434" s="48"/>
      <c r="C434" s="49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50"/>
      <c r="W434" s="50"/>
      <c r="X434" s="50"/>
      <c r="Y434" s="50"/>
      <c r="Z434" s="50"/>
      <c r="AA434" s="51">
        <f t="shared" ref="AA434:AA435" si="151">SUM(B434:Z434)</f>
        <v>0</v>
      </c>
      <c r="AB434" s="31"/>
      <c r="AC434" s="2"/>
    </row>
    <row r="435">
      <c r="A435" s="47" t="s">
        <v>49</v>
      </c>
      <c r="B435" s="48"/>
      <c r="C435" s="49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50"/>
      <c r="W435" s="50"/>
      <c r="X435" s="50"/>
      <c r="Y435" s="50"/>
      <c r="Z435" s="50"/>
      <c r="AA435" s="51">
        <f t="shared" si="151"/>
        <v>0</v>
      </c>
      <c r="AB435" s="31"/>
      <c r="AC435" s="2"/>
    </row>
    <row r="436">
      <c r="A436" s="47" t="s">
        <v>50</v>
      </c>
      <c r="B436" s="49"/>
      <c r="C436" s="49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50"/>
      <c r="W436" s="50"/>
      <c r="X436" s="50"/>
      <c r="Y436" s="50"/>
      <c r="Z436" s="50"/>
      <c r="AA436" s="51" t="str">
        <f>AVERAGE(B436:Z436)</f>
        <v>#DIV/0!</v>
      </c>
      <c r="AB436" s="31"/>
      <c r="AC436" s="2"/>
    </row>
    <row r="437">
      <c r="A437" s="52" t="s">
        <v>53</v>
      </c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7"/>
      <c r="AA437" s="38"/>
      <c r="AB437" s="39"/>
      <c r="AC437" s="2"/>
    </row>
    <row r="438">
      <c r="A438" s="40" t="s">
        <v>48</v>
      </c>
      <c r="B438" s="41"/>
      <c r="C438" s="42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3"/>
      <c r="W438" s="43"/>
      <c r="X438" s="43"/>
      <c r="Y438" s="43"/>
      <c r="Z438" s="43"/>
      <c r="AA438" s="44">
        <f t="shared" ref="AA438:AA439" si="152">SUM(B438:Z438)</f>
        <v>0</v>
      </c>
      <c r="AB438" s="31"/>
      <c r="AC438" s="2"/>
    </row>
    <row r="439">
      <c r="A439" s="40" t="s">
        <v>49</v>
      </c>
      <c r="B439" s="41"/>
      <c r="C439" s="42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3"/>
      <c r="W439" s="43"/>
      <c r="X439" s="43"/>
      <c r="Y439" s="43"/>
      <c r="Z439" s="43"/>
      <c r="AA439" s="44">
        <f t="shared" si="152"/>
        <v>0</v>
      </c>
      <c r="AB439" s="31"/>
      <c r="AC439" s="2"/>
    </row>
    <row r="440">
      <c r="A440" s="53" t="s">
        <v>50</v>
      </c>
      <c r="B440" s="54"/>
      <c r="C440" s="54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6"/>
      <c r="W440" s="56"/>
      <c r="X440" s="56"/>
      <c r="Y440" s="56"/>
      <c r="Z440" s="56"/>
      <c r="AA440" s="57" t="str">
        <f>AVERAGE(B440:Z440)</f>
        <v>#DIV/0!</v>
      </c>
      <c r="AB440" s="58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59"/>
      <c r="AB441" s="59"/>
      <c r="AC441" s="2"/>
    </row>
    <row r="442">
      <c r="A442" s="71" t="s">
        <v>54</v>
      </c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5" t="s">
        <v>37</v>
      </c>
      <c r="AB442" s="16" t="s">
        <v>38</v>
      </c>
      <c r="AC442" s="2"/>
    </row>
    <row r="443">
      <c r="A443" s="17" t="s">
        <v>39</v>
      </c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20">
        <f t="shared" ref="AA443:AA447" si="153">SUM(B443:Z443)</f>
        <v>0</v>
      </c>
      <c r="AB443" s="21" t="str">
        <f t="shared" ref="AB443:AB446" si="154">AA443/(COUNT(B443:Z443)*1)</f>
        <v>#DIV/0!</v>
      </c>
      <c r="AC443" s="2"/>
    </row>
    <row r="444">
      <c r="A444" s="17" t="s">
        <v>40</v>
      </c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20">
        <f t="shared" si="153"/>
        <v>0</v>
      </c>
      <c r="AB444" s="21" t="str">
        <f t="shared" si="154"/>
        <v>#DIV/0!</v>
      </c>
      <c r="AC444" s="2"/>
    </row>
    <row r="445">
      <c r="A445" s="17" t="s">
        <v>41</v>
      </c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20">
        <f t="shared" si="153"/>
        <v>0</v>
      </c>
      <c r="AB445" s="21" t="str">
        <f t="shared" si="154"/>
        <v>#DIV/0!</v>
      </c>
      <c r="AC445" s="2"/>
    </row>
    <row r="446">
      <c r="A446" s="17" t="s">
        <v>42</v>
      </c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20">
        <f t="shared" si="153"/>
        <v>0</v>
      </c>
      <c r="AB446" s="21" t="str">
        <f t="shared" si="154"/>
        <v>#DIV/0!</v>
      </c>
      <c r="AC446" s="2"/>
    </row>
    <row r="447">
      <c r="A447" s="17" t="s">
        <v>43</v>
      </c>
      <c r="B447" s="22">
        <f t="shared" ref="B447:Z447" si="155">SUM(B443:B446)</f>
        <v>0</v>
      </c>
      <c r="C447" s="22">
        <f t="shared" si="155"/>
        <v>0</v>
      </c>
      <c r="D447" s="22">
        <f t="shared" si="155"/>
        <v>0</v>
      </c>
      <c r="E447" s="22">
        <f t="shared" si="155"/>
        <v>0</v>
      </c>
      <c r="F447" s="22">
        <f t="shared" si="155"/>
        <v>0</v>
      </c>
      <c r="G447" s="22">
        <f t="shared" si="155"/>
        <v>0</v>
      </c>
      <c r="H447" s="22">
        <f t="shared" si="155"/>
        <v>0</v>
      </c>
      <c r="I447" s="22">
        <f t="shared" si="155"/>
        <v>0</v>
      </c>
      <c r="J447" s="22">
        <f t="shared" si="155"/>
        <v>0</v>
      </c>
      <c r="K447" s="22">
        <f t="shared" si="155"/>
        <v>0</v>
      </c>
      <c r="L447" s="22">
        <f t="shared" si="155"/>
        <v>0</v>
      </c>
      <c r="M447" s="22">
        <f t="shared" si="155"/>
        <v>0</v>
      </c>
      <c r="N447" s="22">
        <f t="shared" si="155"/>
        <v>0</v>
      </c>
      <c r="O447" s="22">
        <f t="shared" si="155"/>
        <v>0</v>
      </c>
      <c r="P447" s="22">
        <f t="shared" si="155"/>
        <v>0</v>
      </c>
      <c r="Q447" s="22">
        <f t="shared" si="155"/>
        <v>0</v>
      </c>
      <c r="R447" s="22">
        <f t="shared" si="155"/>
        <v>0</v>
      </c>
      <c r="S447" s="22">
        <f t="shared" si="155"/>
        <v>0</v>
      </c>
      <c r="T447" s="22">
        <f t="shared" si="155"/>
        <v>0</v>
      </c>
      <c r="U447" s="22">
        <f t="shared" si="155"/>
        <v>0</v>
      </c>
      <c r="V447" s="22">
        <f t="shared" si="155"/>
        <v>0</v>
      </c>
      <c r="W447" s="22">
        <f t="shared" si="155"/>
        <v>0</v>
      </c>
      <c r="X447" s="22">
        <f t="shared" si="155"/>
        <v>0</v>
      </c>
      <c r="Y447" s="22">
        <f t="shared" si="155"/>
        <v>0</v>
      </c>
      <c r="Z447" s="22">
        <f t="shared" si="155"/>
        <v>0</v>
      </c>
      <c r="AA447" s="20">
        <f t="shared" si="153"/>
        <v>0</v>
      </c>
      <c r="AB447" s="23"/>
      <c r="AC447" s="2"/>
    </row>
    <row r="448">
      <c r="A448" s="17" t="s">
        <v>38</v>
      </c>
      <c r="B448" s="24" t="str">
        <f t="shared" ref="B448:Z448" si="156">B447/(COUNT(B443:B446)*1)</f>
        <v>#DIV/0!</v>
      </c>
      <c r="C448" s="24" t="str">
        <f t="shared" si="156"/>
        <v>#DIV/0!</v>
      </c>
      <c r="D448" s="24" t="str">
        <f t="shared" si="156"/>
        <v>#DIV/0!</v>
      </c>
      <c r="E448" s="24" t="str">
        <f t="shared" si="156"/>
        <v>#DIV/0!</v>
      </c>
      <c r="F448" s="24" t="str">
        <f t="shared" si="156"/>
        <v>#DIV/0!</v>
      </c>
      <c r="G448" s="24" t="str">
        <f t="shared" si="156"/>
        <v>#DIV/0!</v>
      </c>
      <c r="H448" s="24" t="str">
        <f t="shared" si="156"/>
        <v>#DIV/0!</v>
      </c>
      <c r="I448" s="24" t="str">
        <f t="shared" si="156"/>
        <v>#DIV/0!</v>
      </c>
      <c r="J448" s="24" t="str">
        <f t="shared" si="156"/>
        <v>#DIV/0!</v>
      </c>
      <c r="K448" s="24" t="str">
        <f t="shared" si="156"/>
        <v>#DIV/0!</v>
      </c>
      <c r="L448" s="24" t="str">
        <f t="shared" si="156"/>
        <v>#DIV/0!</v>
      </c>
      <c r="M448" s="24" t="str">
        <f t="shared" si="156"/>
        <v>#DIV/0!</v>
      </c>
      <c r="N448" s="24" t="str">
        <f t="shared" si="156"/>
        <v>#DIV/0!</v>
      </c>
      <c r="O448" s="24" t="str">
        <f t="shared" si="156"/>
        <v>#DIV/0!</v>
      </c>
      <c r="P448" s="24" t="str">
        <f t="shared" si="156"/>
        <v>#DIV/0!</v>
      </c>
      <c r="Q448" s="24" t="str">
        <f t="shared" si="156"/>
        <v>#DIV/0!</v>
      </c>
      <c r="R448" s="24" t="str">
        <f t="shared" si="156"/>
        <v>#DIV/0!</v>
      </c>
      <c r="S448" s="24" t="str">
        <f t="shared" si="156"/>
        <v>#DIV/0!</v>
      </c>
      <c r="T448" s="24" t="str">
        <f t="shared" si="156"/>
        <v>#DIV/0!</v>
      </c>
      <c r="U448" s="24" t="str">
        <f t="shared" si="156"/>
        <v>#DIV/0!</v>
      </c>
      <c r="V448" s="24" t="str">
        <f t="shared" si="156"/>
        <v>#DIV/0!</v>
      </c>
      <c r="W448" s="24" t="str">
        <f t="shared" si="156"/>
        <v>#DIV/0!</v>
      </c>
      <c r="X448" s="24" t="str">
        <f t="shared" si="156"/>
        <v>#DIV/0!</v>
      </c>
      <c r="Y448" s="24" t="str">
        <f t="shared" si="156"/>
        <v>#DIV/0!</v>
      </c>
      <c r="Z448" s="24" t="str">
        <f t="shared" si="156"/>
        <v>#DIV/0!</v>
      </c>
      <c r="AA448" s="25"/>
      <c r="AB448" s="26" t="str">
        <f>SUM(AB443:AB446)/4</f>
        <v>#DIV/0!</v>
      </c>
      <c r="AC448" s="2"/>
    </row>
    <row r="449">
      <c r="A449" s="27" t="s">
        <v>44</v>
      </c>
      <c r="B449" s="28"/>
      <c r="C449" s="29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30">
        <f t="shared" ref="AA449:AA451" si="157">SUM(B449:Z449)</f>
        <v>0</v>
      </c>
      <c r="AB449" s="31"/>
      <c r="AC449" s="2"/>
    </row>
    <row r="450">
      <c r="A450" s="32" t="s">
        <v>45</v>
      </c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28"/>
      <c r="W450" s="28"/>
      <c r="X450" s="28"/>
      <c r="Y450" s="28"/>
      <c r="Z450" s="28"/>
      <c r="AA450" s="30">
        <f t="shared" si="157"/>
        <v>0</v>
      </c>
      <c r="AB450" s="31"/>
      <c r="AC450" s="9"/>
    </row>
    <row r="451">
      <c r="A451" s="34" t="s">
        <v>46</v>
      </c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28"/>
      <c r="W451" s="28"/>
      <c r="X451" s="28"/>
      <c r="Y451" s="28"/>
      <c r="Z451" s="28"/>
      <c r="AA451" s="30">
        <f t="shared" si="157"/>
        <v>0</v>
      </c>
      <c r="AB451" s="31"/>
      <c r="AC451" s="9"/>
    </row>
    <row r="452">
      <c r="A452" s="35" t="s">
        <v>47</v>
      </c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7"/>
      <c r="AA452" s="38"/>
      <c r="AB452" s="39"/>
      <c r="AC452" s="2"/>
    </row>
    <row r="453">
      <c r="A453" s="40" t="s">
        <v>48</v>
      </c>
      <c r="B453" s="41"/>
      <c r="C453" s="42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3"/>
      <c r="W453" s="43"/>
      <c r="X453" s="43"/>
      <c r="Y453" s="43"/>
      <c r="Z453" s="43"/>
      <c r="AA453" s="44">
        <f t="shared" ref="AA453:AA454" si="158">SUM(B453:Z453)</f>
        <v>0</v>
      </c>
      <c r="AB453" s="31"/>
      <c r="AC453" s="2"/>
    </row>
    <row r="454">
      <c r="A454" s="40" t="s">
        <v>49</v>
      </c>
      <c r="B454" s="41"/>
      <c r="C454" s="42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3"/>
      <c r="W454" s="43"/>
      <c r="X454" s="43"/>
      <c r="Y454" s="43"/>
      <c r="Z454" s="43"/>
      <c r="AA454" s="44">
        <f t="shared" si="158"/>
        <v>0</v>
      </c>
      <c r="AB454" s="31"/>
      <c r="AC454" s="2"/>
    </row>
    <row r="455">
      <c r="A455" s="40" t="s">
        <v>50</v>
      </c>
      <c r="B455" s="42"/>
      <c r="C455" s="42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3"/>
      <c r="W455" s="43"/>
      <c r="X455" s="43"/>
      <c r="Y455" s="43"/>
      <c r="Z455" s="43"/>
      <c r="AA455" s="44" t="str">
        <f>AVERAGE(B455:Z455)</f>
        <v>#DIV/0!</v>
      </c>
      <c r="AB455" s="31"/>
      <c r="AC455" s="2"/>
    </row>
    <row r="456">
      <c r="A456" s="45" t="s">
        <v>51</v>
      </c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7"/>
      <c r="AA456" s="46"/>
      <c r="AB456" s="39"/>
      <c r="AC456" s="2"/>
    </row>
    <row r="457">
      <c r="A457" s="47" t="s">
        <v>48</v>
      </c>
      <c r="B457" s="48"/>
      <c r="C457" s="49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50"/>
      <c r="W457" s="50"/>
      <c r="X457" s="50"/>
      <c r="Y457" s="50"/>
      <c r="Z457" s="50"/>
      <c r="AA457" s="51">
        <f t="shared" ref="AA457:AA458" si="159">SUM(B457:Z457)</f>
        <v>0</v>
      </c>
      <c r="AB457" s="31"/>
      <c r="AC457" s="2"/>
    </row>
    <row r="458">
      <c r="A458" s="47" t="s">
        <v>49</v>
      </c>
      <c r="B458" s="48"/>
      <c r="C458" s="49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50"/>
      <c r="W458" s="50"/>
      <c r="X458" s="50"/>
      <c r="Y458" s="50"/>
      <c r="Z458" s="50"/>
      <c r="AA458" s="51">
        <f t="shared" si="159"/>
        <v>0</v>
      </c>
      <c r="AB458" s="31"/>
      <c r="AC458" s="2"/>
    </row>
    <row r="459">
      <c r="A459" s="47" t="s">
        <v>50</v>
      </c>
      <c r="B459" s="49"/>
      <c r="C459" s="49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50"/>
      <c r="W459" s="50"/>
      <c r="X459" s="50"/>
      <c r="Y459" s="50"/>
      <c r="Z459" s="50"/>
      <c r="AA459" s="51" t="str">
        <f>AVERAGE(B459:Z459)</f>
        <v>#DIV/0!</v>
      </c>
      <c r="AB459" s="31"/>
      <c r="AC459" s="2"/>
    </row>
    <row r="460">
      <c r="A460" s="52" t="s">
        <v>53</v>
      </c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7"/>
      <c r="AA460" s="38"/>
      <c r="AB460" s="39"/>
      <c r="AC460" s="2"/>
    </row>
    <row r="461">
      <c r="A461" s="40" t="s">
        <v>48</v>
      </c>
      <c r="B461" s="41"/>
      <c r="C461" s="42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3"/>
      <c r="W461" s="43"/>
      <c r="X461" s="43"/>
      <c r="Y461" s="43"/>
      <c r="Z461" s="43"/>
      <c r="AA461" s="44">
        <f t="shared" ref="AA461:AA462" si="160">SUM(B461:Z461)</f>
        <v>0</v>
      </c>
      <c r="AB461" s="31"/>
      <c r="AC461" s="2"/>
    </row>
    <row r="462">
      <c r="A462" s="40" t="s">
        <v>49</v>
      </c>
      <c r="B462" s="41"/>
      <c r="C462" s="42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3"/>
      <c r="W462" s="43"/>
      <c r="X462" s="43"/>
      <c r="Y462" s="43"/>
      <c r="Z462" s="43"/>
      <c r="AA462" s="44">
        <f t="shared" si="160"/>
        <v>0</v>
      </c>
      <c r="AB462" s="31"/>
      <c r="AC462" s="2"/>
    </row>
    <row r="463">
      <c r="A463" s="53" t="s">
        <v>50</v>
      </c>
      <c r="B463" s="54"/>
      <c r="C463" s="54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6"/>
      <c r="W463" s="56"/>
      <c r="X463" s="56"/>
      <c r="Y463" s="56"/>
      <c r="Z463" s="56"/>
      <c r="AA463" s="57" t="str">
        <f>AVERAGE(B463:Z463)</f>
        <v>#DIV/0!</v>
      </c>
      <c r="AB463" s="58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59"/>
      <c r="AB464" s="59"/>
      <c r="AC464" s="2"/>
    </row>
    <row r="465">
      <c r="A465" s="71" t="s">
        <v>54</v>
      </c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 t="s">
        <v>37</v>
      </c>
      <c r="AB465" s="16" t="s">
        <v>38</v>
      </c>
      <c r="AC465" s="2"/>
    </row>
    <row r="466">
      <c r="A466" s="17" t="s">
        <v>39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20">
        <f t="shared" ref="AA466:AA470" si="161">SUM(B466:Z466)</f>
        <v>0</v>
      </c>
      <c r="AB466" s="21" t="str">
        <f t="shared" ref="AB466:AB469" si="162">AA466/(COUNT(B466:Z466)*1)</f>
        <v>#DIV/0!</v>
      </c>
      <c r="AC466" s="2"/>
    </row>
    <row r="467">
      <c r="A467" s="17" t="s">
        <v>40</v>
      </c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20">
        <f t="shared" si="161"/>
        <v>0</v>
      </c>
      <c r="AB467" s="21" t="str">
        <f t="shared" si="162"/>
        <v>#DIV/0!</v>
      </c>
      <c r="AC467" s="2"/>
    </row>
    <row r="468">
      <c r="A468" s="17" t="s">
        <v>41</v>
      </c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20">
        <f t="shared" si="161"/>
        <v>0</v>
      </c>
      <c r="AB468" s="21" t="str">
        <f t="shared" si="162"/>
        <v>#DIV/0!</v>
      </c>
      <c r="AC468" s="2"/>
    </row>
    <row r="469">
      <c r="A469" s="17" t="s">
        <v>42</v>
      </c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20">
        <f t="shared" si="161"/>
        <v>0</v>
      </c>
      <c r="AB469" s="21" t="str">
        <f t="shared" si="162"/>
        <v>#DIV/0!</v>
      </c>
      <c r="AC469" s="2"/>
    </row>
    <row r="470">
      <c r="A470" s="17" t="s">
        <v>43</v>
      </c>
      <c r="B470" s="22">
        <f t="shared" ref="B470:Z470" si="163">SUM(B466:B469)</f>
        <v>0</v>
      </c>
      <c r="C470" s="22">
        <f t="shared" si="163"/>
        <v>0</v>
      </c>
      <c r="D470" s="22">
        <f t="shared" si="163"/>
        <v>0</v>
      </c>
      <c r="E470" s="22">
        <f t="shared" si="163"/>
        <v>0</v>
      </c>
      <c r="F470" s="22">
        <f t="shared" si="163"/>
        <v>0</v>
      </c>
      <c r="G470" s="22">
        <f t="shared" si="163"/>
        <v>0</v>
      </c>
      <c r="H470" s="22">
        <f t="shared" si="163"/>
        <v>0</v>
      </c>
      <c r="I470" s="22">
        <f t="shared" si="163"/>
        <v>0</v>
      </c>
      <c r="J470" s="22">
        <f t="shared" si="163"/>
        <v>0</v>
      </c>
      <c r="K470" s="22">
        <f t="shared" si="163"/>
        <v>0</v>
      </c>
      <c r="L470" s="22">
        <f t="shared" si="163"/>
        <v>0</v>
      </c>
      <c r="M470" s="22">
        <f t="shared" si="163"/>
        <v>0</v>
      </c>
      <c r="N470" s="22">
        <f t="shared" si="163"/>
        <v>0</v>
      </c>
      <c r="O470" s="22">
        <f t="shared" si="163"/>
        <v>0</v>
      </c>
      <c r="P470" s="22">
        <f t="shared" si="163"/>
        <v>0</v>
      </c>
      <c r="Q470" s="22">
        <f t="shared" si="163"/>
        <v>0</v>
      </c>
      <c r="R470" s="22">
        <f t="shared" si="163"/>
        <v>0</v>
      </c>
      <c r="S470" s="22">
        <f t="shared" si="163"/>
        <v>0</v>
      </c>
      <c r="T470" s="22">
        <f t="shared" si="163"/>
        <v>0</v>
      </c>
      <c r="U470" s="22">
        <f t="shared" si="163"/>
        <v>0</v>
      </c>
      <c r="V470" s="22">
        <f t="shared" si="163"/>
        <v>0</v>
      </c>
      <c r="W470" s="22">
        <f t="shared" si="163"/>
        <v>0</v>
      </c>
      <c r="X470" s="22">
        <f t="shared" si="163"/>
        <v>0</v>
      </c>
      <c r="Y470" s="22">
        <f t="shared" si="163"/>
        <v>0</v>
      </c>
      <c r="Z470" s="22">
        <f t="shared" si="163"/>
        <v>0</v>
      </c>
      <c r="AA470" s="20">
        <f t="shared" si="161"/>
        <v>0</v>
      </c>
      <c r="AB470" s="23"/>
      <c r="AC470" s="2"/>
    </row>
    <row r="471">
      <c r="A471" s="17" t="s">
        <v>38</v>
      </c>
      <c r="B471" s="24" t="str">
        <f t="shared" ref="B471:Z471" si="164">B470/(COUNT(B466:B469)*1)</f>
        <v>#DIV/0!</v>
      </c>
      <c r="C471" s="24" t="str">
        <f t="shared" si="164"/>
        <v>#DIV/0!</v>
      </c>
      <c r="D471" s="24" t="str">
        <f t="shared" si="164"/>
        <v>#DIV/0!</v>
      </c>
      <c r="E471" s="24" t="str">
        <f t="shared" si="164"/>
        <v>#DIV/0!</v>
      </c>
      <c r="F471" s="24" t="str">
        <f t="shared" si="164"/>
        <v>#DIV/0!</v>
      </c>
      <c r="G471" s="24" t="str">
        <f t="shared" si="164"/>
        <v>#DIV/0!</v>
      </c>
      <c r="H471" s="24" t="str">
        <f t="shared" si="164"/>
        <v>#DIV/0!</v>
      </c>
      <c r="I471" s="24" t="str">
        <f t="shared" si="164"/>
        <v>#DIV/0!</v>
      </c>
      <c r="J471" s="24" t="str">
        <f t="shared" si="164"/>
        <v>#DIV/0!</v>
      </c>
      <c r="K471" s="24" t="str">
        <f t="shared" si="164"/>
        <v>#DIV/0!</v>
      </c>
      <c r="L471" s="24" t="str">
        <f t="shared" si="164"/>
        <v>#DIV/0!</v>
      </c>
      <c r="M471" s="24" t="str">
        <f t="shared" si="164"/>
        <v>#DIV/0!</v>
      </c>
      <c r="N471" s="24" t="str">
        <f t="shared" si="164"/>
        <v>#DIV/0!</v>
      </c>
      <c r="O471" s="24" t="str">
        <f t="shared" si="164"/>
        <v>#DIV/0!</v>
      </c>
      <c r="P471" s="24" t="str">
        <f t="shared" si="164"/>
        <v>#DIV/0!</v>
      </c>
      <c r="Q471" s="24" t="str">
        <f t="shared" si="164"/>
        <v>#DIV/0!</v>
      </c>
      <c r="R471" s="24" t="str">
        <f t="shared" si="164"/>
        <v>#DIV/0!</v>
      </c>
      <c r="S471" s="24" t="str">
        <f t="shared" si="164"/>
        <v>#DIV/0!</v>
      </c>
      <c r="T471" s="24" t="str">
        <f t="shared" si="164"/>
        <v>#DIV/0!</v>
      </c>
      <c r="U471" s="24" t="str">
        <f t="shared" si="164"/>
        <v>#DIV/0!</v>
      </c>
      <c r="V471" s="24" t="str">
        <f t="shared" si="164"/>
        <v>#DIV/0!</v>
      </c>
      <c r="W471" s="24" t="str">
        <f t="shared" si="164"/>
        <v>#DIV/0!</v>
      </c>
      <c r="X471" s="24" t="str">
        <f t="shared" si="164"/>
        <v>#DIV/0!</v>
      </c>
      <c r="Y471" s="24" t="str">
        <f t="shared" si="164"/>
        <v>#DIV/0!</v>
      </c>
      <c r="Z471" s="24" t="str">
        <f t="shared" si="164"/>
        <v>#DIV/0!</v>
      </c>
      <c r="AA471" s="25"/>
      <c r="AB471" s="26" t="str">
        <f>SUM(AB466:AB469)/4</f>
        <v>#DIV/0!</v>
      </c>
      <c r="AC471" s="2"/>
    </row>
    <row r="472">
      <c r="A472" s="27" t="s">
        <v>44</v>
      </c>
      <c r="B472" s="28"/>
      <c r="C472" s="2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30">
        <f t="shared" ref="AA472:AA474" si="165">SUM(B472:Z472)</f>
        <v>0</v>
      </c>
      <c r="AB472" s="31"/>
      <c r="AC472" s="2"/>
    </row>
    <row r="473">
      <c r="A473" s="32" t="s">
        <v>45</v>
      </c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28"/>
      <c r="W473" s="28"/>
      <c r="X473" s="28"/>
      <c r="Y473" s="28"/>
      <c r="Z473" s="28"/>
      <c r="AA473" s="30">
        <f t="shared" si="165"/>
        <v>0</v>
      </c>
      <c r="AB473" s="31"/>
      <c r="AC473" s="9"/>
    </row>
    <row r="474">
      <c r="A474" s="34" t="s">
        <v>46</v>
      </c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28"/>
      <c r="W474" s="28"/>
      <c r="X474" s="28"/>
      <c r="Y474" s="28"/>
      <c r="Z474" s="28"/>
      <c r="AA474" s="30">
        <f t="shared" si="165"/>
        <v>0</v>
      </c>
      <c r="AB474" s="31"/>
      <c r="AC474" s="9"/>
    </row>
    <row r="475">
      <c r="A475" s="35" t="s">
        <v>47</v>
      </c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7"/>
      <c r="AA475" s="38"/>
      <c r="AB475" s="39"/>
      <c r="AC475" s="2"/>
    </row>
    <row r="476">
      <c r="A476" s="40" t="s">
        <v>48</v>
      </c>
      <c r="B476" s="41"/>
      <c r="C476" s="42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3"/>
      <c r="W476" s="43"/>
      <c r="X476" s="43"/>
      <c r="Y476" s="43"/>
      <c r="Z476" s="43"/>
      <c r="AA476" s="44">
        <f t="shared" ref="AA476:AA477" si="166">SUM(B476:Z476)</f>
        <v>0</v>
      </c>
      <c r="AB476" s="31"/>
      <c r="AC476" s="2"/>
    </row>
    <row r="477">
      <c r="A477" s="40" t="s">
        <v>49</v>
      </c>
      <c r="B477" s="41"/>
      <c r="C477" s="42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3"/>
      <c r="W477" s="43"/>
      <c r="X477" s="43"/>
      <c r="Y477" s="43"/>
      <c r="Z477" s="43"/>
      <c r="AA477" s="44">
        <f t="shared" si="166"/>
        <v>0</v>
      </c>
      <c r="AB477" s="31"/>
      <c r="AC477" s="2"/>
    </row>
    <row r="478">
      <c r="A478" s="40" t="s">
        <v>50</v>
      </c>
      <c r="B478" s="42"/>
      <c r="C478" s="42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3"/>
      <c r="W478" s="43"/>
      <c r="X478" s="43"/>
      <c r="Y478" s="43"/>
      <c r="Z478" s="43"/>
      <c r="AA478" s="44" t="str">
        <f>AVERAGE(B478:Z478)</f>
        <v>#DIV/0!</v>
      </c>
      <c r="AB478" s="31"/>
      <c r="AC478" s="2"/>
    </row>
    <row r="479">
      <c r="A479" s="45" t="s">
        <v>51</v>
      </c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7"/>
      <c r="AA479" s="46"/>
      <c r="AB479" s="39"/>
      <c r="AC479" s="2"/>
    </row>
    <row r="480">
      <c r="A480" s="47" t="s">
        <v>48</v>
      </c>
      <c r="B480" s="48"/>
      <c r="C480" s="49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50"/>
      <c r="W480" s="50"/>
      <c r="X480" s="50"/>
      <c r="Y480" s="50"/>
      <c r="Z480" s="50"/>
      <c r="AA480" s="51">
        <f t="shared" ref="AA480:AA481" si="167">SUM(B480:Z480)</f>
        <v>0</v>
      </c>
      <c r="AB480" s="31"/>
      <c r="AC480" s="2"/>
    </row>
    <row r="481">
      <c r="A481" s="47" t="s">
        <v>49</v>
      </c>
      <c r="B481" s="48"/>
      <c r="C481" s="49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50"/>
      <c r="W481" s="50"/>
      <c r="X481" s="50"/>
      <c r="Y481" s="50"/>
      <c r="Z481" s="50"/>
      <c r="AA481" s="51">
        <f t="shared" si="167"/>
        <v>0</v>
      </c>
      <c r="AB481" s="31"/>
      <c r="AC481" s="2"/>
    </row>
    <row r="482">
      <c r="A482" s="47" t="s">
        <v>50</v>
      </c>
      <c r="B482" s="49"/>
      <c r="C482" s="49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50"/>
      <c r="W482" s="50"/>
      <c r="X482" s="50"/>
      <c r="Y482" s="50"/>
      <c r="Z482" s="50"/>
      <c r="AA482" s="51" t="str">
        <f>AVERAGE(B482:Z482)</f>
        <v>#DIV/0!</v>
      </c>
      <c r="AB482" s="31"/>
      <c r="AC482" s="2"/>
    </row>
    <row r="483">
      <c r="A483" s="52" t="s">
        <v>53</v>
      </c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7"/>
      <c r="AA483" s="38"/>
      <c r="AB483" s="39"/>
      <c r="AC483" s="2"/>
    </row>
    <row r="484">
      <c r="A484" s="40" t="s">
        <v>48</v>
      </c>
      <c r="B484" s="41"/>
      <c r="C484" s="42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3"/>
      <c r="W484" s="43"/>
      <c r="X484" s="43"/>
      <c r="Y484" s="43"/>
      <c r="Z484" s="43"/>
      <c r="AA484" s="44">
        <f t="shared" ref="AA484:AA485" si="168">SUM(B484:Z484)</f>
        <v>0</v>
      </c>
      <c r="AB484" s="31"/>
      <c r="AC484" s="2"/>
    </row>
    <row r="485">
      <c r="A485" s="40" t="s">
        <v>49</v>
      </c>
      <c r="B485" s="41"/>
      <c r="C485" s="42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3"/>
      <c r="W485" s="43"/>
      <c r="X485" s="43"/>
      <c r="Y485" s="43"/>
      <c r="Z485" s="43"/>
      <c r="AA485" s="44">
        <f t="shared" si="168"/>
        <v>0</v>
      </c>
      <c r="AB485" s="31"/>
      <c r="AC485" s="2"/>
    </row>
    <row r="486">
      <c r="A486" s="53" t="s">
        <v>50</v>
      </c>
      <c r="B486" s="54"/>
      <c r="C486" s="54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6"/>
      <c r="W486" s="56"/>
      <c r="X486" s="56"/>
      <c r="Y486" s="56"/>
      <c r="Z486" s="56"/>
      <c r="AA486" s="57" t="str">
        <f>AVERAGE(B486:Z486)</f>
        <v>#DIV/0!</v>
      </c>
      <c r="AB486" s="58"/>
      <c r="AC486" s="2"/>
    </row>
    <row r="487">
      <c r="A487" s="9"/>
      <c r="B487" s="9"/>
      <c r="C487" s="9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71" t="s">
        <v>54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5" t="s">
        <v>37</v>
      </c>
      <c r="AB488" s="16" t="s">
        <v>38</v>
      </c>
      <c r="AC488" s="2"/>
    </row>
    <row r="489">
      <c r="A489" s="17" t="s">
        <v>39</v>
      </c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20">
        <f t="shared" ref="AA489:AA493" si="169">SUM(B489:Z489)</f>
        <v>0</v>
      </c>
      <c r="AB489" s="21" t="str">
        <f t="shared" ref="AB489:AB492" si="170">AA489/(COUNT(B489:Z489)*1)</f>
        <v>#DIV/0!</v>
      </c>
      <c r="AC489" s="2"/>
    </row>
    <row r="490">
      <c r="A490" s="17" t="s">
        <v>40</v>
      </c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20">
        <f t="shared" si="169"/>
        <v>0</v>
      </c>
      <c r="AB490" s="21" t="str">
        <f t="shared" si="170"/>
        <v>#DIV/0!</v>
      </c>
      <c r="AC490" s="2"/>
    </row>
    <row r="491">
      <c r="A491" s="17" t="s">
        <v>41</v>
      </c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20">
        <f t="shared" si="169"/>
        <v>0</v>
      </c>
      <c r="AB491" s="21" t="str">
        <f t="shared" si="170"/>
        <v>#DIV/0!</v>
      </c>
      <c r="AC491" s="2"/>
    </row>
    <row r="492">
      <c r="A492" s="17" t="s">
        <v>42</v>
      </c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20">
        <f t="shared" si="169"/>
        <v>0</v>
      </c>
      <c r="AB492" s="21" t="str">
        <f t="shared" si="170"/>
        <v>#DIV/0!</v>
      </c>
      <c r="AC492" s="2"/>
    </row>
    <row r="493">
      <c r="A493" s="17" t="s">
        <v>43</v>
      </c>
      <c r="B493" s="22">
        <f t="shared" ref="B493:Z493" si="171">SUM(B489:B492)</f>
        <v>0</v>
      </c>
      <c r="C493" s="22">
        <f t="shared" si="171"/>
        <v>0</v>
      </c>
      <c r="D493" s="22">
        <f t="shared" si="171"/>
        <v>0</v>
      </c>
      <c r="E493" s="22">
        <f t="shared" si="171"/>
        <v>0</v>
      </c>
      <c r="F493" s="22">
        <f t="shared" si="171"/>
        <v>0</v>
      </c>
      <c r="G493" s="22">
        <f t="shared" si="171"/>
        <v>0</v>
      </c>
      <c r="H493" s="22">
        <f t="shared" si="171"/>
        <v>0</v>
      </c>
      <c r="I493" s="22">
        <f t="shared" si="171"/>
        <v>0</v>
      </c>
      <c r="J493" s="22">
        <f t="shared" si="171"/>
        <v>0</v>
      </c>
      <c r="K493" s="22">
        <f t="shared" si="171"/>
        <v>0</v>
      </c>
      <c r="L493" s="22">
        <f t="shared" si="171"/>
        <v>0</v>
      </c>
      <c r="M493" s="22">
        <f t="shared" si="171"/>
        <v>0</v>
      </c>
      <c r="N493" s="22">
        <f t="shared" si="171"/>
        <v>0</v>
      </c>
      <c r="O493" s="22">
        <f t="shared" si="171"/>
        <v>0</v>
      </c>
      <c r="P493" s="22">
        <f t="shared" si="171"/>
        <v>0</v>
      </c>
      <c r="Q493" s="22">
        <f t="shared" si="171"/>
        <v>0</v>
      </c>
      <c r="R493" s="22">
        <f t="shared" si="171"/>
        <v>0</v>
      </c>
      <c r="S493" s="22">
        <f t="shared" si="171"/>
        <v>0</v>
      </c>
      <c r="T493" s="22">
        <f t="shared" si="171"/>
        <v>0</v>
      </c>
      <c r="U493" s="22">
        <f t="shared" si="171"/>
        <v>0</v>
      </c>
      <c r="V493" s="22">
        <f t="shared" si="171"/>
        <v>0</v>
      </c>
      <c r="W493" s="22">
        <f t="shared" si="171"/>
        <v>0</v>
      </c>
      <c r="X493" s="22">
        <f t="shared" si="171"/>
        <v>0</v>
      </c>
      <c r="Y493" s="22">
        <f t="shared" si="171"/>
        <v>0</v>
      </c>
      <c r="Z493" s="22">
        <f t="shared" si="171"/>
        <v>0</v>
      </c>
      <c r="AA493" s="20">
        <f t="shared" si="169"/>
        <v>0</v>
      </c>
      <c r="AB493" s="23"/>
      <c r="AC493" s="2"/>
    </row>
    <row r="494">
      <c r="A494" s="17" t="s">
        <v>38</v>
      </c>
      <c r="B494" s="24" t="str">
        <f t="shared" ref="B494:Z494" si="172">B493/(COUNT(B489:B492)*1)</f>
        <v>#DIV/0!</v>
      </c>
      <c r="C494" s="24" t="str">
        <f t="shared" si="172"/>
        <v>#DIV/0!</v>
      </c>
      <c r="D494" s="24" t="str">
        <f t="shared" si="172"/>
        <v>#DIV/0!</v>
      </c>
      <c r="E494" s="24" t="str">
        <f t="shared" si="172"/>
        <v>#DIV/0!</v>
      </c>
      <c r="F494" s="24" t="str">
        <f t="shared" si="172"/>
        <v>#DIV/0!</v>
      </c>
      <c r="G494" s="24" t="str">
        <f t="shared" si="172"/>
        <v>#DIV/0!</v>
      </c>
      <c r="H494" s="24" t="str">
        <f t="shared" si="172"/>
        <v>#DIV/0!</v>
      </c>
      <c r="I494" s="24" t="str">
        <f t="shared" si="172"/>
        <v>#DIV/0!</v>
      </c>
      <c r="J494" s="24" t="str">
        <f t="shared" si="172"/>
        <v>#DIV/0!</v>
      </c>
      <c r="K494" s="24" t="str">
        <f t="shared" si="172"/>
        <v>#DIV/0!</v>
      </c>
      <c r="L494" s="24" t="str">
        <f t="shared" si="172"/>
        <v>#DIV/0!</v>
      </c>
      <c r="M494" s="24" t="str">
        <f t="shared" si="172"/>
        <v>#DIV/0!</v>
      </c>
      <c r="N494" s="24" t="str">
        <f t="shared" si="172"/>
        <v>#DIV/0!</v>
      </c>
      <c r="O494" s="24" t="str">
        <f t="shared" si="172"/>
        <v>#DIV/0!</v>
      </c>
      <c r="P494" s="24" t="str">
        <f t="shared" si="172"/>
        <v>#DIV/0!</v>
      </c>
      <c r="Q494" s="24" t="str">
        <f t="shared" si="172"/>
        <v>#DIV/0!</v>
      </c>
      <c r="R494" s="24" t="str">
        <f t="shared" si="172"/>
        <v>#DIV/0!</v>
      </c>
      <c r="S494" s="24" t="str">
        <f t="shared" si="172"/>
        <v>#DIV/0!</v>
      </c>
      <c r="T494" s="24" t="str">
        <f t="shared" si="172"/>
        <v>#DIV/0!</v>
      </c>
      <c r="U494" s="24" t="str">
        <f t="shared" si="172"/>
        <v>#DIV/0!</v>
      </c>
      <c r="V494" s="24" t="str">
        <f t="shared" si="172"/>
        <v>#DIV/0!</v>
      </c>
      <c r="W494" s="24" t="str">
        <f t="shared" si="172"/>
        <v>#DIV/0!</v>
      </c>
      <c r="X494" s="24" t="str">
        <f t="shared" si="172"/>
        <v>#DIV/0!</v>
      </c>
      <c r="Y494" s="24" t="str">
        <f t="shared" si="172"/>
        <v>#DIV/0!</v>
      </c>
      <c r="Z494" s="24" t="str">
        <f t="shared" si="172"/>
        <v>#DIV/0!</v>
      </c>
      <c r="AA494" s="25"/>
      <c r="AB494" s="26" t="str">
        <f>SUM(AB489:AB492)/4</f>
        <v>#DIV/0!</v>
      </c>
      <c r="AC494" s="2"/>
    </row>
    <row r="495">
      <c r="A495" s="27" t="s">
        <v>44</v>
      </c>
      <c r="B495" s="28"/>
      <c r="C495" s="2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30">
        <f t="shared" ref="AA495:AA497" si="173">SUM(B495:Z495)</f>
        <v>0</v>
      </c>
      <c r="AB495" s="31"/>
      <c r="AC495" s="2"/>
    </row>
    <row r="496">
      <c r="A496" s="32" t="s">
        <v>45</v>
      </c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28"/>
      <c r="W496" s="28"/>
      <c r="X496" s="28"/>
      <c r="Y496" s="28"/>
      <c r="Z496" s="28"/>
      <c r="AA496" s="30">
        <f t="shared" si="173"/>
        <v>0</v>
      </c>
      <c r="AB496" s="31"/>
      <c r="AC496" s="9"/>
    </row>
    <row r="497">
      <c r="A497" s="34" t="s">
        <v>46</v>
      </c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28"/>
      <c r="W497" s="28"/>
      <c r="X497" s="28"/>
      <c r="Y497" s="28"/>
      <c r="Z497" s="28"/>
      <c r="AA497" s="30">
        <f t="shared" si="173"/>
        <v>0</v>
      </c>
      <c r="AB497" s="31"/>
      <c r="AC497" s="9"/>
    </row>
    <row r="498">
      <c r="A498" s="35" t="s">
        <v>47</v>
      </c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7"/>
      <c r="AA498" s="38"/>
      <c r="AB498" s="39"/>
      <c r="AC498" s="2"/>
    </row>
    <row r="499">
      <c r="A499" s="40" t="s">
        <v>48</v>
      </c>
      <c r="B499" s="41"/>
      <c r="C499" s="42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3"/>
      <c r="W499" s="43"/>
      <c r="X499" s="43"/>
      <c r="Y499" s="43"/>
      <c r="Z499" s="43"/>
      <c r="AA499" s="44">
        <f t="shared" ref="AA499:AA500" si="174">SUM(B499:Z499)</f>
        <v>0</v>
      </c>
      <c r="AB499" s="31"/>
      <c r="AC499" s="2"/>
    </row>
    <row r="500">
      <c r="A500" s="40" t="s">
        <v>49</v>
      </c>
      <c r="B500" s="41"/>
      <c r="C500" s="42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3"/>
      <c r="W500" s="43"/>
      <c r="X500" s="43"/>
      <c r="Y500" s="43"/>
      <c r="Z500" s="43"/>
      <c r="AA500" s="44">
        <f t="shared" si="174"/>
        <v>0</v>
      </c>
      <c r="AB500" s="31"/>
      <c r="AC500" s="2"/>
    </row>
    <row r="501">
      <c r="A501" s="40" t="s">
        <v>50</v>
      </c>
      <c r="B501" s="42"/>
      <c r="C501" s="42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3"/>
      <c r="W501" s="43"/>
      <c r="X501" s="43"/>
      <c r="Y501" s="43"/>
      <c r="Z501" s="43"/>
      <c r="AA501" s="44" t="str">
        <f>AVERAGE(B501:Z501)</f>
        <v>#DIV/0!</v>
      </c>
      <c r="AB501" s="31"/>
      <c r="AC501" s="2"/>
    </row>
    <row r="502">
      <c r="A502" s="45" t="s">
        <v>51</v>
      </c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7"/>
      <c r="AA502" s="46"/>
      <c r="AB502" s="39"/>
      <c r="AC502" s="2"/>
    </row>
    <row r="503">
      <c r="A503" s="47" t="s">
        <v>48</v>
      </c>
      <c r="B503" s="48"/>
      <c r="C503" s="49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50"/>
      <c r="W503" s="50"/>
      <c r="X503" s="50"/>
      <c r="Y503" s="50"/>
      <c r="Z503" s="50"/>
      <c r="AA503" s="51">
        <f t="shared" ref="AA503:AA504" si="175">SUM(B503:Z503)</f>
        <v>0</v>
      </c>
      <c r="AB503" s="31"/>
      <c r="AC503" s="2"/>
    </row>
    <row r="504">
      <c r="A504" s="47" t="s">
        <v>49</v>
      </c>
      <c r="B504" s="48"/>
      <c r="C504" s="49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50"/>
      <c r="W504" s="50"/>
      <c r="X504" s="50"/>
      <c r="Y504" s="50"/>
      <c r="Z504" s="50"/>
      <c r="AA504" s="51">
        <f t="shared" si="175"/>
        <v>0</v>
      </c>
      <c r="AB504" s="31"/>
      <c r="AC504" s="2"/>
    </row>
    <row r="505">
      <c r="A505" s="47" t="s">
        <v>50</v>
      </c>
      <c r="B505" s="49"/>
      <c r="C505" s="49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50"/>
      <c r="W505" s="50"/>
      <c r="X505" s="50"/>
      <c r="Y505" s="50"/>
      <c r="Z505" s="50"/>
      <c r="AA505" s="51" t="str">
        <f>AVERAGE(B505:Z505)</f>
        <v>#DIV/0!</v>
      </c>
      <c r="AB505" s="31"/>
      <c r="AC505" s="2"/>
    </row>
    <row r="506">
      <c r="A506" s="52" t="s">
        <v>53</v>
      </c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7"/>
      <c r="AA506" s="38"/>
      <c r="AB506" s="39"/>
      <c r="AC506" s="2"/>
    </row>
    <row r="507">
      <c r="A507" s="40" t="s">
        <v>48</v>
      </c>
      <c r="B507" s="41"/>
      <c r="C507" s="42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3"/>
      <c r="W507" s="43"/>
      <c r="X507" s="43"/>
      <c r="Y507" s="43"/>
      <c r="Z507" s="43"/>
      <c r="AA507" s="44">
        <f t="shared" ref="AA507:AA508" si="176">SUM(B507:Z507)</f>
        <v>0</v>
      </c>
      <c r="AB507" s="31"/>
      <c r="AC507" s="2"/>
    </row>
    <row r="508">
      <c r="A508" s="40" t="s">
        <v>49</v>
      </c>
      <c r="B508" s="41"/>
      <c r="C508" s="42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3"/>
      <c r="W508" s="43"/>
      <c r="X508" s="43"/>
      <c r="Y508" s="43"/>
      <c r="Z508" s="43"/>
      <c r="AA508" s="44">
        <f t="shared" si="176"/>
        <v>0</v>
      </c>
      <c r="AB508" s="31"/>
      <c r="AC508" s="2"/>
    </row>
    <row r="509">
      <c r="A509" s="53" t="s">
        <v>50</v>
      </c>
      <c r="B509" s="54"/>
      <c r="C509" s="54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6"/>
      <c r="W509" s="56"/>
      <c r="X509" s="56"/>
      <c r="Y509" s="56"/>
      <c r="Z509" s="56"/>
      <c r="AA509" s="57" t="str">
        <f>AVERAGE(B509:Z509)</f>
        <v>#DIV/0!</v>
      </c>
      <c r="AB509" s="58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9"/>
      <c r="AB511" s="9"/>
      <c r="AC511" s="2"/>
    </row>
    <row r="512" ht="15.75" customHeight="1">
      <c r="A512" s="72" t="s">
        <v>55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73" t="s">
        <v>56</v>
      </c>
      <c r="AB512" s="73" t="s">
        <v>57</v>
      </c>
      <c r="AC512" s="2"/>
    </row>
    <row r="513" ht="15.75" customHeight="1">
      <c r="A513" s="74" t="s">
        <v>39</v>
      </c>
      <c r="B513" s="75">
        <f t="shared" ref="B513:Z513" si="177">B6+B29+B52+B75+B98+B121+B144+B167+B190+B213+B236+B259+B282+B305+B328+B351+B374+B397+B420+B443+B466+B489</f>
        <v>0</v>
      </c>
      <c r="C513" s="75">
        <f t="shared" si="177"/>
        <v>0</v>
      </c>
      <c r="D513" s="75">
        <f t="shared" si="177"/>
        <v>0</v>
      </c>
      <c r="E513" s="75">
        <f t="shared" si="177"/>
        <v>0</v>
      </c>
      <c r="F513" s="75">
        <f t="shared" si="177"/>
        <v>0</v>
      </c>
      <c r="G513" s="75">
        <f t="shared" si="177"/>
        <v>0</v>
      </c>
      <c r="H513" s="75">
        <f t="shared" si="177"/>
        <v>0</v>
      </c>
      <c r="I513" s="75">
        <f t="shared" si="177"/>
        <v>0</v>
      </c>
      <c r="J513" s="75">
        <f t="shared" si="177"/>
        <v>0</v>
      </c>
      <c r="K513" s="75">
        <f t="shared" si="177"/>
        <v>0</v>
      </c>
      <c r="L513" s="75">
        <f t="shared" si="177"/>
        <v>0</v>
      </c>
      <c r="M513" s="75">
        <f t="shared" si="177"/>
        <v>0</v>
      </c>
      <c r="N513" s="75">
        <f t="shared" si="177"/>
        <v>0</v>
      </c>
      <c r="O513" s="75">
        <f t="shared" si="177"/>
        <v>0</v>
      </c>
      <c r="P513" s="75">
        <f t="shared" si="177"/>
        <v>0</v>
      </c>
      <c r="Q513" s="75">
        <f t="shared" si="177"/>
        <v>0</v>
      </c>
      <c r="R513" s="75">
        <f t="shared" si="177"/>
        <v>0</v>
      </c>
      <c r="S513" s="75">
        <f t="shared" si="177"/>
        <v>0</v>
      </c>
      <c r="T513" s="75">
        <f t="shared" si="177"/>
        <v>0</v>
      </c>
      <c r="U513" s="75">
        <f t="shared" si="177"/>
        <v>0</v>
      </c>
      <c r="V513" s="75">
        <f t="shared" si="177"/>
        <v>0</v>
      </c>
      <c r="W513" s="75">
        <f t="shared" si="177"/>
        <v>0</v>
      </c>
      <c r="X513" s="75">
        <f t="shared" si="177"/>
        <v>0</v>
      </c>
      <c r="Y513" s="75">
        <f t="shared" si="177"/>
        <v>0</v>
      </c>
      <c r="Z513" s="75">
        <f t="shared" si="177"/>
        <v>0</v>
      </c>
      <c r="AA513" s="76">
        <f t="shared" ref="AA513:AA521" si="179">SUM(B513:Z513)</f>
        <v>0</v>
      </c>
      <c r="AB513" s="77" t="str">
        <f t="shared" ref="AB513:AB516" si="180">AA513/(COUNT(B6:Z6,B29:Z29,B52:Z52,B75:Z75,B98:Z98,B121:Z121,B144:Z144,B167:Z167,B190:Z190,B213:Z213,B236:Z236,B259:Z259,B282:Z282,B305:Z305,B328:Z328,B351:Z351,B374:Z374,B397:Z397,B420:Z420,B443:Z443,B466:Z466,B489:Z489))</f>
        <v>#DIV/0!</v>
      </c>
      <c r="AC513" s="78" t="s">
        <v>39</v>
      </c>
    </row>
    <row r="514" ht="15.75" customHeight="1">
      <c r="A514" s="17" t="s">
        <v>40</v>
      </c>
      <c r="B514" s="20">
        <f t="shared" ref="B514:Z514" si="178">B7+B30+B53+B76+B99+B122+B145+B168+B191+B214+B237+B260+B283+B306+B329+B352+B375+B398+B421+B444+B467+B490</f>
        <v>0</v>
      </c>
      <c r="C514" s="20">
        <f t="shared" si="178"/>
        <v>0</v>
      </c>
      <c r="D514" s="20">
        <f t="shared" si="178"/>
        <v>0</v>
      </c>
      <c r="E514" s="20">
        <f t="shared" si="178"/>
        <v>0</v>
      </c>
      <c r="F514" s="20">
        <f t="shared" si="178"/>
        <v>0</v>
      </c>
      <c r="G514" s="20">
        <f t="shared" si="178"/>
        <v>0</v>
      </c>
      <c r="H514" s="20">
        <f t="shared" si="178"/>
        <v>0</v>
      </c>
      <c r="I514" s="20">
        <f t="shared" si="178"/>
        <v>0</v>
      </c>
      <c r="J514" s="20">
        <f t="shared" si="178"/>
        <v>0</v>
      </c>
      <c r="K514" s="20">
        <f t="shared" si="178"/>
        <v>0</v>
      </c>
      <c r="L514" s="20">
        <f t="shared" si="178"/>
        <v>0</v>
      </c>
      <c r="M514" s="20">
        <f t="shared" si="178"/>
        <v>0</v>
      </c>
      <c r="N514" s="20">
        <f t="shared" si="178"/>
        <v>0</v>
      </c>
      <c r="O514" s="20">
        <f t="shared" si="178"/>
        <v>0</v>
      </c>
      <c r="P514" s="20">
        <f t="shared" si="178"/>
        <v>0</v>
      </c>
      <c r="Q514" s="20">
        <f t="shared" si="178"/>
        <v>0</v>
      </c>
      <c r="R514" s="20">
        <f t="shared" si="178"/>
        <v>0</v>
      </c>
      <c r="S514" s="20">
        <f t="shared" si="178"/>
        <v>0</v>
      </c>
      <c r="T514" s="20">
        <f t="shared" si="178"/>
        <v>0</v>
      </c>
      <c r="U514" s="20">
        <f t="shared" si="178"/>
        <v>0</v>
      </c>
      <c r="V514" s="20">
        <f t="shared" si="178"/>
        <v>0</v>
      </c>
      <c r="W514" s="20">
        <f t="shared" si="178"/>
        <v>0</v>
      </c>
      <c r="X514" s="20">
        <f t="shared" si="178"/>
        <v>0</v>
      </c>
      <c r="Y514" s="20">
        <f t="shared" si="178"/>
        <v>0</v>
      </c>
      <c r="Z514" s="20">
        <f t="shared" si="178"/>
        <v>0</v>
      </c>
      <c r="AA514" s="79">
        <f t="shared" si="179"/>
        <v>0</v>
      </c>
      <c r="AB514" s="80" t="str">
        <f t="shared" si="180"/>
        <v>#DIV/0!</v>
      </c>
      <c r="AC514" s="81" t="s">
        <v>40</v>
      </c>
    </row>
    <row r="515" ht="15.75" customHeight="1">
      <c r="A515" s="17" t="s">
        <v>41</v>
      </c>
      <c r="B515" s="20">
        <f t="shared" ref="B515:Z515" si="181">B8+B31+B54+B77+B100+B123+B146+B169+B192+B215+B238+B261+B284+B307+B330+B353+B376+B399+B422+B445+B468+B491</f>
        <v>0</v>
      </c>
      <c r="C515" s="20">
        <f t="shared" si="181"/>
        <v>0</v>
      </c>
      <c r="D515" s="20">
        <f t="shared" si="181"/>
        <v>0</v>
      </c>
      <c r="E515" s="20">
        <f t="shared" si="181"/>
        <v>0</v>
      </c>
      <c r="F515" s="20">
        <f t="shared" si="181"/>
        <v>0</v>
      </c>
      <c r="G515" s="20">
        <f t="shared" si="181"/>
        <v>0</v>
      </c>
      <c r="H515" s="20">
        <f t="shared" si="181"/>
        <v>0</v>
      </c>
      <c r="I515" s="20">
        <f t="shared" si="181"/>
        <v>0</v>
      </c>
      <c r="J515" s="20">
        <f t="shared" si="181"/>
        <v>0</v>
      </c>
      <c r="K515" s="20">
        <f t="shared" si="181"/>
        <v>0</v>
      </c>
      <c r="L515" s="20">
        <f t="shared" si="181"/>
        <v>0</v>
      </c>
      <c r="M515" s="20">
        <f t="shared" si="181"/>
        <v>0</v>
      </c>
      <c r="N515" s="20">
        <f t="shared" si="181"/>
        <v>0</v>
      </c>
      <c r="O515" s="20">
        <f t="shared" si="181"/>
        <v>0</v>
      </c>
      <c r="P515" s="20">
        <f t="shared" si="181"/>
        <v>0</v>
      </c>
      <c r="Q515" s="20">
        <f t="shared" si="181"/>
        <v>0</v>
      </c>
      <c r="R515" s="20">
        <f t="shared" si="181"/>
        <v>0</v>
      </c>
      <c r="S515" s="20">
        <f t="shared" si="181"/>
        <v>0</v>
      </c>
      <c r="T515" s="20">
        <f t="shared" si="181"/>
        <v>0</v>
      </c>
      <c r="U515" s="20">
        <f t="shared" si="181"/>
        <v>0</v>
      </c>
      <c r="V515" s="20">
        <f t="shared" si="181"/>
        <v>0</v>
      </c>
      <c r="W515" s="20">
        <f t="shared" si="181"/>
        <v>0</v>
      </c>
      <c r="X515" s="20">
        <f t="shared" si="181"/>
        <v>0</v>
      </c>
      <c r="Y515" s="20">
        <f t="shared" si="181"/>
        <v>0</v>
      </c>
      <c r="Z515" s="20">
        <f t="shared" si="181"/>
        <v>0</v>
      </c>
      <c r="AA515" s="79">
        <f t="shared" si="179"/>
        <v>0</v>
      </c>
      <c r="AB515" s="80" t="str">
        <f t="shared" si="180"/>
        <v>#DIV/0!</v>
      </c>
      <c r="AC515" s="81" t="s">
        <v>41</v>
      </c>
    </row>
    <row r="516" ht="15.75" customHeight="1">
      <c r="A516" s="17" t="s">
        <v>42</v>
      </c>
      <c r="B516" s="20">
        <f t="shared" ref="B516:Z516" si="182">B9+B32+B55+B78+B101+B124+B147+B170+B193+B216+B239+B262+B285+B308+B331+B354+B377+B400+B423+B446+B469+B492</f>
        <v>0</v>
      </c>
      <c r="C516" s="20">
        <f t="shared" si="182"/>
        <v>0</v>
      </c>
      <c r="D516" s="20">
        <f t="shared" si="182"/>
        <v>0</v>
      </c>
      <c r="E516" s="20">
        <f t="shared" si="182"/>
        <v>0</v>
      </c>
      <c r="F516" s="20">
        <f t="shared" si="182"/>
        <v>0</v>
      </c>
      <c r="G516" s="20">
        <f t="shared" si="182"/>
        <v>0</v>
      </c>
      <c r="H516" s="20">
        <f t="shared" si="182"/>
        <v>0</v>
      </c>
      <c r="I516" s="20">
        <f t="shared" si="182"/>
        <v>0</v>
      </c>
      <c r="J516" s="20">
        <f t="shared" si="182"/>
        <v>0</v>
      </c>
      <c r="K516" s="20">
        <f t="shared" si="182"/>
        <v>0</v>
      </c>
      <c r="L516" s="20">
        <f t="shared" si="182"/>
        <v>0</v>
      </c>
      <c r="M516" s="20">
        <f t="shared" si="182"/>
        <v>0</v>
      </c>
      <c r="N516" s="20">
        <f t="shared" si="182"/>
        <v>0</v>
      </c>
      <c r="O516" s="20">
        <f t="shared" si="182"/>
        <v>0</v>
      </c>
      <c r="P516" s="20">
        <f t="shared" si="182"/>
        <v>0</v>
      </c>
      <c r="Q516" s="20">
        <f t="shared" si="182"/>
        <v>0</v>
      </c>
      <c r="R516" s="20">
        <f t="shared" si="182"/>
        <v>0</v>
      </c>
      <c r="S516" s="20">
        <f t="shared" si="182"/>
        <v>0</v>
      </c>
      <c r="T516" s="20">
        <f t="shared" si="182"/>
        <v>0</v>
      </c>
      <c r="U516" s="20">
        <f t="shared" si="182"/>
        <v>0</v>
      </c>
      <c r="V516" s="20">
        <f t="shared" si="182"/>
        <v>0</v>
      </c>
      <c r="W516" s="20">
        <f t="shared" si="182"/>
        <v>0</v>
      </c>
      <c r="X516" s="20">
        <f t="shared" si="182"/>
        <v>0</v>
      </c>
      <c r="Y516" s="20">
        <f t="shared" si="182"/>
        <v>0</v>
      </c>
      <c r="Z516" s="20">
        <f t="shared" si="182"/>
        <v>0</v>
      </c>
      <c r="AA516" s="79">
        <f t="shared" si="179"/>
        <v>0</v>
      </c>
      <c r="AB516" s="80" t="str">
        <f t="shared" si="180"/>
        <v>#DIV/0!</v>
      </c>
      <c r="AC516" s="81" t="s">
        <v>42</v>
      </c>
    </row>
    <row r="517" ht="15.75" hidden="1" customHeight="1">
      <c r="A517" s="82"/>
      <c r="B517" s="20">
        <f t="shared" ref="B517:Z517" si="183">B513+B514+B515+B516</f>
        <v>0</v>
      </c>
      <c r="C517" s="20">
        <f t="shared" si="183"/>
        <v>0</v>
      </c>
      <c r="D517" s="20">
        <f t="shared" si="183"/>
        <v>0</v>
      </c>
      <c r="E517" s="20">
        <f t="shared" si="183"/>
        <v>0</v>
      </c>
      <c r="F517" s="20">
        <f t="shared" si="183"/>
        <v>0</v>
      </c>
      <c r="G517" s="20">
        <f t="shared" si="183"/>
        <v>0</v>
      </c>
      <c r="H517" s="20">
        <f t="shared" si="183"/>
        <v>0</v>
      </c>
      <c r="I517" s="20">
        <f t="shared" si="183"/>
        <v>0</v>
      </c>
      <c r="J517" s="20">
        <f t="shared" si="183"/>
        <v>0</v>
      </c>
      <c r="K517" s="20">
        <f t="shared" si="183"/>
        <v>0</v>
      </c>
      <c r="L517" s="20">
        <f t="shared" si="183"/>
        <v>0</v>
      </c>
      <c r="M517" s="20">
        <f t="shared" si="183"/>
        <v>0</v>
      </c>
      <c r="N517" s="20">
        <f t="shared" si="183"/>
        <v>0</v>
      </c>
      <c r="O517" s="20">
        <f t="shared" si="183"/>
        <v>0</v>
      </c>
      <c r="P517" s="20">
        <f t="shared" si="183"/>
        <v>0</v>
      </c>
      <c r="Q517" s="20">
        <f t="shared" si="183"/>
        <v>0</v>
      </c>
      <c r="R517" s="20">
        <f t="shared" si="183"/>
        <v>0</v>
      </c>
      <c r="S517" s="20">
        <f t="shared" si="183"/>
        <v>0</v>
      </c>
      <c r="T517" s="20">
        <f t="shared" si="183"/>
        <v>0</v>
      </c>
      <c r="U517" s="20">
        <f t="shared" si="183"/>
        <v>0</v>
      </c>
      <c r="V517" s="20">
        <f t="shared" si="183"/>
        <v>0</v>
      </c>
      <c r="W517" s="20">
        <f t="shared" si="183"/>
        <v>0</v>
      </c>
      <c r="X517" s="20">
        <f t="shared" si="183"/>
        <v>0</v>
      </c>
      <c r="Y517" s="20">
        <f t="shared" si="183"/>
        <v>0</v>
      </c>
      <c r="Z517" s="20">
        <f t="shared" si="183"/>
        <v>0</v>
      </c>
      <c r="AA517" s="79">
        <f t="shared" si="179"/>
        <v>0</v>
      </c>
      <c r="AB517" s="83"/>
      <c r="AC517" s="82"/>
    </row>
    <row r="518" ht="15.75" customHeight="1">
      <c r="A518" s="84" t="s">
        <v>58</v>
      </c>
      <c r="B518" s="85" t="str">
        <f t="shared" ref="B518:Z518" si="184">B517/(COUNT(B6:B9,B29:B32,B52:B55,B75:B78,B98:B101,B121:B124,B144:B147,B167:B170,B190:B193,B213:B216,B236:B239,B259:B262,B282:B285,B305:B308,B328:B331,B351:B354,B374:B377,B397:B400,B420:B423,B443:B446,B466:B469,B489:B492)*1)</f>
        <v>#DIV/0!</v>
      </c>
      <c r="C518" s="85" t="str">
        <f t="shared" si="184"/>
        <v>#DIV/0!</v>
      </c>
      <c r="D518" s="85" t="str">
        <f t="shared" si="184"/>
        <v>#DIV/0!</v>
      </c>
      <c r="E518" s="85" t="str">
        <f t="shared" si="184"/>
        <v>#DIV/0!</v>
      </c>
      <c r="F518" s="85" t="str">
        <f t="shared" si="184"/>
        <v>#DIV/0!</v>
      </c>
      <c r="G518" s="85" t="str">
        <f t="shared" si="184"/>
        <v>#DIV/0!</v>
      </c>
      <c r="H518" s="85" t="str">
        <f t="shared" si="184"/>
        <v>#DIV/0!</v>
      </c>
      <c r="I518" s="85" t="str">
        <f t="shared" si="184"/>
        <v>#DIV/0!</v>
      </c>
      <c r="J518" s="85" t="str">
        <f t="shared" si="184"/>
        <v>#DIV/0!</v>
      </c>
      <c r="K518" s="85" t="str">
        <f t="shared" si="184"/>
        <v>#DIV/0!</v>
      </c>
      <c r="L518" s="85" t="str">
        <f t="shared" si="184"/>
        <v>#DIV/0!</v>
      </c>
      <c r="M518" s="85" t="str">
        <f t="shared" si="184"/>
        <v>#DIV/0!</v>
      </c>
      <c r="N518" s="85" t="str">
        <f t="shared" si="184"/>
        <v>#DIV/0!</v>
      </c>
      <c r="O518" s="85" t="str">
        <f t="shared" si="184"/>
        <v>#DIV/0!</v>
      </c>
      <c r="P518" s="85" t="str">
        <f t="shared" si="184"/>
        <v>#DIV/0!</v>
      </c>
      <c r="Q518" s="85" t="str">
        <f t="shared" si="184"/>
        <v>#DIV/0!</v>
      </c>
      <c r="R518" s="85" t="str">
        <f t="shared" si="184"/>
        <v>#DIV/0!</v>
      </c>
      <c r="S518" s="85" t="str">
        <f t="shared" si="184"/>
        <v>#DIV/0!</v>
      </c>
      <c r="T518" s="85" t="str">
        <f t="shared" si="184"/>
        <v>#DIV/0!</v>
      </c>
      <c r="U518" s="85" t="str">
        <f t="shared" si="184"/>
        <v>#DIV/0!</v>
      </c>
      <c r="V518" s="85" t="str">
        <f t="shared" si="184"/>
        <v>#DIV/0!</v>
      </c>
      <c r="W518" s="85" t="str">
        <f t="shared" si="184"/>
        <v>#DIV/0!</v>
      </c>
      <c r="X518" s="85" t="str">
        <f t="shared" si="184"/>
        <v>#DIV/0!</v>
      </c>
      <c r="Y518" s="85" t="str">
        <f t="shared" si="184"/>
        <v>#DIV/0!</v>
      </c>
      <c r="Z518" s="85" t="str">
        <f t="shared" si="184"/>
        <v>#DIV/0!</v>
      </c>
      <c r="AA518" s="79" t="str">
        <f t="shared" si="179"/>
        <v>#DIV/0!</v>
      </c>
      <c r="AB518" s="80" t="str">
        <f>SUM(AB513:AB516)/4</f>
        <v>#DIV/0!</v>
      </c>
      <c r="AC518" s="87" t="s">
        <v>58</v>
      </c>
    </row>
    <row r="519">
      <c r="A519" s="27" t="s">
        <v>44</v>
      </c>
      <c r="B519" s="88">
        <f t="shared" ref="B519:Z519" si="185">B12+B35+B58+B81+B104+B127+B150+B173+B196+B219+B242+B265+B288+B311+B334+B357+B380+B403+B426+B449+B472+B495</f>
        <v>0</v>
      </c>
      <c r="C519" s="88">
        <f t="shared" si="185"/>
        <v>0</v>
      </c>
      <c r="D519" s="88">
        <f t="shared" si="185"/>
        <v>0</v>
      </c>
      <c r="E519" s="88">
        <f t="shared" si="185"/>
        <v>0</v>
      </c>
      <c r="F519" s="88">
        <f t="shared" si="185"/>
        <v>0</v>
      </c>
      <c r="G519" s="88">
        <f t="shared" si="185"/>
        <v>0</v>
      </c>
      <c r="H519" s="88">
        <f t="shared" si="185"/>
        <v>0</v>
      </c>
      <c r="I519" s="88">
        <f t="shared" si="185"/>
        <v>0</v>
      </c>
      <c r="J519" s="88">
        <f t="shared" si="185"/>
        <v>0</v>
      </c>
      <c r="K519" s="88">
        <f t="shared" si="185"/>
        <v>0</v>
      </c>
      <c r="L519" s="88">
        <f t="shared" si="185"/>
        <v>0</v>
      </c>
      <c r="M519" s="88">
        <f t="shared" si="185"/>
        <v>0</v>
      </c>
      <c r="N519" s="88">
        <f t="shared" si="185"/>
        <v>0</v>
      </c>
      <c r="O519" s="88">
        <f t="shared" si="185"/>
        <v>0</v>
      </c>
      <c r="P519" s="88">
        <f t="shared" si="185"/>
        <v>0</v>
      </c>
      <c r="Q519" s="88">
        <f t="shared" si="185"/>
        <v>0</v>
      </c>
      <c r="R519" s="88">
        <f t="shared" si="185"/>
        <v>0</v>
      </c>
      <c r="S519" s="88">
        <f t="shared" si="185"/>
        <v>0</v>
      </c>
      <c r="T519" s="88">
        <f t="shared" si="185"/>
        <v>0</v>
      </c>
      <c r="U519" s="88">
        <f t="shared" si="185"/>
        <v>0</v>
      </c>
      <c r="V519" s="88">
        <f t="shared" si="185"/>
        <v>0</v>
      </c>
      <c r="W519" s="88">
        <f t="shared" si="185"/>
        <v>0</v>
      </c>
      <c r="X519" s="88">
        <f t="shared" si="185"/>
        <v>0</v>
      </c>
      <c r="Y519" s="88">
        <f t="shared" si="185"/>
        <v>0</v>
      </c>
      <c r="Z519" s="88">
        <f t="shared" si="185"/>
        <v>0</v>
      </c>
      <c r="AA519" s="89">
        <f t="shared" si="179"/>
        <v>0</v>
      </c>
      <c r="AB519" s="90" t="s">
        <v>59</v>
      </c>
      <c r="AC519" s="91"/>
    </row>
    <row r="520" ht="15.75" customHeight="1">
      <c r="A520" s="32" t="s">
        <v>45</v>
      </c>
      <c r="B520" s="88">
        <f t="shared" ref="B520:Z520" si="186">B13+B36+B59+B82+B105+B128+B151+B174+B197+B220+B243+B266+B289+B312+B335+B358+B381+B404+B427+B450+B473+B496</f>
        <v>0</v>
      </c>
      <c r="C520" s="88">
        <f t="shared" si="186"/>
        <v>0</v>
      </c>
      <c r="D520" s="88">
        <f t="shared" si="186"/>
        <v>0</v>
      </c>
      <c r="E520" s="88">
        <f t="shared" si="186"/>
        <v>0</v>
      </c>
      <c r="F520" s="88">
        <f t="shared" si="186"/>
        <v>0</v>
      </c>
      <c r="G520" s="88">
        <f t="shared" si="186"/>
        <v>0</v>
      </c>
      <c r="H520" s="88">
        <f t="shared" si="186"/>
        <v>0</v>
      </c>
      <c r="I520" s="88">
        <f t="shared" si="186"/>
        <v>0</v>
      </c>
      <c r="J520" s="88">
        <f t="shared" si="186"/>
        <v>0</v>
      </c>
      <c r="K520" s="88">
        <f t="shared" si="186"/>
        <v>0</v>
      </c>
      <c r="L520" s="88">
        <f t="shared" si="186"/>
        <v>0</v>
      </c>
      <c r="M520" s="88">
        <f t="shared" si="186"/>
        <v>0</v>
      </c>
      <c r="N520" s="88">
        <f t="shared" si="186"/>
        <v>0</v>
      </c>
      <c r="O520" s="88">
        <f t="shared" si="186"/>
        <v>0</v>
      </c>
      <c r="P520" s="88">
        <f t="shared" si="186"/>
        <v>0</v>
      </c>
      <c r="Q520" s="88">
        <f t="shared" si="186"/>
        <v>0</v>
      </c>
      <c r="R520" s="88">
        <f t="shared" si="186"/>
        <v>0</v>
      </c>
      <c r="S520" s="88">
        <f t="shared" si="186"/>
        <v>0</v>
      </c>
      <c r="T520" s="88">
        <f t="shared" si="186"/>
        <v>0</v>
      </c>
      <c r="U520" s="88">
        <f t="shared" si="186"/>
        <v>0</v>
      </c>
      <c r="V520" s="88">
        <f t="shared" si="186"/>
        <v>0</v>
      </c>
      <c r="W520" s="88">
        <f t="shared" si="186"/>
        <v>0</v>
      </c>
      <c r="X520" s="88">
        <f t="shared" si="186"/>
        <v>0</v>
      </c>
      <c r="Y520" s="88">
        <f t="shared" si="186"/>
        <v>0</v>
      </c>
      <c r="Z520" s="88">
        <f t="shared" si="186"/>
        <v>0</v>
      </c>
      <c r="AA520" s="89">
        <f t="shared" si="179"/>
        <v>0</v>
      </c>
      <c r="AB520" s="90" t="s">
        <v>59</v>
      </c>
      <c r="AC520" s="92"/>
    </row>
    <row r="521">
      <c r="A521" s="93" t="s">
        <v>46</v>
      </c>
      <c r="B521" s="88">
        <f t="shared" ref="B521:Z521" si="187">B14+B37+B60+B83+B106+B129+B152+B175+B198+B221+B244+B267+B290+B313+B336+B359+B382+B405+B428+B451+B474+B497</f>
        <v>0</v>
      </c>
      <c r="C521" s="88">
        <f t="shared" si="187"/>
        <v>0</v>
      </c>
      <c r="D521" s="88">
        <f t="shared" si="187"/>
        <v>0</v>
      </c>
      <c r="E521" s="88">
        <f t="shared" si="187"/>
        <v>0</v>
      </c>
      <c r="F521" s="88">
        <f t="shared" si="187"/>
        <v>0</v>
      </c>
      <c r="G521" s="88">
        <f t="shared" si="187"/>
        <v>0</v>
      </c>
      <c r="H521" s="88">
        <f t="shared" si="187"/>
        <v>0</v>
      </c>
      <c r="I521" s="88">
        <f t="shared" si="187"/>
        <v>0</v>
      </c>
      <c r="J521" s="88">
        <f t="shared" si="187"/>
        <v>0</v>
      </c>
      <c r="K521" s="88">
        <f t="shared" si="187"/>
        <v>0</v>
      </c>
      <c r="L521" s="88">
        <f t="shared" si="187"/>
        <v>0</v>
      </c>
      <c r="M521" s="88">
        <f t="shared" si="187"/>
        <v>0</v>
      </c>
      <c r="N521" s="88">
        <f t="shared" si="187"/>
        <v>0</v>
      </c>
      <c r="O521" s="88">
        <f t="shared" si="187"/>
        <v>0</v>
      </c>
      <c r="P521" s="88">
        <f t="shared" si="187"/>
        <v>0</v>
      </c>
      <c r="Q521" s="88">
        <f t="shared" si="187"/>
        <v>0</v>
      </c>
      <c r="R521" s="88">
        <f t="shared" si="187"/>
        <v>0</v>
      </c>
      <c r="S521" s="88">
        <f t="shared" si="187"/>
        <v>0</v>
      </c>
      <c r="T521" s="88">
        <f t="shared" si="187"/>
        <v>0</v>
      </c>
      <c r="U521" s="88">
        <f t="shared" si="187"/>
        <v>0</v>
      </c>
      <c r="V521" s="88">
        <f t="shared" si="187"/>
        <v>0</v>
      </c>
      <c r="W521" s="88">
        <f t="shared" si="187"/>
        <v>0</v>
      </c>
      <c r="X521" s="88">
        <f t="shared" si="187"/>
        <v>0</v>
      </c>
      <c r="Y521" s="88">
        <f t="shared" si="187"/>
        <v>0</v>
      </c>
      <c r="Z521" s="88">
        <f t="shared" si="187"/>
        <v>0</v>
      </c>
      <c r="AA521" s="89">
        <f t="shared" si="179"/>
        <v>0</v>
      </c>
      <c r="AB521" s="90" t="s">
        <v>59</v>
      </c>
      <c r="AC521" s="92"/>
    </row>
    <row r="522">
      <c r="A522" s="94" t="s">
        <v>47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95"/>
      <c r="AB522" s="96" t="s">
        <v>47</v>
      </c>
      <c r="AC522" s="95"/>
    </row>
    <row r="523" ht="15.75" customHeight="1">
      <c r="A523" s="97" t="s">
        <v>48</v>
      </c>
      <c r="B523" s="98">
        <f t="shared" ref="B523:Z523" si="188">B16+B39+B62+B85+B108+B131+B154+B177+B200+B223+B246+B269+B292+B315+B338+B361+B384+B407+B430+B453+B476+B499</f>
        <v>0</v>
      </c>
      <c r="C523" s="98">
        <f t="shared" si="188"/>
        <v>0</v>
      </c>
      <c r="D523" s="98">
        <f t="shared" si="188"/>
        <v>0</v>
      </c>
      <c r="E523" s="98">
        <f t="shared" si="188"/>
        <v>0</v>
      </c>
      <c r="F523" s="98">
        <f t="shared" si="188"/>
        <v>0</v>
      </c>
      <c r="G523" s="98">
        <f t="shared" si="188"/>
        <v>0</v>
      </c>
      <c r="H523" s="98">
        <f t="shared" si="188"/>
        <v>0</v>
      </c>
      <c r="I523" s="98">
        <f t="shared" si="188"/>
        <v>0</v>
      </c>
      <c r="J523" s="98">
        <f t="shared" si="188"/>
        <v>0</v>
      </c>
      <c r="K523" s="98">
        <f t="shared" si="188"/>
        <v>0</v>
      </c>
      <c r="L523" s="98">
        <f t="shared" si="188"/>
        <v>0</v>
      </c>
      <c r="M523" s="98">
        <f t="shared" si="188"/>
        <v>0</v>
      </c>
      <c r="N523" s="98">
        <f t="shared" si="188"/>
        <v>0</v>
      </c>
      <c r="O523" s="98">
        <f t="shared" si="188"/>
        <v>0</v>
      </c>
      <c r="P523" s="98">
        <f t="shared" si="188"/>
        <v>0</v>
      </c>
      <c r="Q523" s="98">
        <f t="shared" si="188"/>
        <v>0</v>
      </c>
      <c r="R523" s="98">
        <f t="shared" si="188"/>
        <v>0</v>
      </c>
      <c r="S523" s="98">
        <f t="shared" si="188"/>
        <v>0</v>
      </c>
      <c r="T523" s="98">
        <f t="shared" si="188"/>
        <v>0</v>
      </c>
      <c r="U523" s="98">
        <f t="shared" si="188"/>
        <v>0</v>
      </c>
      <c r="V523" s="98">
        <f t="shared" si="188"/>
        <v>0</v>
      </c>
      <c r="W523" s="98">
        <f t="shared" si="188"/>
        <v>0</v>
      </c>
      <c r="X523" s="98">
        <f t="shared" si="188"/>
        <v>0</v>
      </c>
      <c r="Y523" s="98">
        <f t="shared" si="188"/>
        <v>0</v>
      </c>
      <c r="Z523" s="98">
        <f t="shared" si="188"/>
        <v>0</v>
      </c>
      <c r="AA523" s="99">
        <f t="shared" ref="AA523:AA524" si="190">SUM(B523:Z523)</f>
        <v>0</v>
      </c>
      <c r="AB523" s="100" t="s">
        <v>60</v>
      </c>
      <c r="AC523" s="95"/>
    </row>
    <row r="524" ht="15.75" customHeight="1">
      <c r="A524" s="97" t="s">
        <v>49</v>
      </c>
      <c r="B524" s="98">
        <f t="shared" ref="B524:Z524" si="189">B17+B40+B63+B86+B109+B132+B155+B178+B201+B224+B247+B270+B293+B316+B339+B362+B385+B408+B431+B454+B477+B500</f>
        <v>0</v>
      </c>
      <c r="C524" s="98">
        <f t="shared" si="189"/>
        <v>0</v>
      </c>
      <c r="D524" s="98">
        <f t="shared" si="189"/>
        <v>0</v>
      </c>
      <c r="E524" s="98">
        <f t="shared" si="189"/>
        <v>0</v>
      </c>
      <c r="F524" s="98">
        <f t="shared" si="189"/>
        <v>0</v>
      </c>
      <c r="G524" s="98">
        <f t="shared" si="189"/>
        <v>0</v>
      </c>
      <c r="H524" s="98">
        <f t="shared" si="189"/>
        <v>0</v>
      </c>
      <c r="I524" s="98">
        <f t="shared" si="189"/>
        <v>0</v>
      </c>
      <c r="J524" s="98">
        <f t="shared" si="189"/>
        <v>0</v>
      </c>
      <c r="K524" s="98">
        <f t="shared" si="189"/>
        <v>0</v>
      </c>
      <c r="L524" s="98">
        <f t="shared" si="189"/>
        <v>0</v>
      </c>
      <c r="M524" s="98">
        <f t="shared" si="189"/>
        <v>0</v>
      </c>
      <c r="N524" s="98">
        <f t="shared" si="189"/>
        <v>0</v>
      </c>
      <c r="O524" s="98">
        <f t="shared" si="189"/>
        <v>0</v>
      </c>
      <c r="P524" s="98">
        <f t="shared" si="189"/>
        <v>0</v>
      </c>
      <c r="Q524" s="98">
        <f t="shared" si="189"/>
        <v>0</v>
      </c>
      <c r="R524" s="98">
        <f t="shared" si="189"/>
        <v>0</v>
      </c>
      <c r="S524" s="98">
        <f t="shared" si="189"/>
        <v>0</v>
      </c>
      <c r="T524" s="98">
        <f t="shared" si="189"/>
        <v>0</v>
      </c>
      <c r="U524" s="98">
        <f t="shared" si="189"/>
        <v>0</v>
      </c>
      <c r="V524" s="98">
        <f t="shared" si="189"/>
        <v>0</v>
      </c>
      <c r="W524" s="98">
        <f t="shared" si="189"/>
        <v>0</v>
      </c>
      <c r="X524" s="98">
        <f t="shared" si="189"/>
        <v>0</v>
      </c>
      <c r="Y524" s="98">
        <f t="shared" si="189"/>
        <v>0</v>
      </c>
      <c r="Z524" s="98">
        <f t="shared" si="189"/>
        <v>0</v>
      </c>
      <c r="AA524" s="99">
        <f t="shared" si="190"/>
        <v>0</v>
      </c>
      <c r="AB524" s="100" t="s">
        <v>61</v>
      </c>
      <c r="AC524" s="95"/>
    </row>
    <row r="525" ht="15.75" customHeight="1">
      <c r="A525" s="101" t="s">
        <v>62</v>
      </c>
      <c r="B525" s="102">
        <f t="shared" ref="B525:Z525" si="191">SUM(B18,B41,B64,B87,B110,B133,B156,B179,B202,B225,B248,B271,B294,B317,B340,B363,B386,B409,B432,B455,B478,B501)</f>
        <v>0</v>
      </c>
      <c r="C525" s="102">
        <f t="shared" si="191"/>
        <v>0</v>
      </c>
      <c r="D525" s="102">
        <f t="shared" si="191"/>
        <v>0</v>
      </c>
      <c r="E525" s="102">
        <f t="shared" si="191"/>
        <v>0</v>
      </c>
      <c r="F525" s="102">
        <f t="shared" si="191"/>
        <v>0</v>
      </c>
      <c r="G525" s="102">
        <f t="shared" si="191"/>
        <v>0</v>
      </c>
      <c r="H525" s="102">
        <f t="shared" si="191"/>
        <v>0</v>
      </c>
      <c r="I525" s="102">
        <f t="shared" si="191"/>
        <v>0</v>
      </c>
      <c r="J525" s="102">
        <f t="shared" si="191"/>
        <v>0</v>
      </c>
      <c r="K525" s="102">
        <f t="shared" si="191"/>
        <v>0</v>
      </c>
      <c r="L525" s="102">
        <f t="shared" si="191"/>
        <v>0</v>
      </c>
      <c r="M525" s="102">
        <f t="shared" si="191"/>
        <v>0</v>
      </c>
      <c r="N525" s="102">
        <f t="shared" si="191"/>
        <v>0</v>
      </c>
      <c r="O525" s="102">
        <f t="shared" si="191"/>
        <v>0</v>
      </c>
      <c r="P525" s="102">
        <f t="shared" si="191"/>
        <v>0</v>
      </c>
      <c r="Q525" s="102">
        <f t="shared" si="191"/>
        <v>0</v>
      </c>
      <c r="R525" s="102">
        <f t="shared" si="191"/>
        <v>0</v>
      </c>
      <c r="S525" s="102">
        <f t="shared" si="191"/>
        <v>0</v>
      </c>
      <c r="T525" s="102">
        <f t="shared" si="191"/>
        <v>0</v>
      </c>
      <c r="U525" s="102">
        <f t="shared" si="191"/>
        <v>0</v>
      </c>
      <c r="V525" s="102">
        <f t="shared" si="191"/>
        <v>0</v>
      </c>
      <c r="W525" s="102">
        <f t="shared" si="191"/>
        <v>0</v>
      </c>
      <c r="X525" s="102">
        <f t="shared" si="191"/>
        <v>0</v>
      </c>
      <c r="Y525" s="102">
        <f t="shared" si="191"/>
        <v>0</v>
      </c>
      <c r="Z525" s="102">
        <f t="shared" si="191"/>
        <v>0</v>
      </c>
      <c r="AA525" s="103"/>
      <c r="AB525" s="104"/>
      <c r="AC525" s="105"/>
    </row>
    <row r="526" ht="15.75" customHeight="1">
      <c r="A526" s="106" t="s">
        <v>50</v>
      </c>
      <c r="B526" s="107" t="str">
        <f t="shared" ref="B526:Z526" si="192">B525/COUNT(B18,B41,B64,B87,B110,B133,B156,B179,B202,B225,B248,B271,B294,B317,B340,B363,B386,B409,B432,B455,B478,B501)</f>
        <v>#DIV/0!</v>
      </c>
      <c r="C526" s="107" t="str">
        <f t="shared" si="192"/>
        <v>#DIV/0!</v>
      </c>
      <c r="D526" s="107" t="str">
        <f t="shared" si="192"/>
        <v>#DIV/0!</v>
      </c>
      <c r="E526" s="107" t="str">
        <f t="shared" si="192"/>
        <v>#DIV/0!</v>
      </c>
      <c r="F526" s="107" t="str">
        <f t="shared" si="192"/>
        <v>#DIV/0!</v>
      </c>
      <c r="G526" s="107" t="str">
        <f t="shared" si="192"/>
        <v>#DIV/0!</v>
      </c>
      <c r="H526" s="107" t="str">
        <f t="shared" si="192"/>
        <v>#DIV/0!</v>
      </c>
      <c r="I526" s="107" t="str">
        <f t="shared" si="192"/>
        <v>#DIV/0!</v>
      </c>
      <c r="J526" s="107" t="str">
        <f t="shared" si="192"/>
        <v>#DIV/0!</v>
      </c>
      <c r="K526" s="107" t="str">
        <f t="shared" si="192"/>
        <v>#DIV/0!</v>
      </c>
      <c r="L526" s="107" t="str">
        <f t="shared" si="192"/>
        <v>#DIV/0!</v>
      </c>
      <c r="M526" s="107" t="str">
        <f t="shared" si="192"/>
        <v>#DIV/0!</v>
      </c>
      <c r="N526" s="107" t="str">
        <f t="shared" si="192"/>
        <v>#DIV/0!</v>
      </c>
      <c r="O526" s="107" t="str">
        <f t="shared" si="192"/>
        <v>#DIV/0!</v>
      </c>
      <c r="P526" s="107" t="str">
        <f t="shared" si="192"/>
        <v>#DIV/0!</v>
      </c>
      <c r="Q526" s="107" t="str">
        <f t="shared" si="192"/>
        <v>#DIV/0!</v>
      </c>
      <c r="R526" s="107" t="str">
        <f t="shared" si="192"/>
        <v>#DIV/0!</v>
      </c>
      <c r="S526" s="107" t="str">
        <f t="shared" si="192"/>
        <v>#DIV/0!</v>
      </c>
      <c r="T526" s="107" t="str">
        <f t="shared" si="192"/>
        <v>#DIV/0!</v>
      </c>
      <c r="U526" s="107" t="str">
        <f t="shared" si="192"/>
        <v>#DIV/0!</v>
      </c>
      <c r="V526" s="107" t="str">
        <f t="shared" si="192"/>
        <v>#DIV/0!</v>
      </c>
      <c r="W526" s="107" t="str">
        <f t="shared" si="192"/>
        <v>#DIV/0!</v>
      </c>
      <c r="X526" s="107" t="str">
        <f t="shared" si="192"/>
        <v>#DIV/0!</v>
      </c>
      <c r="Y526" s="107" t="str">
        <f t="shared" si="192"/>
        <v>#DIV/0!</v>
      </c>
      <c r="Z526" s="107" t="str">
        <f t="shared" si="192"/>
        <v>#DIV/0!</v>
      </c>
      <c r="AA526" s="108" t="str">
        <f>round(AVERAGEif(B526:Z526, "&gt;0"),0)</f>
        <v>#DIV/0!</v>
      </c>
      <c r="AB526" s="109" t="s">
        <v>63</v>
      </c>
      <c r="AC526" s="110"/>
    </row>
    <row r="527" ht="15.75" customHeight="1">
      <c r="A527" s="111" t="s">
        <v>51</v>
      </c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3"/>
      <c r="AB527" s="114" t="s">
        <v>51</v>
      </c>
      <c r="AC527" s="113"/>
    </row>
    <row r="528" ht="15.75" customHeight="1">
      <c r="A528" s="115" t="s">
        <v>48</v>
      </c>
      <c r="B528" s="20">
        <f t="shared" ref="B528:Z528" si="193">B20+B43+B66+B89+B112+B135+B158+B181+B204+B227+B250+B273+B296+B319+B342+B365+B388+B411+B434+B457+B480+B503</f>
        <v>0</v>
      </c>
      <c r="C528" s="20">
        <f t="shared" si="193"/>
        <v>0</v>
      </c>
      <c r="D528" s="20">
        <f t="shared" si="193"/>
        <v>0</v>
      </c>
      <c r="E528" s="20">
        <f t="shared" si="193"/>
        <v>0</v>
      </c>
      <c r="F528" s="20">
        <f t="shared" si="193"/>
        <v>0</v>
      </c>
      <c r="G528" s="20">
        <f t="shared" si="193"/>
        <v>0</v>
      </c>
      <c r="H528" s="20">
        <f t="shared" si="193"/>
        <v>0</v>
      </c>
      <c r="I528" s="20">
        <f t="shared" si="193"/>
        <v>0</v>
      </c>
      <c r="J528" s="20">
        <f t="shared" si="193"/>
        <v>0</v>
      </c>
      <c r="K528" s="20">
        <f t="shared" si="193"/>
        <v>0</v>
      </c>
      <c r="L528" s="20">
        <f t="shared" si="193"/>
        <v>0</v>
      </c>
      <c r="M528" s="20">
        <f t="shared" si="193"/>
        <v>0</v>
      </c>
      <c r="N528" s="20">
        <f t="shared" si="193"/>
        <v>0</v>
      </c>
      <c r="O528" s="20">
        <f t="shared" si="193"/>
        <v>0</v>
      </c>
      <c r="P528" s="20">
        <f t="shared" si="193"/>
        <v>0</v>
      </c>
      <c r="Q528" s="20">
        <f t="shared" si="193"/>
        <v>0</v>
      </c>
      <c r="R528" s="20">
        <f t="shared" si="193"/>
        <v>0</v>
      </c>
      <c r="S528" s="20">
        <f t="shared" si="193"/>
        <v>0</v>
      </c>
      <c r="T528" s="20">
        <f t="shared" si="193"/>
        <v>0</v>
      </c>
      <c r="U528" s="20">
        <f t="shared" si="193"/>
        <v>0</v>
      </c>
      <c r="V528" s="20">
        <f t="shared" si="193"/>
        <v>0</v>
      </c>
      <c r="W528" s="20">
        <f t="shared" si="193"/>
        <v>0</v>
      </c>
      <c r="X528" s="20">
        <f t="shared" si="193"/>
        <v>0</v>
      </c>
      <c r="Y528" s="20">
        <f t="shared" si="193"/>
        <v>0</v>
      </c>
      <c r="Z528" s="20">
        <f t="shared" si="193"/>
        <v>0</v>
      </c>
      <c r="AA528" s="116">
        <f t="shared" ref="AA528:AA529" si="195">SUM(B528:Z528)</f>
        <v>0</v>
      </c>
      <c r="AB528" s="114" t="s">
        <v>64</v>
      </c>
      <c r="AC528" s="113"/>
    </row>
    <row r="529" ht="15.75" customHeight="1">
      <c r="A529" s="115" t="s">
        <v>49</v>
      </c>
      <c r="B529" s="20">
        <f t="shared" ref="B529:Z529" si="194">B21+B44+B67+B90+B113+B136+B159+B182+B205+B228+B251+B274+B297+B320+B343+B366+B389+B412+B435+B458+B481+B504</f>
        <v>0</v>
      </c>
      <c r="C529" s="20">
        <f t="shared" si="194"/>
        <v>0</v>
      </c>
      <c r="D529" s="20">
        <f t="shared" si="194"/>
        <v>0</v>
      </c>
      <c r="E529" s="20">
        <f t="shared" si="194"/>
        <v>0</v>
      </c>
      <c r="F529" s="20">
        <f t="shared" si="194"/>
        <v>0</v>
      </c>
      <c r="G529" s="20">
        <f t="shared" si="194"/>
        <v>0</v>
      </c>
      <c r="H529" s="20">
        <f t="shared" si="194"/>
        <v>0</v>
      </c>
      <c r="I529" s="20">
        <f t="shared" si="194"/>
        <v>0</v>
      </c>
      <c r="J529" s="20">
        <f t="shared" si="194"/>
        <v>0</v>
      </c>
      <c r="K529" s="20">
        <f t="shared" si="194"/>
        <v>0</v>
      </c>
      <c r="L529" s="20">
        <f t="shared" si="194"/>
        <v>0</v>
      </c>
      <c r="M529" s="20">
        <f t="shared" si="194"/>
        <v>0</v>
      </c>
      <c r="N529" s="20">
        <f t="shared" si="194"/>
        <v>0</v>
      </c>
      <c r="O529" s="20">
        <f t="shared" si="194"/>
        <v>0</v>
      </c>
      <c r="P529" s="20">
        <f t="shared" si="194"/>
        <v>0</v>
      </c>
      <c r="Q529" s="20">
        <f t="shared" si="194"/>
        <v>0</v>
      </c>
      <c r="R529" s="20">
        <f t="shared" si="194"/>
        <v>0</v>
      </c>
      <c r="S529" s="20">
        <f t="shared" si="194"/>
        <v>0</v>
      </c>
      <c r="T529" s="20">
        <f t="shared" si="194"/>
        <v>0</v>
      </c>
      <c r="U529" s="20">
        <f t="shared" si="194"/>
        <v>0</v>
      </c>
      <c r="V529" s="20">
        <f t="shared" si="194"/>
        <v>0</v>
      </c>
      <c r="W529" s="20">
        <f t="shared" si="194"/>
        <v>0</v>
      </c>
      <c r="X529" s="20">
        <f t="shared" si="194"/>
        <v>0</v>
      </c>
      <c r="Y529" s="20">
        <f t="shared" si="194"/>
        <v>0</v>
      </c>
      <c r="Z529" s="20">
        <f t="shared" si="194"/>
        <v>0</v>
      </c>
      <c r="AA529" s="116">
        <f t="shared" si="195"/>
        <v>0</v>
      </c>
      <c r="AB529" s="114" t="s">
        <v>65</v>
      </c>
      <c r="AC529" s="113"/>
    </row>
    <row r="530" ht="15.75" customHeight="1">
      <c r="A530" s="101" t="s">
        <v>62</v>
      </c>
      <c r="B530" s="102">
        <f t="shared" ref="B530:Z530" si="196">sum(B22,B45,B68,B91,B114,B137,B160,B183,B206,B229,B252,B275,B298,B321,B344,B367,B390,B413,B436,B459,B482,B505)</f>
        <v>0</v>
      </c>
      <c r="C530" s="102">
        <f t="shared" si="196"/>
        <v>0</v>
      </c>
      <c r="D530" s="102">
        <f t="shared" si="196"/>
        <v>0</v>
      </c>
      <c r="E530" s="102">
        <f t="shared" si="196"/>
        <v>0</v>
      </c>
      <c r="F530" s="102">
        <f t="shared" si="196"/>
        <v>0</v>
      </c>
      <c r="G530" s="102">
        <f t="shared" si="196"/>
        <v>0</v>
      </c>
      <c r="H530" s="102">
        <f t="shared" si="196"/>
        <v>0</v>
      </c>
      <c r="I530" s="102">
        <f t="shared" si="196"/>
        <v>0</v>
      </c>
      <c r="J530" s="102">
        <f t="shared" si="196"/>
        <v>0</v>
      </c>
      <c r="K530" s="102">
        <f t="shared" si="196"/>
        <v>0</v>
      </c>
      <c r="L530" s="102">
        <f t="shared" si="196"/>
        <v>0</v>
      </c>
      <c r="M530" s="102">
        <f t="shared" si="196"/>
        <v>0</v>
      </c>
      <c r="N530" s="102">
        <f t="shared" si="196"/>
        <v>0</v>
      </c>
      <c r="O530" s="102">
        <f t="shared" si="196"/>
        <v>0</v>
      </c>
      <c r="P530" s="102">
        <f t="shared" si="196"/>
        <v>0</v>
      </c>
      <c r="Q530" s="102">
        <f t="shared" si="196"/>
        <v>0</v>
      </c>
      <c r="R530" s="102">
        <f t="shared" si="196"/>
        <v>0</v>
      </c>
      <c r="S530" s="102">
        <f t="shared" si="196"/>
        <v>0</v>
      </c>
      <c r="T530" s="102">
        <f t="shared" si="196"/>
        <v>0</v>
      </c>
      <c r="U530" s="102">
        <f t="shared" si="196"/>
        <v>0</v>
      </c>
      <c r="V530" s="102">
        <f t="shared" si="196"/>
        <v>0</v>
      </c>
      <c r="W530" s="102">
        <f t="shared" si="196"/>
        <v>0</v>
      </c>
      <c r="X530" s="102">
        <f t="shared" si="196"/>
        <v>0</v>
      </c>
      <c r="Y530" s="102">
        <f t="shared" si="196"/>
        <v>0</v>
      </c>
      <c r="Z530" s="102">
        <f t="shared" si="196"/>
        <v>0</v>
      </c>
      <c r="AA530" s="105"/>
      <c r="AB530" s="104"/>
      <c r="AC530" s="105"/>
    </row>
    <row r="531" ht="15.75" customHeight="1">
      <c r="A531" s="115" t="s">
        <v>50</v>
      </c>
      <c r="B531" s="20" t="str">
        <f t="shared" ref="B531:Z531" si="197">B530/count(B22,B45,B68,B91,B114,B137,B160,B183,B206,B229,B252,B275,B298,B321,B344,B367,B390,B413,B436,B459,B482,B505)</f>
        <v>#DIV/0!</v>
      </c>
      <c r="C531" s="20" t="str">
        <f t="shared" si="197"/>
        <v>#DIV/0!</v>
      </c>
      <c r="D531" s="20" t="str">
        <f t="shared" si="197"/>
        <v>#DIV/0!</v>
      </c>
      <c r="E531" s="20" t="str">
        <f t="shared" si="197"/>
        <v>#DIV/0!</v>
      </c>
      <c r="F531" s="20" t="str">
        <f t="shared" si="197"/>
        <v>#DIV/0!</v>
      </c>
      <c r="G531" s="20" t="str">
        <f t="shared" si="197"/>
        <v>#DIV/0!</v>
      </c>
      <c r="H531" s="20" t="str">
        <f t="shared" si="197"/>
        <v>#DIV/0!</v>
      </c>
      <c r="I531" s="20" t="str">
        <f t="shared" si="197"/>
        <v>#DIV/0!</v>
      </c>
      <c r="J531" s="20" t="str">
        <f t="shared" si="197"/>
        <v>#DIV/0!</v>
      </c>
      <c r="K531" s="20" t="str">
        <f t="shared" si="197"/>
        <v>#DIV/0!</v>
      </c>
      <c r="L531" s="20" t="str">
        <f t="shared" si="197"/>
        <v>#DIV/0!</v>
      </c>
      <c r="M531" s="20" t="str">
        <f t="shared" si="197"/>
        <v>#DIV/0!</v>
      </c>
      <c r="N531" s="20" t="str">
        <f t="shared" si="197"/>
        <v>#DIV/0!</v>
      </c>
      <c r="O531" s="20" t="str">
        <f t="shared" si="197"/>
        <v>#DIV/0!</v>
      </c>
      <c r="P531" s="20" t="str">
        <f t="shared" si="197"/>
        <v>#DIV/0!</v>
      </c>
      <c r="Q531" s="20" t="str">
        <f t="shared" si="197"/>
        <v>#DIV/0!</v>
      </c>
      <c r="R531" s="20" t="str">
        <f t="shared" si="197"/>
        <v>#DIV/0!</v>
      </c>
      <c r="S531" s="20" t="str">
        <f t="shared" si="197"/>
        <v>#DIV/0!</v>
      </c>
      <c r="T531" s="20" t="str">
        <f t="shared" si="197"/>
        <v>#DIV/0!</v>
      </c>
      <c r="U531" s="20" t="str">
        <f t="shared" si="197"/>
        <v>#DIV/0!</v>
      </c>
      <c r="V531" s="20" t="str">
        <f t="shared" si="197"/>
        <v>#DIV/0!</v>
      </c>
      <c r="W531" s="20" t="str">
        <f t="shared" si="197"/>
        <v>#DIV/0!</v>
      </c>
      <c r="X531" s="20" t="str">
        <f t="shared" si="197"/>
        <v>#DIV/0!</v>
      </c>
      <c r="Y531" s="20" t="str">
        <f t="shared" si="197"/>
        <v>#DIV/0!</v>
      </c>
      <c r="Z531" s="20" t="str">
        <f t="shared" si="197"/>
        <v>#DIV/0!</v>
      </c>
      <c r="AA531" s="116" t="str">
        <f>round(AVERAGEif(B531:Z531, "&gt;0"),0)</f>
        <v>#DIV/0!</v>
      </c>
      <c r="AB531" s="114" t="s">
        <v>63</v>
      </c>
      <c r="AC531" s="113"/>
    </row>
    <row r="532" ht="15.75" customHeight="1">
      <c r="A532" s="117" t="s">
        <v>53</v>
      </c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9"/>
      <c r="AB532" s="120" t="s">
        <v>53</v>
      </c>
      <c r="AC532" s="119"/>
    </row>
    <row r="533" ht="15.75" customHeight="1">
      <c r="A533" s="97" t="s">
        <v>48</v>
      </c>
      <c r="B533" s="98">
        <f t="shared" ref="B533:Z533" si="198">B24+B47+B70+B93+B116+B139+B162+B185+B208+B231+B254+B277+B300+B323+B346+B369+B392+B415+B438+B461+B484+B507</f>
        <v>0</v>
      </c>
      <c r="C533" s="98">
        <f t="shared" si="198"/>
        <v>0</v>
      </c>
      <c r="D533" s="98">
        <f t="shared" si="198"/>
        <v>0</v>
      </c>
      <c r="E533" s="98">
        <f t="shared" si="198"/>
        <v>0</v>
      </c>
      <c r="F533" s="98">
        <f t="shared" si="198"/>
        <v>0</v>
      </c>
      <c r="G533" s="98">
        <f t="shared" si="198"/>
        <v>0</v>
      </c>
      <c r="H533" s="98">
        <f t="shared" si="198"/>
        <v>0</v>
      </c>
      <c r="I533" s="98">
        <f t="shared" si="198"/>
        <v>0</v>
      </c>
      <c r="J533" s="98">
        <f t="shared" si="198"/>
        <v>0</v>
      </c>
      <c r="K533" s="98">
        <f t="shared" si="198"/>
        <v>0</v>
      </c>
      <c r="L533" s="98">
        <f t="shared" si="198"/>
        <v>0</v>
      </c>
      <c r="M533" s="98">
        <f t="shared" si="198"/>
        <v>0</v>
      </c>
      <c r="N533" s="98">
        <f t="shared" si="198"/>
        <v>0</v>
      </c>
      <c r="O533" s="98">
        <f t="shared" si="198"/>
        <v>0</v>
      </c>
      <c r="P533" s="98">
        <f t="shared" si="198"/>
        <v>0</v>
      </c>
      <c r="Q533" s="98">
        <f t="shared" si="198"/>
        <v>0</v>
      </c>
      <c r="R533" s="98">
        <f t="shared" si="198"/>
        <v>0</v>
      </c>
      <c r="S533" s="98">
        <f t="shared" si="198"/>
        <v>0</v>
      </c>
      <c r="T533" s="98">
        <f t="shared" si="198"/>
        <v>0</v>
      </c>
      <c r="U533" s="98">
        <f t="shared" si="198"/>
        <v>0</v>
      </c>
      <c r="V533" s="98">
        <f t="shared" si="198"/>
        <v>0</v>
      </c>
      <c r="W533" s="98">
        <f t="shared" si="198"/>
        <v>0</v>
      </c>
      <c r="X533" s="98">
        <f t="shared" si="198"/>
        <v>0</v>
      </c>
      <c r="Y533" s="98">
        <f t="shared" si="198"/>
        <v>0</v>
      </c>
      <c r="Z533" s="98">
        <f t="shared" si="198"/>
        <v>0</v>
      </c>
      <c r="AA533" s="121">
        <f t="shared" ref="AA533:AA534" si="200">SUM(B533:Z533)</f>
        <v>0</v>
      </c>
      <c r="AB533" s="120" t="s">
        <v>66</v>
      </c>
      <c r="AC533" s="119"/>
    </row>
    <row r="534" ht="15.75" customHeight="1">
      <c r="A534" s="97" t="s">
        <v>49</v>
      </c>
      <c r="B534" s="98">
        <f t="shared" ref="B534:Z534" si="199">B25+B48+B71+B94+B117+B140+B163+B186+B209+B232+B255+B278+B301+B324+B347+B370+B393+B416+B439+B462+B485+B508</f>
        <v>0</v>
      </c>
      <c r="C534" s="98">
        <f t="shared" si="199"/>
        <v>0</v>
      </c>
      <c r="D534" s="98">
        <f t="shared" si="199"/>
        <v>0</v>
      </c>
      <c r="E534" s="98">
        <f t="shared" si="199"/>
        <v>0</v>
      </c>
      <c r="F534" s="98">
        <f t="shared" si="199"/>
        <v>0</v>
      </c>
      <c r="G534" s="98">
        <f t="shared" si="199"/>
        <v>0</v>
      </c>
      <c r="H534" s="98">
        <f t="shared" si="199"/>
        <v>0</v>
      </c>
      <c r="I534" s="98">
        <f t="shared" si="199"/>
        <v>0</v>
      </c>
      <c r="J534" s="98">
        <f t="shared" si="199"/>
        <v>0</v>
      </c>
      <c r="K534" s="98">
        <f t="shared" si="199"/>
        <v>0</v>
      </c>
      <c r="L534" s="98">
        <f t="shared" si="199"/>
        <v>0</v>
      </c>
      <c r="M534" s="98">
        <f t="shared" si="199"/>
        <v>0</v>
      </c>
      <c r="N534" s="98">
        <f t="shared" si="199"/>
        <v>0</v>
      </c>
      <c r="O534" s="98">
        <f t="shared" si="199"/>
        <v>0</v>
      </c>
      <c r="P534" s="98">
        <f t="shared" si="199"/>
        <v>0</v>
      </c>
      <c r="Q534" s="98">
        <f t="shared" si="199"/>
        <v>0</v>
      </c>
      <c r="R534" s="98">
        <f t="shared" si="199"/>
        <v>0</v>
      </c>
      <c r="S534" s="98">
        <f t="shared" si="199"/>
        <v>0</v>
      </c>
      <c r="T534" s="98">
        <f t="shared" si="199"/>
        <v>0</v>
      </c>
      <c r="U534" s="98">
        <f t="shared" si="199"/>
        <v>0</v>
      </c>
      <c r="V534" s="98">
        <f t="shared" si="199"/>
        <v>0</v>
      </c>
      <c r="W534" s="98">
        <f t="shared" si="199"/>
        <v>0</v>
      </c>
      <c r="X534" s="98">
        <f t="shared" si="199"/>
        <v>0</v>
      </c>
      <c r="Y534" s="98">
        <f t="shared" si="199"/>
        <v>0</v>
      </c>
      <c r="Z534" s="98">
        <f t="shared" si="199"/>
        <v>0</v>
      </c>
      <c r="AA534" s="121">
        <f t="shared" si="200"/>
        <v>0</v>
      </c>
      <c r="AB534" s="120" t="s">
        <v>67</v>
      </c>
      <c r="AC534" s="119"/>
    </row>
    <row r="535" ht="15.75" customHeight="1">
      <c r="A535" s="122" t="s">
        <v>62</v>
      </c>
      <c r="B535" s="123">
        <f t="shared" ref="B535:Z535" si="201">sum(B26,B49,B72,B95,B118,B141,B164,B187,B210,B233,B256,B279,B302,B325,B348,B371,B394,B417,B440,B463,B486,B509)</f>
        <v>0</v>
      </c>
      <c r="C535" s="123">
        <f t="shared" si="201"/>
        <v>0</v>
      </c>
      <c r="D535" s="123">
        <f t="shared" si="201"/>
        <v>0</v>
      </c>
      <c r="E535" s="123">
        <f t="shared" si="201"/>
        <v>0</v>
      </c>
      <c r="F535" s="123">
        <f t="shared" si="201"/>
        <v>0</v>
      </c>
      <c r="G535" s="123">
        <f t="shared" si="201"/>
        <v>0</v>
      </c>
      <c r="H535" s="123">
        <f t="shared" si="201"/>
        <v>0</v>
      </c>
      <c r="I535" s="123">
        <f t="shared" si="201"/>
        <v>0</v>
      </c>
      <c r="J535" s="123">
        <f t="shared" si="201"/>
        <v>0</v>
      </c>
      <c r="K535" s="123">
        <f t="shared" si="201"/>
        <v>0</v>
      </c>
      <c r="L535" s="123">
        <f t="shared" si="201"/>
        <v>0</v>
      </c>
      <c r="M535" s="123">
        <f t="shared" si="201"/>
        <v>0</v>
      </c>
      <c r="N535" s="123">
        <f t="shared" si="201"/>
        <v>0</v>
      </c>
      <c r="O535" s="123">
        <f t="shared" si="201"/>
        <v>0</v>
      </c>
      <c r="P535" s="123">
        <f t="shared" si="201"/>
        <v>0</v>
      </c>
      <c r="Q535" s="123">
        <f t="shared" si="201"/>
        <v>0</v>
      </c>
      <c r="R535" s="123">
        <f t="shared" si="201"/>
        <v>0</v>
      </c>
      <c r="S535" s="123">
        <f t="shared" si="201"/>
        <v>0</v>
      </c>
      <c r="T535" s="123">
        <f t="shared" si="201"/>
        <v>0</v>
      </c>
      <c r="U535" s="123">
        <f t="shared" si="201"/>
        <v>0</v>
      </c>
      <c r="V535" s="123">
        <f t="shared" si="201"/>
        <v>0</v>
      </c>
      <c r="W535" s="123">
        <f t="shared" si="201"/>
        <v>0</v>
      </c>
      <c r="X535" s="123">
        <f t="shared" si="201"/>
        <v>0</v>
      </c>
      <c r="Y535" s="123">
        <f t="shared" si="201"/>
        <v>0</v>
      </c>
      <c r="Z535" s="123">
        <f t="shared" si="201"/>
        <v>0</v>
      </c>
      <c r="AA535" s="124"/>
      <c r="AB535" s="124"/>
      <c r="AC535" s="122"/>
    </row>
    <row r="536" ht="15.75" customHeight="1">
      <c r="A536" s="106" t="s">
        <v>50</v>
      </c>
      <c r="B536" s="107" t="str">
        <f t="shared" ref="B536:Z536" si="202">B535/count(B26,B49,B72,B95,B118,B141,B164,B187,B210,B233,B256,B279,B302,B325,B348,B371,B394,B417,B440,B463,B486,B509)</f>
        <v>#DIV/0!</v>
      </c>
      <c r="C536" s="107" t="str">
        <f t="shared" si="202"/>
        <v>#DIV/0!</v>
      </c>
      <c r="D536" s="107" t="str">
        <f t="shared" si="202"/>
        <v>#DIV/0!</v>
      </c>
      <c r="E536" s="107" t="str">
        <f t="shared" si="202"/>
        <v>#DIV/0!</v>
      </c>
      <c r="F536" s="107" t="str">
        <f t="shared" si="202"/>
        <v>#DIV/0!</v>
      </c>
      <c r="G536" s="107" t="str">
        <f t="shared" si="202"/>
        <v>#DIV/0!</v>
      </c>
      <c r="H536" s="107" t="str">
        <f t="shared" si="202"/>
        <v>#DIV/0!</v>
      </c>
      <c r="I536" s="107" t="str">
        <f t="shared" si="202"/>
        <v>#DIV/0!</v>
      </c>
      <c r="J536" s="107" t="str">
        <f t="shared" si="202"/>
        <v>#DIV/0!</v>
      </c>
      <c r="K536" s="107" t="str">
        <f t="shared" si="202"/>
        <v>#DIV/0!</v>
      </c>
      <c r="L536" s="107" t="str">
        <f t="shared" si="202"/>
        <v>#DIV/0!</v>
      </c>
      <c r="M536" s="107" t="str">
        <f t="shared" si="202"/>
        <v>#DIV/0!</v>
      </c>
      <c r="N536" s="107" t="str">
        <f t="shared" si="202"/>
        <v>#DIV/0!</v>
      </c>
      <c r="O536" s="107" t="str">
        <f t="shared" si="202"/>
        <v>#DIV/0!</v>
      </c>
      <c r="P536" s="107" t="str">
        <f t="shared" si="202"/>
        <v>#DIV/0!</v>
      </c>
      <c r="Q536" s="107" t="str">
        <f t="shared" si="202"/>
        <v>#DIV/0!</v>
      </c>
      <c r="R536" s="107" t="str">
        <f t="shared" si="202"/>
        <v>#DIV/0!</v>
      </c>
      <c r="S536" s="107" t="str">
        <f t="shared" si="202"/>
        <v>#DIV/0!</v>
      </c>
      <c r="T536" s="107" t="str">
        <f t="shared" si="202"/>
        <v>#DIV/0!</v>
      </c>
      <c r="U536" s="107" t="str">
        <f t="shared" si="202"/>
        <v>#DIV/0!</v>
      </c>
      <c r="V536" s="107" t="str">
        <f t="shared" si="202"/>
        <v>#DIV/0!</v>
      </c>
      <c r="W536" s="107" t="str">
        <f t="shared" si="202"/>
        <v>#DIV/0!</v>
      </c>
      <c r="X536" s="107" t="str">
        <f t="shared" si="202"/>
        <v>#DIV/0!</v>
      </c>
      <c r="Y536" s="107" t="str">
        <f t="shared" si="202"/>
        <v>#DIV/0!</v>
      </c>
      <c r="Z536" s="107" t="str">
        <f t="shared" si="202"/>
        <v>#DIV/0!</v>
      </c>
      <c r="AA536" s="125" t="str">
        <f>round(AVERAGEif(B536:Z536, "&gt;0"),0)</f>
        <v>#DIV/0!</v>
      </c>
      <c r="AB536" s="126" t="s">
        <v>63</v>
      </c>
      <c r="AC536" s="127"/>
    </row>
  </sheetData>
  <mergeCells count="78">
    <mergeCell ref="A222:Z222"/>
    <mergeCell ref="A226:Z226"/>
    <mergeCell ref="A230:Z230"/>
    <mergeCell ref="A245:Z245"/>
    <mergeCell ref="A249:Z249"/>
    <mergeCell ref="A253:Z253"/>
    <mergeCell ref="A268:Z268"/>
    <mergeCell ref="A272:Z272"/>
    <mergeCell ref="A276:Z276"/>
    <mergeCell ref="A291:Z291"/>
    <mergeCell ref="A295:Z295"/>
    <mergeCell ref="A299:Z299"/>
    <mergeCell ref="A314:Z314"/>
    <mergeCell ref="A318:Z318"/>
    <mergeCell ref="A322:Z322"/>
    <mergeCell ref="A337:Z337"/>
    <mergeCell ref="A341:Z341"/>
    <mergeCell ref="A345:Z345"/>
    <mergeCell ref="A360:Z360"/>
    <mergeCell ref="A364:Z364"/>
    <mergeCell ref="A368:Z368"/>
    <mergeCell ref="A383:Z383"/>
    <mergeCell ref="A387:Z387"/>
    <mergeCell ref="A391:Z391"/>
    <mergeCell ref="A406:Z406"/>
    <mergeCell ref="A410:Z410"/>
    <mergeCell ref="A414:Z414"/>
    <mergeCell ref="A429:Z429"/>
    <mergeCell ref="A483:Z483"/>
    <mergeCell ref="A498:Z498"/>
    <mergeCell ref="A502:Z502"/>
    <mergeCell ref="A506:Z506"/>
    <mergeCell ref="A433:Z433"/>
    <mergeCell ref="A437:Z437"/>
    <mergeCell ref="A452:Z452"/>
    <mergeCell ref="A456:Z456"/>
    <mergeCell ref="A460:Z460"/>
    <mergeCell ref="A475:Z475"/>
    <mergeCell ref="A479:Z479"/>
    <mergeCell ref="Q2:R2"/>
    <mergeCell ref="S2:T2"/>
    <mergeCell ref="U2:V2"/>
    <mergeCell ref="W2:Y2"/>
    <mergeCell ref="A1:AB1"/>
    <mergeCell ref="C2:D2"/>
    <mergeCell ref="E2:F2"/>
    <mergeCell ref="G2:H2"/>
    <mergeCell ref="I2:J2"/>
    <mergeCell ref="K2:L2"/>
    <mergeCell ref="M2:P2"/>
    <mergeCell ref="A4:AB4"/>
    <mergeCell ref="A15:Z15"/>
    <mergeCell ref="A19:Z19"/>
    <mergeCell ref="A23:Z23"/>
    <mergeCell ref="A38:Z38"/>
    <mergeCell ref="A42:Z42"/>
    <mergeCell ref="A46:Z46"/>
    <mergeCell ref="A61:Z61"/>
    <mergeCell ref="A65:Z65"/>
    <mergeCell ref="A69:Z69"/>
    <mergeCell ref="A84:Z84"/>
    <mergeCell ref="A88:Z88"/>
    <mergeCell ref="A92:Z92"/>
    <mergeCell ref="A107:Z107"/>
    <mergeCell ref="A111:Z111"/>
    <mergeCell ref="A115:Z115"/>
    <mergeCell ref="A130:Z130"/>
    <mergeCell ref="A134:Z134"/>
    <mergeCell ref="A138:Z138"/>
    <mergeCell ref="A153:Z153"/>
    <mergeCell ref="A157:Z157"/>
    <mergeCell ref="A161:Z161"/>
    <mergeCell ref="A176:Z176"/>
    <mergeCell ref="A180:Z180"/>
    <mergeCell ref="A184:Z184"/>
    <mergeCell ref="A199:Z199"/>
    <mergeCell ref="A203:Z203"/>
    <mergeCell ref="A207:Z207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27.14"/>
    <col customWidth="1" min="4" max="4" width="11.0"/>
    <col customWidth="1" min="5" max="5" width="26.57"/>
    <col customWidth="1" min="7" max="7" width="9.86"/>
    <col customWidth="1" min="8" max="8" width="26.14"/>
    <col customWidth="1" min="10" max="10" width="9.86"/>
    <col customWidth="1" min="11" max="11" width="26.14"/>
    <col customWidth="1" min="13" max="13" width="9.71"/>
    <col customWidth="1" min="14" max="14" width="26.0"/>
    <col customWidth="1" min="16" max="16" width="9.29"/>
    <col customWidth="1" min="17" max="17" width="27.0"/>
    <col customWidth="1" min="19" max="19" width="9.43"/>
    <col customWidth="1" min="20" max="20" width="29.0"/>
    <col customWidth="1" min="21" max="21" width="11.14"/>
    <col customWidth="1" min="22" max="22" width="9.43"/>
    <col customWidth="1" min="23" max="23" width="28.29"/>
    <col customWidth="1" min="24" max="24" width="12.0"/>
    <col customWidth="1" min="25" max="25" width="9.43"/>
    <col customWidth="1" min="26" max="26" width="26.71"/>
  </cols>
  <sheetData>
    <row r="1">
      <c r="A1" s="198"/>
      <c r="B1" s="198" t="s">
        <v>79</v>
      </c>
      <c r="C1" s="2"/>
      <c r="D1" s="2"/>
      <c r="E1" s="199" t="s">
        <v>80</v>
      </c>
      <c r="F1" s="2"/>
      <c r="G1" s="2"/>
      <c r="H1" s="200" t="s">
        <v>81</v>
      </c>
      <c r="I1" s="2"/>
      <c r="J1" s="2"/>
      <c r="K1" s="199" t="s">
        <v>82</v>
      </c>
      <c r="L1" s="2"/>
      <c r="M1" s="2"/>
      <c r="N1" s="200" t="s">
        <v>83</v>
      </c>
      <c r="O1" s="2"/>
      <c r="P1" s="2"/>
      <c r="Q1" s="200" t="s">
        <v>84</v>
      </c>
      <c r="R1" s="2"/>
      <c r="S1" s="2"/>
      <c r="T1" s="200" t="s">
        <v>85</v>
      </c>
      <c r="U1" s="2"/>
      <c r="V1" s="2"/>
      <c r="W1" s="200" t="s">
        <v>86</v>
      </c>
      <c r="X1" s="2"/>
      <c r="Y1" s="2"/>
      <c r="Z1" s="199" t="s">
        <v>87</v>
      </c>
      <c r="AA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01"/>
    </row>
    <row r="3">
      <c r="A3" s="202"/>
      <c r="B3" s="203" t="s">
        <v>88</v>
      </c>
      <c r="C3" s="204">
        <v>63.0</v>
      </c>
      <c r="D3" s="205"/>
      <c r="E3" s="203" t="s">
        <v>88</v>
      </c>
      <c r="F3" s="204">
        <v>69.0</v>
      </c>
      <c r="G3" s="206"/>
      <c r="H3" s="203" t="s">
        <v>88</v>
      </c>
      <c r="I3" s="204">
        <v>50.0</v>
      </c>
      <c r="J3" s="206"/>
      <c r="K3" s="203" t="s">
        <v>88</v>
      </c>
      <c r="L3" s="204">
        <v>83.0</v>
      </c>
      <c r="M3" s="205"/>
      <c r="N3" s="203" t="s">
        <v>88</v>
      </c>
      <c r="O3" s="204">
        <v>55.0</v>
      </c>
      <c r="P3" s="205"/>
      <c r="Q3" s="203" t="s">
        <v>88</v>
      </c>
      <c r="R3" s="204">
        <v>77.0</v>
      </c>
      <c r="S3" s="206"/>
      <c r="T3" s="203" t="s">
        <v>88</v>
      </c>
      <c r="U3" s="204">
        <v>67.0</v>
      </c>
      <c r="V3" s="206"/>
      <c r="W3" s="203" t="s">
        <v>88</v>
      </c>
      <c r="X3" s="204"/>
      <c r="Y3" s="206"/>
      <c r="Z3" s="203" t="s">
        <v>88</v>
      </c>
      <c r="AA3" s="207">
        <f t="shared" ref="AA3:AA6" si="1">AVERAGE(C3,F3,I3,L3,O3,R3,U3,X3)</f>
        <v>66.28571429</v>
      </c>
    </row>
    <row r="4">
      <c r="A4" s="202"/>
      <c r="B4" s="203" t="s">
        <v>89</v>
      </c>
      <c r="C4" s="204">
        <v>86.0</v>
      </c>
      <c r="D4" s="205"/>
      <c r="E4" s="203" t="s">
        <v>89</v>
      </c>
      <c r="F4" s="204">
        <v>85.0</v>
      </c>
      <c r="G4" s="206"/>
      <c r="H4" s="203" t="s">
        <v>89</v>
      </c>
      <c r="I4" s="204">
        <v>76.0</v>
      </c>
      <c r="J4" s="206"/>
      <c r="K4" s="203" t="s">
        <v>89</v>
      </c>
      <c r="L4" s="204">
        <v>95.0</v>
      </c>
      <c r="M4" s="205"/>
      <c r="N4" s="203" t="s">
        <v>89</v>
      </c>
      <c r="O4" s="204">
        <v>77.0</v>
      </c>
      <c r="P4" s="205"/>
      <c r="Q4" s="203" t="s">
        <v>89</v>
      </c>
      <c r="R4" s="204">
        <v>85.0</v>
      </c>
      <c r="S4" s="206"/>
      <c r="T4" s="203" t="s">
        <v>89</v>
      </c>
      <c r="U4" s="204">
        <v>84.0</v>
      </c>
      <c r="V4" s="206"/>
      <c r="W4" s="203" t="s">
        <v>89</v>
      </c>
      <c r="X4" s="204"/>
      <c r="Y4" s="206"/>
      <c r="Z4" s="203" t="s">
        <v>89</v>
      </c>
      <c r="AA4" s="207">
        <f t="shared" si="1"/>
        <v>84</v>
      </c>
    </row>
    <row r="5">
      <c r="A5" s="202"/>
      <c r="B5" s="203" t="s">
        <v>90</v>
      </c>
      <c r="C5" s="204">
        <v>68.0</v>
      </c>
      <c r="D5" s="205"/>
      <c r="E5" s="203" t="s">
        <v>90</v>
      </c>
      <c r="F5" s="204">
        <v>60.0</v>
      </c>
      <c r="G5" s="206"/>
      <c r="H5" s="203" t="s">
        <v>90</v>
      </c>
      <c r="I5" s="208">
        <v>57.0</v>
      </c>
      <c r="J5" s="206"/>
      <c r="K5" s="203" t="s">
        <v>90</v>
      </c>
      <c r="L5" s="204">
        <v>76.0</v>
      </c>
      <c r="M5" s="205"/>
      <c r="N5" s="203" t="s">
        <v>90</v>
      </c>
      <c r="O5" s="204">
        <v>54.0</v>
      </c>
      <c r="P5" s="205"/>
      <c r="Q5" s="203" t="s">
        <v>90</v>
      </c>
      <c r="R5" s="204">
        <v>71.0</v>
      </c>
      <c r="S5" s="206"/>
      <c r="T5" s="203" t="s">
        <v>90</v>
      </c>
      <c r="U5" s="204">
        <v>63.0</v>
      </c>
      <c r="V5" s="206"/>
      <c r="W5" s="203" t="s">
        <v>90</v>
      </c>
      <c r="X5" s="204"/>
      <c r="Y5" s="206"/>
      <c r="Z5" s="203" t="s">
        <v>90</v>
      </c>
      <c r="AA5" s="207">
        <f t="shared" si="1"/>
        <v>64.14285714</v>
      </c>
    </row>
    <row r="6">
      <c r="A6" s="202"/>
      <c r="B6" s="203" t="s">
        <v>91</v>
      </c>
      <c r="C6" s="204">
        <v>73.0</v>
      </c>
      <c r="D6" s="205"/>
      <c r="E6" s="203" t="s">
        <v>91</v>
      </c>
      <c r="F6" s="204">
        <v>92.0</v>
      </c>
      <c r="G6" s="206"/>
      <c r="H6" s="203" t="s">
        <v>91</v>
      </c>
      <c r="I6" s="208">
        <v>84.0</v>
      </c>
      <c r="J6" s="206"/>
      <c r="K6" s="203" t="s">
        <v>91</v>
      </c>
      <c r="L6" s="204">
        <v>76.0</v>
      </c>
      <c r="M6" s="205"/>
      <c r="N6" s="203" t="s">
        <v>91</v>
      </c>
      <c r="O6" s="204">
        <v>54.0</v>
      </c>
      <c r="P6" s="205"/>
      <c r="Q6" s="203" t="s">
        <v>91</v>
      </c>
      <c r="R6" s="204">
        <v>52.0</v>
      </c>
      <c r="S6" s="206"/>
      <c r="T6" s="203" t="s">
        <v>91</v>
      </c>
      <c r="U6" s="204">
        <v>58.0</v>
      </c>
      <c r="V6" s="206"/>
      <c r="W6" s="203" t="s">
        <v>91</v>
      </c>
      <c r="X6" s="204"/>
      <c r="Y6" s="206"/>
      <c r="Z6" s="203" t="s">
        <v>91</v>
      </c>
      <c r="AA6" s="207">
        <f t="shared" si="1"/>
        <v>69.85714286</v>
      </c>
    </row>
    <row r="7">
      <c r="A7" s="2"/>
      <c r="B7" s="112"/>
      <c r="C7" s="209"/>
      <c r="D7" s="205"/>
      <c r="E7" s="112"/>
      <c r="F7" s="209"/>
      <c r="G7" s="206"/>
      <c r="H7" s="112"/>
      <c r="I7" s="2"/>
      <c r="J7" s="206"/>
      <c r="K7" s="112"/>
      <c r="L7" s="209"/>
      <c r="M7" s="205"/>
      <c r="N7" s="112"/>
      <c r="O7" s="209"/>
      <c r="P7" s="205"/>
      <c r="Q7" s="112"/>
      <c r="R7" s="209"/>
      <c r="S7" s="206"/>
      <c r="T7" s="112"/>
      <c r="U7" s="209"/>
      <c r="V7" s="206"/>
      <c r="W7" s="112"/>
      <c r="X7" s="209"/>
      <c r="Y7" s="206"/>
      <c r="Z7" s="112"/>
      <c r="AA7" s="207"/>
    </row>
    <row r="8">
      <c r="A8" s="202"/>
      <c r="B8" s="210" t="s">
        <v>92</v>
      </c>
      <c r="C8" s="204">
        <v>73.0</v>
      </c>
      <c r="D8" s="205"/>
      <c r="E8" s="210" t="s">
        <v>92</v>
      </c>
      <c r="F8" s="204">
        <v>77.0</v>
      </c>
      <c r="G8" s="206"/>
      <c r="H8" s="210" t="s">
        <v>92</v>
      </c>
      <c r="I8" s="208">
        <v>67.0</v>
      </c>
      <c r="J8" s="206"/>
      <c r="K8" s="210" t="s">
        <v>92</v>
      </c>
      <c r="L8" s="204">
        <v>82.0</v>
      </c>
      <c r="M8" s="205"/>
      <c r="N8" s="210" t="s">
        <v>92</v>
      </c>
      <c r="O8" s="204">
        <v>60.0</v>
      </c>
      <c r="P8" s="205"/>
      <c r="Q8" s="210" t="s">
        <v>92</v>
      </c>
      <c r="R8" s="204">
        <v>71.0</v>
      </c>
      <c r="S8" s="206"/>
      <c r="T8" s="210" t="s">
        <v>92</v>
      </c>
      <c r="U8" s="204">
        <v>68.0</v>
      </c>
      <c r="V8" s="206"/>
      <c r="W8" s="210" t="s">
        <v>92</v>
      </c>
      <c r="X8" s="204"/>
      <c r="Y8" s="206"/>
      <c r="Z8" s="210" t="s">
        <v>92</v>
      </c>
      <c r="AA8" s="207">
        <f>AVERAGE(C8,F8,I8,L8,O8,R8,U8,X8)</f>
        <v>71.14285714</v>
      </c>
    </row>
    <row r="9">
      <c r="A9" s="211"/>
      <c r="B9" s="212" t="s">
        <v>93</v>
      </c>
      <c r="C9" s="105"/>
      <c r="D9" s="205"/>
      <c r="E9" s="212" t="s">
        <v>93</v>
      </c>
      <c r="F9" s="105"/>
      <c r="G9" s="206"/>
      <c r="H9" s="212" t="s">
        <v>93</v>
      </c>
      <c r="I9" s="105"/>
      <c r="J9" s="213"/>
      <c r="K9" s="212" t="s">
        <v>93</v>
      </c>
      <c r="L9" s="105"/>
      <c r="M9" s="2"/>
      <c r="N9" s="212" t="s">
        <v>93</v>
      </c>
      <c r="O9" s="105"/>
      <c r="P9" s="2"/>
      <c r="Q9" s="212" t="s">
        <v>93</v>
      </c>
      <c r="R9" s="105"/>
      <c r="S9" s="213"/>
      <c r="T9" s="212" t="s">
        <v>93</v>
      </c>
      <c r="U9" s="105"/>
      <c r="V9" s="213"/>
      <c r="W9" s="212" t="s">
        <v>93</v>
      </c>
      <c r="X9" s="105"/>
      <c r="Y9" s="213"/>
      <c r="Z9" s="214" t="s">
        <v>94</v>
      </c>
      <c r="AA9" s="105"/>
    </row>
    <row r="10">
      <c r="A10" s="215"/>
      <c r="B10" s="216" t="s">
        <v>95</v>
      </c>
      <c r="C10" s="204">
        <v>1575.0</v>
      </c>
      <c r="D10" s="205"/>
      <c r="E10" s="216" t="s">
        <v>95</v>
      </c>
      <c r="F10" s="204">
        <v>840.0</v>
      </c>
      <c r="G10" s="206"/>
      <c r="H10" s="216" t="s">
        <v>95</v>
      </c>
      <c r="I10" s="208">
        <v>1120.0</v>
      </c>
      <c r="J10" s="213"/>
      <c r="K10" s="216" t="s">
        <v>95</v>
      </c>
      <c r="L10" s="208">
        <v>220.0</v>
      </c>
      <c r="M10" s="2"/>
      <c r="N10" s="216" t="s">
        <v>95</v>
      </c>
      <c r="O10" s="208">
        <v>552.0</v>
      </c>
      <c r="P10" s="2"/>
      <c r="Q10" s="216" t="s">
        <v>95</v>
      </c>
      <c r="R10" s="208">
        <v>243.0</v>
      </c>
      <c r="S10" s="213"/>
      <c r="T10" s="216" t="s">
        <v>95</v>
      </c>
      <c r="U10" s="208">
        <v>360.0</v>
      </c>
      <c r="V10" s="213"/>
      <c r="W10" s="216" t="s">
        <v>95</v>
      </c>
      <c r="X10" s="208"/>
      <c r="Y10" s="213"/>
      <c r="Z10" s="216" t="s">
        <v>95</v>
      </c>
      <c r="AA10" s="207">
        <f t="shared" ref="AA10:AA11" si="2">AVERAGE(C10,F10,I10,L10,O10,R10,U10,X10)</f>
        <v>701.4285714</v>
      </c>
    </row>
    <row r="11">
      <c r="A11" s="217"/>
      <c r="B11" s="218" t="s">
        <v>96</v>
      </c>
      <c r="C11" s="204">
        <v>107.0</v>
      </c>
      <c r="D11" s="205"/>
      <c r="E11" s="218" t="s">
        <v>96</v>
      </c>
      <c r="F11" s="204">
        <v>57.0</v>
      </c>
      <c r="G11" s="206"/>
      <c r="H11" s="218" t="s">
        <v>96</v>
      </c>
      <c r="I11" s="208">
        <v>109.0</v>
      </c>
      <c r="J11" s="213"/>
      <c r="K11" s="218" t="s">
        <v>96</v>
      </c>
      <c r="L11" s="208">
        <v>65.0</v>
      </c>
      <c r="M11" s="2"/>
      <c r="N11" s="218" t="s">
        <v>96</v>
      </c>
      <c r="O11" s="208">
        <v>399.0</v>
      </c>
      <c r="P11" s="2"/>
      <c r="Q11" s="218" t="s">
        <v>96</v>
      </c>
      <c r="R11" s="208">
        <v>23.0</v>
      </c>
      <c r="S11" s="213"/>
      <c r="T11" s="218" t="s">
        <v>96</v>
      </c>
      <c r="U11" s="208">
        <v>223.0</v>
      </c>
      <c r="V11" s="213"/>
      <c r="W11" s="218" t="s">
        <v>96</v>
      </c>
      <c r="X11" s="208"/>
      <c r="Y11" s="213"/>
      <c r="Z11" s="218" t="s">
        <v>96</v>
      </c>
      <c r="AA11" s="207">
        <f t="shared" si="2"/>
        <v>140.4285714</v>
      </c>
    </row>
    <row r="12">
      <c r="A12" s="2"/>
      <c r="B12" s="105"/>
      <c r="C12" s="105"/>
      <c r="D12" s="205"/>
      <c r="E12" s="105"/>
      <c r="F12" s="105"/>
      <c r="G12" s="206"/>
      <c r="H12" s="105"/>
      <c r="I12" s="105"/>
      <c r="J12" s="213"/>
      <c r="K12" s="105"/>
      <c r="L12" s="105"/>
      <c r="M12" s="2"/>
      <c r="N12" s="105"/>
      <c r="O12" s="105"/>
      <c r="P12" s="2"/>
      <c r="Q12" s="105"/>
      <c r="R12" s="105"/>
      <c r="S12" s="213"/>
      <c r="T12" s="105"/>
      <c r="U12" s="105"/>
      <c r="V12" s="213"/>
      <c r="W12" s="105"/>
      <c r="X12" s="105"/>
      <c r="Y12" s="213"/>
      <c r="Z12" s="105"/>
      <c r="AA12" s="105"/>
    </row>
    <row r="13">
      <c r="A13" s="202"/>
      <c r="B13" s="219" t="s">
        <v>97</v>
      </c>
      <c r="C13" s="204">
        <v>1.0</v>
      </c>
      <c r="D13" s="205"/>
      <c r="E13" s="219" t="s">
        <v>97</v>
      </c>
      <c r="F13" s="204">
        <v>1.0</v>
      </c>
      <c r="G13" s="206"/>
      <c r="H13" s="219" t="s">
        <v>97</v>
      </c>
      <c r="I13" s="208">
        <v>1.0</v>
      </c>
      <c r="J13" s="220"/>
      <c r="K13" s="219" t="s">
        <v>97</v>
      </c>
      <c r="L13" s="208">
        <v>1.0</v>
      </c>
      <c r="M13" s="2"/>
      <c r="N13" s="219" t="s">
        <v>97</v>
      </c>
      <c r="O13" s="208">
        <v>2.0</v>
      </c>
      <c r="P13" s="2"/>
      <c r="Q13" s="219" t="s">
        <v>97</v>
      </c>
      <c r="R13" s="208">
        <v>1.0</v>
      </c>
      <c r="S13" s="213"/>
      <c r="T13" s="219" t="s">
        <v>97</v>
      </c>
      <c r="U13" s="208">
        <v>2.0</v>
      </c>
      <c r="V13" s="213"/>
      <c r="W13" s="219" t="s">
        <v>97</v>
      </c>
      <c r="X13" s="208"/>
      <c r="Y13" s="213"/>
      <c r="Z13" s="219" t="s">
        <v>97</v>
      </c>
      <c r="AA13" s="207">
        <f t="shared" ref="AA13:AA15" si="3">AVERAGE(C13,F13,I13,L13,O13,R13,U13,X13)</f>
        <v>1.285714286</v>
      </c>
    </row>
    <row r="14">
      <c r="A14" s="202"/>
      <c r="B14" s="219" t="s">
        <v>48</v>
      </c>
      <c r="C14" s="208">
        <v>33.0</v>
      </c>
      <c r="D14" s="205"/>
      <c r="E14" s="219" t="s">
        <v>48</v>
      </c>
      <c r="F14" s="208">
        <v>13.0</v>
      </c>
      <c r="G14" s="206"/>
      <c r="H14" s="221" t="s">
        <v>48</v>
      </c>
      <c r="I14" s="208">
        <v>26.0</v>
      </c>
      <c r="J14" s="213"/>
      <c r="K14" s="219" t="s">
        <v>48</v>
      </c>
      <c r="L14" s="208">
        <v>14.0</v>
      </c>
      <c r="M14" s="213"/>
      <c r="N14" s="219" t="s">
        <v>48</v>
      </c>
      <c r="O14" s="208">
        <v>102.0</v>
      </c>
      <c r="P14" s="213"/>
      <c r="Q14" s="219" t="s">
        <v>48</v>
      </c>
      <c r="R14" s="208">
        <v>23.0</v>
      </c>
      <c r="S14" s="213"/>
      <c r="T14" s="219" t="s">
        <v>48</v>
      </c>
      <c r="U14" s="208">
        <v>113.0</v>
      </c>
      <c r="V14" s="213"/>
      <c r="W14" s="219" t="s">
        <v>48</v>
      </c>
      <c r="X14" s="208"/>
      <c r="Y14" s="213"/>
      <c r="Z14" s="221" t="s">
        <v>48</v>
      </c>
      <c r="AA14" s="207">
        <f t="shared" si="3"/>
        <v>46.28571429</v>
      </c>
    </row>
    <row r="15">
      <c r="A15" s="202"/>
      <c r="B15" s="219" t="s">
        <v>49</v>
      </c>
      <c r="C15" s="208">
        <v>2350.0</v>
      </c>
      <c r="D15" s="205"/>
      <c r="E15" s="219" t="s">
        <v>49</v>
      </c>
      <c r="F15" s="208">
        <v>1315.0</v>
      </c>
      <c r="G15" s="2"/>
      <c r="H15" s="219" t="s">
        <v>49</v>
      </c>
      <c r="I15" s="208">
        <v>2395.0</v>
      </c>
      <c r="J15" s="213"/>
      <c r="K15" s="219" t="s">
        <v>49</v>
      </c>
      <c r="L15" s="208">
        <v>660.0</v>
      </c>
      <c r="M15" s="213"/>
      <c r="N15" s="219" t="s">
        <v>49</v>
      </c>
      <c r="O15" s="208">
        <v>1800.0</v>
      </c>
      <c r="P15" s="213"/>
      <c r="Q15" s="219" t="s">
        <v>49</v>
      </c>
      <c r="R15" s="208">
        <v>342.0</v>
      </c>
      <c r="S15" s="213"/>
      <c r="T15" s="219" t="s">
        <v>49</v>
      </c>
      <c r="U15" s="208">
        <v>2015.0</v>
      </c>
      <c r="V15" s="213"/>
      <c r="W15" s="219" t="s">
        <v>49</v>
      </c>
      <c r="X15" s="208"/>
      <c r="Y15" s="213"/>
      <c r="Z15" s="221" t="s">
        <v>49</v>
      </c>
      <c r="AA15" s="207">
        <f t="shared" si="3"/>
        <v>1553.857143</v>
      </c>
    </row>
    <row r="16">
      <c r="A16" s="2"/>
      <c r="B16" s="105"/>
      <c r="C16" s="105"/>
      <c r="D16" s="2"/>
      <c r="E16" s="105" t="s">
        <v>62</v>
      </c>
      <c r="F16" s="105"/>
      <c r="G16" s="2"/>
      <c r="H16" s="222" t="s">
        <v>62</v>
      </c>
      <c r="I16" s="105"/>
      <c r="J16" s="2"/>
      <c r="K16" s="105" t="s">
        <v>62</v>
      </c>
      <c r="L16" s="105"/>
      <c r="M16" s="2"/>
      <c r="N16" s="105" t="s">
        <v>62</v>
      </c>
      <c r="O16" s="105"/>
      <c r="P16" s="2"/>
      <c r="Q16" s="105" t="s">
        <v>62</v>
      </c>
      <c r="R16" s="105"/>
      <c r="S16" s="2"/>
      <c r="T16" s="105" t="s">
        <v>62</v>
      </c>
      <c r="U16" s="105"/>
      <c r="V16" s="2"/>
      <c r="W16" s="105" t="s">
        <v>62</v>
      </c>
      <c r="X16" s="105"/>
      <c r="Y16" s="2"/>
      <c r="Z16" s="222" t="s">
        <v>62</v>
      </c>
      <c r="AA16" s="105"/>
    </row>
  </sheetData>
  <drawing r:id="rId1"/>
</worksheet>
</file>